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ables/table1.xml" ContentType="application/vnd.openxmlformats-officedocument.spreadsheetml.table+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使い方" sheetId="1" state="visible" r:id="rId1"/>
    <sheet name="案件入力" sheetId="2" state="visible" r:id="rId2"/>
    <sheet name="仕入先マスタ" sheetId="3" state="visible" r:id="rId3"/>
    <sheet name="得意先マスタ" sheetId="4" state="visible" r:id="rId4"/>
    <sheet name="商品マスタ" sheetId="5" state="visible" r:id="rId5"/>
    <sheet name="荷姿マスタ" sheetId="6" state="visible" r:id="rId6"/>
    <sheet name="仕入変更カード" sheetId="7" state="visible" r:id="rId7"/>
    <sheet name="得意先変更カード" sheetId="8" state="visible" r:id="rId8"/>
    <sheet name="履歴一覧" sheetId="9" state="visible" r:id="rId9"/>
    <sheet name="未完了一覧" sheetId="10" state="visible" r:id="rId10"/>
  </sheets>
  <definedNames>
    <definedName name="商品リスト">商品マスタ!$B$2:$B$201</definedName>
    <definedName name="仕入先リスト">仕入先マスタ!$B$2:$B$201</definedName>
    <definedName name="得意先リスト">得意先マスタ!$B$2:$B$201</definedName>
    <definedName name="荷姿リスト">荷姿マスタ!$B$2:$B$201</definedName>
    <definedName name="商品マスタ範囲">商品マスタ!$B$2:$I$201</definedName>
    <definedName name="案件入力範囲">案件入力!$A$2:$S$301</definedName>
    <definedName name="管理番号リスト">案件入力!$A$2:$A$301</definedName>
    <definedName name="_xlnm._FilterDatabase" localSheetId="1" hidden="1">'案件入力'!$A$1:$S$301</definedName>
    <definedName name="_xlnm.Print_Area" localSheetId="6">'仕入変更カード'!$A$1:$F$20</definedName>
    <definedName name="_xlnm.Print_Area" localSheetId="7">'得意先変更カード'!$A$1:$F$20</definedName>
  </definedNames>
  <calcPr calcId="124519" fullCalcOnLoad="1"/>
</workbook>
</file>

<file path=xl/styles.xml><?xml version="1.0" encoding="utf-8"?>
<styleSheet xmlns="http://schemas.openxmlformats.org/spreadsheetml/2006/main">
  <numFmts count="3">
    <numFmt numFmtId="164" formatCode="yyyy/mm/dd"/>
    <numFmt numFmtId="165" formatCode="+0.0%;-0.0%;0.0%"/>
    <numFmt numFmtId="166" formatCode="#,##0.##"/>
  </numFmts>
  <fonts count="9">
    <font>
      <name val="Calibri"/>
      <family val="2"/>
      <color theme="1"/>
      <sz val="11"/>
      <scheme val="minor"/>
    </font>
    <font>
      <name val="游ゴシック"/>
      <b val="1"/>
      <color rgb="00FFFFFF"/>
      <sz val="10"/>
    </font>
    <font>
      <name val="游ゴシック"/>
      <sz val="10"/>
    </font>
    <font>
      <name val="游ゴシック"/>
      <i val="1"/>
      <color rgb="00808080"/>
      <sz val="9"/>
    </font>
    <font>
      <name val="游ゴシック"/>
      <b val="1"/>
      <sz val="16"/>
    </font>
    <font>
      <name val="游ゴシック"/>
      <b val="1"/>
      <sz val="10"/>
    </font>
    <font>
      <name val="游ゴシック"/>
      <b val="1"/>
      <color rgb="002F5597"/>
      <sz val="18"/>
    </font>
    <font>
      <name val="游ゴシック"/>
      <i val="1"/>
      <color rgb="00595959"/>
      <sz val="11"/>
    </font>
    <font>
      <name val="游ゴシック"/>
      <b val="1"/>
      <color rgb="00FFFFFF"/>
      <sz val="13"/>
    </font>
  </fonts>
  <fills count="6">
    <fill>
      <patternFill/>
    </fill>
    <fill>
      <patternFill patternType="gray125"/>
    </fill>
    <fill>
      <patternFill patternType="solid">
        <fgColor rgb="002F5597"/>
      </patternFill>
    </fill>
    <fill>
      <patternFill patternType="solid">
        <fgColor rgb="00FFF2CC"/>
      </patternFill>
    </fill>
    <fill>
      <patternFill patternType="solid">
        <fgColor rgb="00EAF3EA"/>
      </patternFill>
    </fill>
    <fill>
      <patternFill patternType="solid">
        <fgColor rgb="00EDEDED"/>
      </patternFill>
    </fill>
  </fills>
  <borders count="21">
    <border>
      <left/>
      <right/>
      <top/>
      <bottom/>
      <diagonal/>
    </border>
    <border>
      <left style="thin">
        <color rgb="00999999"/>
      </left>
      <right style="thin">
        <color rgb="00999999"/>
      </right>
      <top style="thin">
        <color rgb="00999999"/>
      </top>
      <bottom style="thin">
        <color rgb="00999999"/>
      </bottom>
    </border>
    <border>
      <left style="medium">
        <color rgb="00333333"/>
      </left>
      <right style="medium">
        <color rgb="00333333"/>
      </right>
      <top style="medium">
        <color rgb="00333333"/>
      </top>
      <bottom style="medium">
        <color rgb="00333333"/>
      </bottom>
    </border>
    <border>
      <left style="medium">
        <color rgb="00333333"/>
      </left>
      <right style="thin">
        <color rgb="00999999"/>
      </right>
      <top style="medium">
        <color rgb="00333333"/>
      </top>
      <bottom style="thin">
        <color rgb="00999999"/>
      </bottom>
    </border>
    <border>
      <left style="medium">
        <color rgb="00333333"/>
      </left>
      <right style="thin">
        <color rgb="00999999"/>
      </right>
      <top style="thin">
        <color rgb="00999999"/>
      </top>
      <bottom style="medium">
        <color rgb="00333333"/>
      </bottom>
    </border>
    <border>
      <left style="thin">
        <color rgb="00999999"/>
      </left>
      <right style="thin">
        <color rgb="00999999"/>
      </right>
      <top style="medium">
        <color rgb="00333333"/>
      </top>
      <bottom style="thin">
        <color rgb="00999999"/>
      </bottom>
    </border>
    <border>
      <left style="thin">
        <color rgb="00999999"/>
      </left>
      <right style="thin">
        <color rgb="00999999"/>
      </right>
      <top style="thin">
        <color rgb="00999999"/>
      </top>
      <bottom style="medium">
        <color rgb="00333333"/>
      </bottom>
    </border>
    <border>
      <left style="thin">
        <color rgb="00999999"/>
      </left>
      <right style="medium">
        <color rgb="00333333"/>
      </right>
      <top style="medium">
        <color rgb="00333333"/>
      </top>
      <bottom style="thin">
        <color rgb="00999999"/>
      </bottom>
    </border>
    <border>
      <left style="thin">
        <color rgb="00999999"/>
      </left>
      <right style="medium">
        <color rgb="00333333"/>
      </right>
      <top style="thin">
        <color rgb="00999999"/>
      </top>
      <bottom style="medium">
        <color rgb="00333333"/>
      </bottom>
    </border>
    <border>
      <left style="medium">
        <color rgb="00333333"/>
      </left>
      <right style="thin">
        <color rgb="00999999"/>
      </right>
      <top style="thin">
        <color rgb="00999999"/>
      </top>
      <bottom style="thin">
        <color rgb="00999999"/>
      </bottom>
    </border>
    <border>
      <left style="thin">
        <color rgb="00999999"/>
      </left>
      <right style="medium">
        <color rgb="00333333"/>
      </right>
      <top style="thin">
        <color rgb="00999999"/>
      </top>
      <bottom style="thin">
        <color rgb="00999999"/>
      </bottom>
    </border>
    <border>
      <left/>
      <right/>
      <top style="thin">
        <color rgb="00999999"/>
      </top>
      <bottom/>
      <diagonal/>
    </border>
    <border>
      <left/>
      <right style="thin">
        <color rgb="00999999"/>
      </right>
      <top style="thin">
        <color rgb="00999999"/>
      </top>
      <bottom/>
      <diagonal/>
    </border>
    <border>
      <left/>
      <right/>
      <top style="thin">
        <color rgb="00999999"/>
      </top>
      <bottom style="thin">
        <color rgb="00999999"/>
      </bottom>
      <diagonal/>
    </border>
    <border>
      <left/>
      <right style="thin">
        <color rgb="00999999"/>
      </right>
      <top style="thin">
        <color rgb="00999999"/>
      </top>
      <bottom style="thin">
        <color rgb="00999999"/>
      </bottom>
      <diagonal/>
    </border>
    <border>
      <left/>
      <right/>
      <top style="medium">
        <color rgb="00333333"/>
      </top>
      <bottom/>
      <diagonal/>
    </border>
    <border>
      <left/>
      <right style="medium">
        <color rgb="00333333"/>
      </right>
      <top style="medium">
        <color rgb="00333333"/>
      </top>
      <bottom/>
      <diagonal/>
    </border>
    <border>
      <left/>
      <right style="medium">
        <color rgb="00333333"/>
      </right>
      <top style="medium">
        <color rgb="00333333"/>
      </top>
      <bottom style="medium">
        <color rgb="00333333"/>
      </bottom>
      <diagonal/>
    </border>
    <border>
      <left/>
      <right style="thin">
        <color rgb="00999999"/>
      </right>
      <top style="medium">
        <color rgb="00333333"/>
      </top>
      <bottom/>
      <diagonal/>
    </border>
    <border>
      <left/>
      <right/>
      <top style="medium">
        <color rgb="00333333"/>
      </top>
      <bottom style="thin">
        <color rgb="00999999"/>
      </bottom>
      <diagonal/>
    </border>
    <border>
      <left/>
      <right style="thin">
        <color rgb="00999999"/>
      </right>
      <top style="medium">
        <color rgb="00333333"/>
      </top>
      <bottom style="thin">
        <color rgb="00999999"/>
      </bottom>
      <diagonal/>
    </border>
  </borders>
  <cellStyleXfs count="1">
    <xf numFmtId="0" fontId="0" fillId="0" borderId="0"/>
  </cellStyleXfs>
  <cellXfs count="51">
    <xf numFmtId="0" fontId="0" fillId="0" borderId="0" pivotButton="0" quotePrefix="0" xfId="0"/>
    <xf numFmtId="0" fontId="6" fillId="0" borderId="0" applyAlignment="1" pivotButton="0" quotePrefix="0" xfId="0">
      <alignment horizontal="left" vertical="center"/>
    </xf>
    <xf numFmtId="0" fontId="7" fillId="0" borderId="0" applyAlignment="1" pivotButton="0" quotePrefix="0" xfId="0">
      <alignment horizontal="left" vertical="center"/>
    </xf>
    <xf numFmtId="0" fontId="8" fillId="2" borderId="0" applyAlignment="1" pivotButton="0" quotePrefix="0" xfId="0">
      <alignment horizontal="left" vertical="center"/>
    </xf>
    <xf numFmtId="0" fontId="2" fillId="0" borderId="0" applyAlignment="1" pivotButton="0" quotePrefix="0" xfId="0">
      <alignment horizontal="left" vertical="center"/>
    </xf>
    <xf numFmtId="0" fontId="1" fillId="2" borderId="1" applyAlignment="1" pivotButton="0" quotePrefix="0" xfId="0">
      <alignment horizontal="center" vertical="center" wrapText="1"/>
    </xf>
    <xf numFmtId="0" fontId="3" fillId="0" borderId="0" pivotButton="0" quotePrefix="0" xfId="0"/>
    <xf numFmtId="0" fontId="2" fillId="0" borderId="1" applyAlignment="1" pivotButton="0" quotePrefix="0" xfId="0">
      <alignment horizontal="center" vertical="center" wrapText="1"/>
    </xf>
    <xf numFmtId="164" fontId="2" fillId="0" borderId="1" applyAlignment="1" pivotButton="0" quotePrefix="0" xfId="0">
      <alignment horizontal="center" vertical="center" wrapText="1"/>
    </xf>
    <xf numFmtId="0" fontId="2" fillId="0" borderId="1" applyAlignment="1" pivotButton="0" quotePrefix="0" xfId="0">
      <alignment horizontal="left" vertical="center" wrapText="1"/>
    </xf>
    <xf numFmtId="3" fontId="2" fillId="0" borderId="1" applyAlignment="1" pivotButton="0" quotePrefix="0" xfId="0">
      <alignment horizontal="center" vertical="center" wrapText="1"/>
    </xf>
    <xf numFmtId="165" fontId="2" fillId="0" borderId="1" applyAlignment="1" pivotButton="0" quotePrefix="0" xfId="0">
      <alignment horizontal="center" vertical="center" wrapText="1"/>
    </xf>
    <xf numFmtId="0" fontId="2" fillId="0" borderId="1" pivotButton="0" quotePrefix="0" xfId="0"/>
    <xf numFmtId="0" fontId="0" fillId="0" borderId="1" pivotButton="0" quotePrefix="0" xfId="0"/>
    <xf numFmtId="0" fontId="2" fillId="3" borderId="1" pivotButton="0" quotePrefix="0" xfId="0"/>
    <xf numFmtId="3" fontId="2" fillId="3" borderId="1" pivotButton="0" quotePrefix="0" xfId="0"/>
    <xf numFmtId="3" fontId="2" fillId="4" borderId="1" pivotButton="0" quotePrefix="0" xfId="0"/>
    <xf numFmtId="3" fontId="0" fillId="0" borderId="1" pivotButton="0" quotePrefix="0" xfId="0"/>
    <xf numFmtId="0" fontId="4" fillId="0" borderId="3" applyAlignment="1" pivotButton="0" quotePrefix="0" xfId="0">
      <alignment horizontal="center" vertical="center" wrapText="1"/>
    </xf>
    <xf numFmtId="0" fontId="0" fillId="0" borderId="5" pivotButton="0" quotePrefix="0" xfId="0"/>
    <xf numFmtId="0" fontId="0" fillId="0" borderId="7" pivotButton="0" quotePrefix="0" xfId="0"/>
    <xf numFmtId="0" fontId="5" fillId="0" borderId="9" applyAlignment="1" pivotButton="0" quotePrefix="0" xfId="0">
      <alignment horizontal="left" vertical="center" wrapText="1"/>
    </xf>
    <xf numFmtId="0" fontId="0" fillId="0" borderId="10" pivotButton="0" quotePrefix="0" xfId="0"/>
    <xf numFmtId="0" fontId="5" fillId="5" borderId="9" applyAlignment="1" pivotButton="0" quotePrefix="0" xfId="0">
      <alignment horizontal="left" vertical="center" wrapText="1"/>
    </xf>
    <xf numFmtId="164" fontId="2" fillId="0" borderId="1" applyAlignment="1" pivotButton="0" quotePrefix="0" xfId="0">
      <alignment horizontal="left" vertical="center" wrapText="1"/>
    </xf>
    <xf numFmtId="0" fontId="5" fillId="5" borderId="1" applyAlignment="1" pivotButton="0" quotePrefix="0" xfId="0">
      <alignment horizontal="left" vertical="center" wrapText="1"/>
    </xf>
    <xf numFmtId="3" fontId="2" fillId="0" borderId="1" applyAlignment="1" pivotButton="0" quotePrefix="0" xfId="0">
      <alignment horizontal="left" vertical="center" wrapText="1"/>
    </xf>
    <xf numFmtId="0" fontId="0" fillId="0" borderId="1" applyAlignment="1" pivotButton="0" quotePrefix="0" xfId="0">
      <alignment horizontal="center" vertical="center" wrapText="1"/>
    </xf>
    <xf numFmtId="0" fontId="5" fillId="5" borderId="4" applyAlignment="1" pivotButton="0" quotePrefix="0" xfId="0">
      <alignment horizontal="left" vertical="center" wrapText="1"/>
    </xf>
    <xf numFmtId="0" fontId="0" fillId="0" borderId="2" pivotButton="0" quotePrefix="0" xfId="0"/>
    <xf numFmtId="0" fontId="0" fillId="0" borderId="6" pivotButton="0" quotePrefix="0" xfId="0"/>
    <xf numFmtId="0" fontId="2" fillId="0" borderId="6" pivotButton="0" quotePrefix="0" xfId="0"/>
    <xf numFmtId="0" fontId="0" fillId="0" borderId="8" pivotButton="0" quotePrefix="0" xfId="0"/>
    <xf numFmtId="0" fontId="3" fillId="0" borderId="0" applyAlignment="1" pivotButton="0" quotePrefix="0" xfId="0">
      <alignment horizontal="center" vertical="center" wrapText="1"/>
    </xf>
    <xf numFmtId="0" fontId="3" fillId="0" borderId="0" applyAlignment="1" pivotButton="0" quotePrefix="0" xfId="0">
      <alignment horizontal="left" vertical="top" wrapText="1"/>
    </xf>
    <xf numFmtId="0" fontId="2" fillId="0" borderId="0" applyAlignment="1" pivotButton="0" quotePrefix="0" xfId="0">
      <alignment horizontal="center" vertical="center" wrapText="1"/>
    </xf>
    <xf numFmtId="164" fontId="2" fillId="0" borderId="0" applyAlignment="1" pivotButton="0" quotePrefix="0" xfId="0">
      <alignment horizontal="center" vertical="center" wrapText="1"/>
    </xf>
    <xf numFmtId="0" fontId="2" fillId="0" borderId="0" applyAlignment="1" pivotButton="0" quotePrefix="0" xfId="0">
      <alignment horizontal="left" vertical="center" wrapText="1"/>
    </xf>
    <xf numFmtId="3" fontId="2" fillId="0" borderId="0" applyAlignment="1" pivotButton="0" quotePrefix="0" xfId="0">
      <alignment horizontal="center" vertical="center" wrapText="1"/>
    </xf>
    <xf numFmtId="165" fontId="2" fillId="0" borderId="0" applyAlignment="1" pivotButton="0" quotePrefix="0" xfId="0">
      <alignment horizontal="center" vertical="center" wrapText="1"/>
    </xf>
    <xf numFmtId="166" fontId="2" fillId="0" borderId="1" applyAlignment="1" pivotButton="0" quotePrefix="0" xfId="0">
      <alignment horizontal="center" vertical="center" wrapText="1"/>
    </xf>
    <xf numFmtId="166" fontId="2" fillId="3" borderId="1" pivotButton="0" quotePrefix="0" xfId="0"/>
    <xf numFmtId="166" fontId="2" fillId="4" borderId="1" pivotButton="0" quotePrefix="0" xfId="0"/>
    <xf numFmtId="166" fontId="0" fillId="0" borderId="1" pivotButton="0" quotePrefix="0" xfId="0"/>
    <xf numFmtId="0" fontId="0" fillId="0" borderId="19" pivotButton="0" quotePrefix="0" xfId="0"/>
    <xf numFmtId="0" fontId="0" fillId="0" borderId="20" pivotButton="0" quotePrefix="0" xfId="0"/>
    <xf numFmtId="0" fontId="0" fillId="0" borderId="14" pivotButton="0" quotePrefix="0" xfId="0"/>
    <xf numFmtId="0" fontId="0" fillId="0" borderId="13" pivotButton="0" quotePrefix="0" xfId="0"/>
    <xf numFmtId="0" fontId="0" fillId="0" borderId="17" pivotButton="0" quotePrefix="0" xfId="0"/>
    <xf numFmtId="166" fontId="2" fillId="0" borderId="0" applyAlignment="1" pivotButton="0" quotePrefix="0" xfId="0">
      <alignment horizontal="center" vertical="center" wrapText="1"/>
    </xf>
    <xf numFmtId="166" fontId="2" fillId="0" borderId="1" applyAlignment="1" pivotButton="0" quotePrefix="0" xfId="0">
      <alignment horizontal="left" vertical="center" wrapText="1"/>
    </xf>
  </cellXfs>
  <cellStyles count="1">
    <cellStyle name="Normal" xfId="0" builtinId="0" hidden="0"/>
  </cellStyles>
  <dxfs count="4">
    <dxf>
      <fill>
        <patternFill patternType="solid">
          <fgColor rgb="00C6EFCE"/>
        </patternFill>
      </fill>
    </dxf>
    <dxf>
      <fill>
        <patternFill patternType="solid">
          <fgColor rgb="00FFC7CE"/>
        </patternFill>
      </fill>
    </dxf>
    <dxf>
      <fill>
        <patternFill patternType="solid">
          <fgColor rgb="00FFEB9C"/>
        </patternFill>
      </fill>
    </dxf>
    <dxf>
      <fill>
        <patternFill patternType="solid">
          <fgColor rgb="00BDD7E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ables/table1.xml><?xml version="1.0" encoding="utf-8"?>
<table xmlns="http://schemas.openxmlformats.org/spreadsheetml/2006/main" id="1" name="履歴テーブル" displayName="履歴テーブル" ref="A1:S301" headerRowCount="1">
  <autoFilter ref="A1:S301"/>
  <tableColumns count="19">
    <tableColumn id="1" name="管理番号"/>
    <tableColumn id="2" name="記入日"/>
    <tableColumn id="3" name="区分"/>
    <tableColumn id="4" name="商品名"/>
    <tableColumn id="5" name="荷姿"/>
    <tableColumn id="6" name="仕入先"/>
    <tableColumn id="7" name="得意先"/>
    <tableColumn id="8" name="旧仕入値"/>
    <tableColumn id="9" name="新仕入値"/>
    <tableColumn id="10" name="仕入変動率"/>
    <tableColumn id="11" name="仕入適用日"/>
    <tableColumn id="12" name="旧売価"/>
    <tableColumn id="13" name="新売価"/>
    <tableColumn id="14" name="売価変動率"/>
    <tableColumn id="15" name="売価適用日"/>
    <tableColumn id="16" name="備考"/>
    <tableColumn id="17" name="カード印刷済"/>
    <tableColumn id="18" name="完了"/>
    <tableColumn id="19" name="担当者"/>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9.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outlinePr summaryBelow="1" summaryRight="1"/>
    <pageSetUpPr/>
  </sheetPr>
  <dimension ref="B1:B56"/>
  <sheetViews>
    <sheetView showGridLines="0" workbookViewId="0">
      <selection activeCell="A1" sqref="A1"/>
    </sheetView>
  </sheetViews>
  <sheetFormatPr baseColWidth="8" defaultRowHeight="15"/>
  <cols>
    <col width="4" customWidth="1" min="1" max="1"/>
    <col width="100" customWidth="1" min="2" max="2"/>
  </cols>
  <sheetData>
    <row r="1" ht="30" customHeight="1">
      <c r="B1" s="1" t="inlineStr">
        <is>
          <t>単価変更管理システム 操作ガイド</t>
        </is>
      </c>
    </row>
    <row r="2" ht="22" customHeight="1">
      <c r="B2" s="2" t="inlineStr">
        <is>
          <t>手書き台帳を廃止し、「案件入力」シートへの1回入力だけでカード印刷・履歴管理までを行うための表です。</t>
        </is>
      </c>
    </row>
    <row r="3" ht="22" customHeight="1">
      <c r="B3" s="3" t="inlineStr">
        <is>
          <t>■ 全体の流れ（従来運用との対応）</t>
        </is>
      </c>
    </row>
    <row r="4" ht="18" customHeight="1">
      <c r="B4" s="4" t="inlineStr">
        <is>
          <t>①「案件入力」シートに1行で入力する（従来の単価変更カード作成＋台帳記入を統合）</t>
        </is>
      </c>
    </row>
    <row r="5" ht="18" customHeight="1">
      <c r="B5" s="4" t="inlineStr">
        <is>
          <t>②「仕入変更カード」「得意先変更カード」シートで管理番号を選び、印刷 or PDF保存する（従来のカード様式を再現）</t>
        </is>
      </c>
    </row>
    <row r="6" ht="18" customHeight="1">
      <c r="B6" s="4" t="inlineStr">
        <is>
          <t>③ 事務へはこれまで通り印刷したカードを提出する（事務側の運用は変更なし）</t>
        </is>
      </c>
    </row>
    <row r="7" ht="18" customHeight="1">
      <c r="B7" s="4" t="inlineStr">
        <is>
          <t>④ 入力内容は自動的に「履歴一覧」に反映され、検索・フィルターができる（台帳は不要）</t>
        </is>
      </c>
    </row>
    <row r="8" ht="22" customHeight="1">
      <c r="B8" s="3" t="inlineStr">
        <is>
          <t>■ 初回準備（マスタ登録）</t>
        </is>
      </c>
    </row>
    <row r="9" ht="18" customHeight="1">
      <c r="B9" s="4" t="inlineStr">
        <is>
          <t>「仕入先マスタ」「得意先マスタ」「荷姿マスタ」「商品マスタ」の黄色いサンプル行を削除し、自社のデータに置き換えてください。</t>
        </is>
      </c>
    </row>
    <row r="10" ht="18" customHeight="1">
      <c r="B10" s="4" t="inlineStr">
        <is>
          <t>「商品マスタ」には、商品ごとの標準仕入先・標準得意先・標準荷姿・初期仕入価格・初期売価を登録します。</t>
        </is>
      </c>
    </row>
    <row r="11" ht="18" customHeight="1">
      <c r="B11" s="4" t="inlineStr">
        <is>
          <t>「初期仕入価格・初期売価」は、まだ一度も単価変更を行っていない商品の基準価格です（手入力）。</t>
        </is>
      </c>
    </row>
    <row r="12" ht="18" customHeight="1">
      <c r="B12" s="4" t="inlineStr">
        <is>
          <t>「現行仕入価格・現行売価」（緑色のセル）は自動計算専用の列です。手入力しないでください。</t>
        </is>
      </c>
    </row>
    <row r="13" ht="22" customHeight="1">
      <c r="B13" s="3" t="inlineStr">
        <is>
          <t>■ 価格の自動更新と履歴（新機能）</t>
        </is>
      </c>
    </row>
    <row r="14" ht="18" customHeight="1">
      <c r="B14" s="4" t="inlineStr">
        <is>
          <t>案件入力で「完了」にした時点の「新仕入値／新売価」が、その商品の最新価格として自動的に商品マスタへ反映されます。</t>
        </is>
      </c>
    </row>
    <row r="15" ht="18" customHeight="1">
      <c r="B15" s="4" t="inlineStr">
        <is>
          <t>同じ商品を次に選んだときは、この最新価格が「旧仕入値／旧売価」として自動表示されるため、値上げが続いても常に正しい基準値から入力できます。</t>
        </is>
      </c>
    </row>
    <row r="16" ht="18" customHeight="1">
      <c r="B16" s="4" t="inlineStr">
        <is>
          <t>商品マスタの価格は上書きされるのではなく数式で自動計算されているだけなので、過去の変更内容は「履歴一覧」に行として全て残り続けます（削除・上書きは発生しません）。</t>
        </is>
      </c>
    </row>
    <row r="17" ht="18" customHeight="1">
      <c r="B17" s="4" t="inlineStr">
        <is>
          <t>商品名でフィルターすれば、その商品の価格変更の推移をいつでも遡って確認できます。</t>
        </is>
      </c>
    </row>
    <row r="18" ht="18" customHeight="1">
      <c r="B18" s="4" t="inlineStr">
        <is>
          <t>※ 案件は原則「記入日の古い順」に上から入力してください。過去の日付の案件を後から途中の行に挿入すると、旧価格の自動判定がずれる場合があります。</t>
        </is>
      </c>
    </row>
    <row r="19" ht="22" customHeight="1">
      <c r="B19" s="3" t="inlineStr">
        <is>
          <t>■ 新規商品登録について（新機能）</t>
        </is>
      </c>
    </row>
    <row r="20" ht="18" customHeight="1">
      <c r="B20" s="4" t="inlineStr">
        <is>
          <t>「案件入力」シートでも新規商品登録が行えます。「区分」列で「新規登録」を選んでください（既定は「単価変更」）。</t>
        </is>
      </c>
    </row>
    <row r="21" ht="18" customHeight="1">
      <c r="B21" s="4" t="inlineStr">
        <is>
          <t>「新規登録」の場合、「商品名」は商品マスタにまだ無い名前を直接入力できます（プルダウンに無い名前でもそのまま入力可）。</t>
        </is>
      </c>
    </row>
    <row r="22" ht="18" customHeight="1">
      <c r="B22" s="4" t="inlineStr">
        <is>
          <t>仕入先・得意先・荷姿は自動表示されない（商品マスタに未登録のため）ので、プルダウンから選択してください。</t>
        </is>
      </c>
    </row>
    <row r="23" ht="18" customHeight="1">
      <c r="B23" s="4" t="inlineStr">
        <is>
          <t>「旧仕入値」「旧売価」は自動的に空欄のままになり、入力した「新仕入値」「新売価」がその商品の初回価格として扱われます。</t>
        </is>
      </c>
    </row>
    <row r="24" ht="18" customHeight="1">
      <c r="B24" s="4" t="inlineStr">
        <is>
          <t>カードの見出しも「新商品登録カード」に自動的に切り替わります。印刷・履歴・完了チェックの流れは単価変更と同じです。</t>
        </is>
      </c>
    </row>
    <row r="25" ht="18" customHeight="1">
      <c r="B25" s="4" t="inlineStr">
        <is>
          <t>完了にした後、同じ商品名で単価変更（区分＝単価変更）を入力すると、今回登録した価格が自動的に「旧仕入値／旧売価」として使われます。</t>
        </is>
      </c>
    </row>
    <row r="26" ht="18" customHeight="1">
      <c r="B26" s="4" t="inlineStr">
        <is>
          <t>※ その商品を商品マスタのプルダウン一覧にも表示したい場合は、商品マスタへ1行追加登録してください（標準仕入先・標準得意先・標準荷姿・初期価格を入力）。</t>
        </is>
      </c>
    </row>
    <row r="27" ht="22" customHeight="1">
      <c r="B27" s="3" t="inlineStr">
        <is>
          <t>■ 日々の入力手順（案件入力シート）</t>
        </is>
      </c>
    </row>
    <row r="28" ht="18" customHeight="1">
      <c r="B28" s="4" t="inlineStr">
        <is>
          <t>1. 「記入日」を入力すると「管理番号」が自動採番されます（例: 2026-001, 2026-002 ...）。「区分」は単価変更／新規登録から選びます。</t>
        </is>
      </c>
    </row>
    <row r="29" ht="18" customHeight="1">
      <c r="B29" s="4" t="inlineStr">
        <is>
          <t>2. 「商品名」をプルダウンから選択すると、仕入先・得意先・荷姿・旧仕入値・旧売価が自動表示されます。</t>
        </is>
      </c>
    </row>
    <row r="30" ht="18" customHeight="1">
      <c r="B30" s="4" t="inlineStr">
        <is>
          <t xml:space="preserve">   （商品マスタと異なる仕入先・得意先・荷姿の場合は、その場でプルダウンから選び直せます）</t>
        </is>
      </c>
    </row>
    <row r="31" ht="18" customHeight="1">
      <c r="B31" s="4" t="inlineStr">
        <is>
          <t>3. 「新仕入値」「仕入適用日」「新売価」「売価適用日」「備考」を入力します。「担当者」は藤田・中岡・白石からプルダウンで選択します。</t>
        </is>
      </c>
    </row>
    <row r="32" ht="18" customHeight="1">
      <c r="B32" s="4" t="inlineStr">
        <is>
          <t xml:space="preserve">   入力すると「仕入変動率」「売価変動率」に変動幅（前回比の%）が自動表示されます。</t>
        </is>
      </c>
    </row>
    <row r="33" ht="18" customHeight="1">
      <c r="B33" s="4" t="inlineStr">
        <is>
          <t>4. カードを印刷したら「カード印刷済」を「済」に、事務への提出・処理が完了したら「完了」を「完了」に変更します。</t>
        </is>
      </c>
    </row>
    <row r="34" ht="18" customHeight="1">
      <c r="B34" s="4" t="inlineStr">
        <is>
          <t xml:space="preserve">   「完了」にした時点で③の自動更新が働くので、必ず新仕入値・新売価の入力を確認してから完了にしてください。</t>
        </is>
      </c>
    </row>
    <row r="35" ht="22" customHeight="1">
      <c r="B35" s="3" t="inlineStr">
        <is>
          <t>■ カードの印刷・PDF保存</t>
        </is>
      </c>
    </row>
    <row r="36" ht="18" customHeight="1">
      <c r="B36" s="4" t="inlineStr">
        <is>
          <t>「仕入変更カード」または「得意先変更カード」シートを開き、上段の「管理番号」プルダウンで案件を選択します。</t>
        </is>
      </c>
    </row>
    <row r="37" ht="18" customHeight="1">
      <c r="B37" s="4" t="inlineStr">
        <is>
          <t>同じ内容が下段（切り取り用の複製）にも自動表示されます。印刷はA4縦1ページに収まるよう設定済みです。</t>
        </is>
      </c>
    </row>
    <row r="38" ht="18" customHeight="1">
      <c r="B38" s="4" t="inlineStr">
        <is>
          <t>印刷: Ctrl+P を押すだけで、あらかじめ設定した印刷範囲・用紙設定（A4縦・1ページ収まり）で印刷されます。</t>
        </is>
      </c>
    </row>
    <row r="39" ht="18" customHeight="1">
      <c r="B39" s="4" t="inlineStr">
        <is>
          <t>PDF保存: 印刷画面のプリンター選択で「Microsoft Print to PDF」等を選ぶか、</t>
        </is>
      </c>
    </row>
    <row r="40" ht="18" customHeight="1">
      <c r="B40" s="4" t="inlineStr">
        <is>
          <t xml:space="preserve">　　　　[ファイル]→[エクスポート]→[PDF/XPSドキュメントの作成] からPDF化できます。</t>
        </is>
      </c>
    </row>
    <row r="41" ht="18" customHeight="1">
      <c r="B41" s="4" t="inlineStr">
        <is>
          <t>※ ワンクリックの「印刷ボタン」「PDF保存ボタン」をVBAマクロで実装したい場合は、</t>
        </is>
      </c>
    </row>
    <row r="42" ht="18" customHeight="1">
      <c r="B42" s="4" t="inlineStr">
        <is>
          <t xml:space="preserve">　　IT担当者にてマクロ有効ブック（.xlsm）化のうえボタンを追加することも可能です（別途対応）。</t>
        </is>
      </c>
    </row>
    <row r="43" ht="22" customHeight="1">
      <c r="B43" s="3" t="inlineStr">
        <is>
          <t>■ 履歴の検索</t>
        </is>
      </c>
    </row>
    <row r="44" ht="18" customHeight="1">
      <c r="B44" s="4" t="inlineStr">
        <is>
          <t>「履歴一覧」シートはテーブル化されており、各見出しの▼から商品名・仕入先・得意先・適用日で絞り込み検索できます。</t>
        </is>
      </c>
    </row>
    <row r="45" ht="22" customHeight="1">
      <c r="B45" s="3" t="inlineStr">
        <is>
          <t>■ 未完了案件の確認</t>
        </is>
      </c>
    </row>
    <row r="46" ht="18" customHeight="1">
      <c r="B46" s="4" t="inlineStr">
        <is>
          <t>「未完了一覧」シートに「完了」列が未記入の案件だけが自動的に一覧表示されます（お使いのExcelのバージョンを問わず動作します）。</t>
        </is>
      </c>
    </row>
    <row r="47" ht="22" customHeight="1">
      <c r="B47" s="3" t="inlineStr">
        <is>
          <t>■ 色分けの意味（案件入力・履歴一覧・未完了一覧で共通）</t>
        </is>
      </c>
    </row>
    <row r="48" ht="18" customHeight="1">
      <c r="B48" s="4" t="inlineStr">
        <is>
          <t>白　　　＝ 未印刷</t>
        </is>
      </c>
    </row>
    <row r="49" ht="18" customHeight="1">
      <c r="B49" s="4" t="inlineStr">
        <is>
          <t>水色　　＝ カード印刷済</t>
        </is>
      </c>
    </row>
    <row r="50" ht="18" customHeight="1">
      <c r="B50" s="4" t="inlineStr">
        <is>
          <t>黄色　　＝ 仕入適用日が未到来（これから適用）</t>
        </is>
      </c>
    </row>
    <row r="51" ht="18" customHeight="1">
      <c r="B51" s="4" t="inlineStr">
        <is>
          <t>緑　　　＝ 完了</t>
        </is>
      </c>
    </row>
    <row r="52" ht="18" customHeight="1">
      <c r="B52" s="4" t="inlineStr">
        <is>
          <t>赤　　　＝ 期限超過（仕入適用日を過ぎても未完了）</t>
        </is>
      </c>
    </row>
    <row r="53" ht="22" customHeight="1">
      <c r="B53" s="3" t="inlineStr">
        <is>
          <t>■ 拡張について</t>
        </is>
      </c>
    </row>
    <row r="54" ht="18" customHeight="1">
      <c r="B54" s="4" t="inlineStr">
        <is>
          <t>既定では300件分の入力行・数式・プルダウンをあらかじめ用意しています。</t>
        </is>
      </c>
    </row>
    <row r="55" ht="18" customHeight="1">
      <c r="B55" s="4" t="inlineStr">
        <is>
          <t>行が不足した場合は、最終行の書式・数式をそのまま下へコピーするだけで拡張できます。</t>
        </is>
      </c>
    </row>
    <row r="56" ht="18" customHeight="1">
      <c r="B56" s="4" t="inlineStr">
        <is>
          <t>マスタや案件入力の行数を大きく増やす場合は、各シートの名前付き範囲（数式タブ→名前の管理）の参照範囲を広げてください。</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T301"/>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12" customWidth="1" min="2" max="2"/>
    <col width="12" customWidth="1" min="3" max="3"/>
    <col width="20" customWidth="1" min="4" max="4"/>
    <col width="16" customWidth="1" min="5" max="5"/>
    <col width="20" customWidth="1" min="6" max="6"/>
    <col width="20" customWidth="1" min="7" max="7"/>
    <col width="11" customWidth="1" min="8" max="8"/>
    <col width="11" customWidth="1" min="9" max="9"/>
    <col width="10" customWidth="1" min="10" max="10"/>
    <col width="12" customWidth="1" min="11" max="11"/>
    <col width="11" customWidth="1" min="12" max="12"/>
    <col width="11" customWidth="1" min="13" max="13"/>
    <col width="10" customWidth="1" min="14" max="14"/>
    <col width="12" customWidth="1" min="15" max="15"/>
    <col width="24" customWidth="1" min="16" max="16"/>
    <col width="12" customWidth="1" min="17" max="17"/>
    <col width="10" customWidth="1" min="18" max="18"/>
    <col width="12" customWidth="1" min="19" max="19"/>
    <col hidden="1" width="4" customWidth="1" min="20" max="20"/>
  </cols>
  <sheetData>
    <row r="1" ht="26" customHeight="1">
      <c r="A1" s="5" t="inlineStr">
        <is>
          <t>管理番号</t>
        </is>
      </c>
      <c r="B1" s="5" t="inlineStr">
        <is>
          <t>記入日</t>
        </is>
      </c>
      <c r="C1" s="5" t="inlineStr">
        <is>
          <t>区分</t>
        </is>
      </c>
      <c r="D1" s="5" t="inlineStr">
        <is>
          <t>商品名</t>
        </is>
      </c>
      <c r="E1" s="5" t="inlineStr">
        <is>
          <t>荷姿</t>
        </is>
      </c>
      <c r="F1" s="5" t="inlineStr">
        <is>
          <t>仕入先</t>
        </is>
      </c>
      <c r="G1" s="5" t="inlineStr">
        <is>
          <t>得意先</t>
        </is>
      </c>
      <c r="H1" s="5" t="inlineStr">
        <is>
          <t>旧仕入値</t>
        </is>
      </c>
      <c r="I1" s="5" t="inlineStr">
        <is>
          <t>新仕入値</t>
        </is>
      </c>
      <c r="J1" s="5" t="inlineStr">
        <is>
          <t>仕入変動率</t>
        </is>
      </c>
      <c r="K1" s="5" t="inlineStr">
        <is>
          <t>仕入適用日</t>
        </is>
      </c>
      <c r="L1" s="5" t="inlineStr">
        <is>
          <t>旧売価</t>
        </is>
      </c>
      <c r="M1" s="5" t="inlineStr">
        <is>
          <t>新売価</t>
        </is>
      </c>
      <c r="N1" s="5" t="inlineStr">
        <is>
          <t>売価変動率</t>
        </is>
      </c>
      <c r="O1" s="5" t="inlineStr">
        <is>
          <t>売価適用日</t>
        </is>
      </c>
      <c r="P1" s="5" t="inlineStr">
        <is>
          <t>備考</t>
        </is>
      </c>
      <c r="Q1" s="5" t="inlineStr">
        <is>
          <t>カード印刷済</t>
        </is>
      </c>
      <c r="R1" s="5" t="inlineStr">
        <is>
          <t>完了</t>
        </is>
      </c>
      <c r="S1" s="5" t="inlineStr">
        <is>
          <t>担当者</t>
        </is>
      </c>
      <c r="T1" s="6" t="inlineStr">
        <is>
          <t>完了検索キー(内部使用)</t>
        </is>
      </c>
    </row>
    <row r="2">
      <c r="A2" s="7">
        <f>IF($B2="","",TEXT(YEAR($B2),"0000")&amp;"-"&amp;TEXT(SUMPRODUCT((YEAR($B$2:$B2)=YEAR($B2))*($B$2:$B2&lt;&gt;"")),"000"))</f>
        <v/>
      </c>
      <c r="B2" s="8" t="n"/>
      <c r="C2" s="7" t="n"/>
      <c r="D2" s="9" t="n"/>
      <c r="E2" s="7">
        <f>IFERROR(VLOOKUP($D2,商品マスタ範囲,4,FALSE),"")</f>
        <v/>
      </c>
      <c r="F2" s="7">
        <f>IFERROR(VLOOKUP($D2,商品マスタ範囲,2,FALSE),"")</f>
        <v/>
      </c>
      <c r="G2" s="7">
        <f>IFERROR(VLOOKUP($D2,商品マスタ範囲,3,FALSE),"")</f>
        <v/>
      </c>
      <c r="H2" s="40">
        <f>IFERROR(VLOOKUP($D2,商品マスタ範囲,5,FALSE),"")</f>
        <v/>
      </c>
      <c r="I2" s="40" t="n"/>
      <c r="J2" s="11">
        <f>IF(OR($H2="",$I2=""),"",IFERROR(($I2-$H2)/$H2,""))</f>
        <v/>
      </c>
      <c r="K2" s="8" t="n"/>
      <c r="L2" s="40">
        <f>IFERROR(VLOOKUP($D2,商品マスタ範囲,6,FALSE),"")</f>
        <v/>
      </c>
      <c r="M2" s="40" t="n"/>
      <c r="N2" s="11">
        <f>IF(OR($L2="",$M2=""),"",IFERROR(($M2-$L2)/$L2,""))</f>
        <v/>
      </c>
      <c r="O2" s="8" t="n"/>
      <c r="P2" s="9" t="n"/>
      <c r="Q2" s="7" t="n"/>
      <c r="R2" s="7" t="n"/>
      <c r="S2" s="7" t="n"/>
      <c r="T2" s="7">
        <f>IF($R2="完了",$D2&amp;"|"&amp;TEXT($B2,"0"),"")</f>
        <v/>
      </c>
    </row>
    <row r="3">
      <c r="A3" s="7">
        <f>IF($B3="","",TEXT(YEAR($B3),"0000")&amp;"-"&amp;TEXT(SUMPRODUCT((YEAR($B$2:$B3)=YEAR($B3))*($B$2:$B3&lt;&gt;"")),"000"))</f>
        <v/>
      </c>
      <c r="B3" s="8" t="n"/>
      <c r="C3" s="7" t="n"/>
      <c r="D3" s="9" t="n"/>
      <c r="E3" s="7">
        <f>IFERROR(VLOOKUP($D3,商品マスタ範囲,4,FALSE),"")</f>
        <v/>
      </c>
      <c r="F3" s="7">
        <f>IFERROR(VLOOKUP($D3,商品マスタ範囲,2,FALSE),"")</f>
        <v/>
      </c>
      <c r="G3" s="7">
        <f>IFERROR(VLOOKUP($D3,商品マスタ範囲,3,FALSE),"")</f>
        <v/>
      </c>
      <c r="H3" s="40">
        <f>IFERROR(IF(SUMPRODUCT(MAX((案件入力!$D$2:$D$2=$D3)*(案件入力!$R$2:$R$2="完了")*(案件入力!$B$2:$B$2)))=0,VLOOKUP($D3,商品マスタ範囲,5,FALSE),INDEX(案件入力!$I$2:$I$2,MATCH($D3&amp;"|"&amp;TEXT(SUMPRODUCT(MAX((案件入力!$D$2:$D$2=$D3)*(案件入力!$R$2:$R$2="完了")*(案件入力!$B$2:$B$2))),"0"),案件入力!$T$2:$T$2,0))),"")</f>
        <v/>
      </c>
      <c r="I3" s="40" t="n"/>
      <c r="J3" s="11">
        <f>IF(OR($H3="",$I3=""),"",IFERROR(($I3-$H3)/$H3,""))</f>
        <v/>
      </c>
      <c r="K3" s="8" t="n"/>
      <c r="L3" s="40">
        <f>IFERROR(IF(SUMPRODUCT(MAX((案件入力!$D$2:$D$2=$D3)*(案件入力!$R$2:$R$2="完了")*(案件入力!$B$2:$B$2)))=0,VLOOKUP($D3,商品マスタ範囲,6,FALSE),INDEX(案件入力!$M$2:$M$2,MATCH($D3&amp;"|"&amp;TEXT(SUMPRODUCT(MAX((案件入力!$D$2:$D$2=$D3)*(案件入力!$R$2:$R$2="完了")*(案件入力!$B$2:$B$2))),"0"),案件入力!$T$2:$T$2,0))),"")</f>
        <v/>
      </c>
      <c r="M3" s="40" t="n"/>
      <c r="N3" s="11">
        <f>IF(OR($L3="",$M3=""),"",IFERROR(($M3-$L3)/$L3,""))</f>
        <v/>
      </c>
      <c r="O3" s="8" t="n"/>
      <c r="P3" s="9" t="n"/>
      <c r="Q3" s="7" t="n"/>
      <c r="R3" s="7" t="n"/>
      <c r="S3" s="7" t="n"/>
      <c r="T3" s="7">
        <f>IF($R3="完了",$D3&amp;"|"&amp;TEXT($B3,"0"),"")</f>
        <v/>
      </c>
    </row>
    <row r="4">
      <c r="A4" s="7">
        <f>IF($B4="","",TEXT(YEAR($B4),"0000")&amp;"-"&amp;TEXT(SUMPRODUCT((YEAR($B$2:$B4)=YEAR($B4))*($B$2:$B4&lt;&gt;"")),"000"))</f>
        <v/>
      </c>
      <c r="B4" s="8" t="n"/>
      <c r="C4" s="7" t="n"/>
      <c r="D4" s="9" t="n"/>
      <c r="E4" s="7">
        <f>IFERROR(VLOOKUP($D4,商品マスタ範囲,4,FALSE),"")</f>
        <v/>
      </c>
      <c r="F4" s="7">
        <f>IFERROR(VLOOKUP($D4,商品マスタ範囲,2,FALSE),"")</f>
        <v/>
      </c>
      <c r="G4" s="7">
        <f>IFERROR(VLOOKUP($D4,商品マスタ範囲,3,FALSE),"")</f>
        <v/>
      </c>
      <c r="H4" s="40">
        <f>IFERROR(IF(SUMPRODUCT(MAX((案件入力!$D$2:$D$3=$D4)*(案件入力!$R$2:$R$3="完了")*(案件入力!$B$2:$B$3)))=0,VLOOKUP($D4,商品マスタ範囲,5,FALSE),INDEX(案件入力!$I$2:$I$3,MATCH($D4&amp;"|"&amp;TEXT(SUMPRODUCT(MAX((案件入力!$D$2:$D$3=$D4)*(案件入力!$R$2:$R$3="完了")*(案件入力!$B$2:$B$3))),"0"),案件入力!$T$2:$T$3,0))),"")</f>
        <v/>
      </c>
      <c r="I4" s="40" t="n"/>
      <c r="J4" s="11">
        <f>IF(OR($H4="",$I4=""),"",IFERROR(($I4-$H4)/$H4,""))</f>
        <v/>
      </c>
      <c r="K4" s="8" t="n"/>
      <c r="L4" s="40">
        <f>IFERROR(IF(SUMPRODUCT(MAX((案件入力!$D$2:$D$3=$D4)*(案件入力!$R$2:$R$3="完了")*(案件入力!$B$2:$B$3)))=0,VLOOKUP($D4,商品マスタ範囲,6,FALSE),INDEX(案件入力!$M$2:$M$3,MATCH($D4&amp;"|"&amp;TEXT(SUMPRODUCT(MAX((案件入力!$D$2:$D$3=$D4)*(案件入力!$R$2:$R$3="完了")*(案件入力!$B$2:$B$3))),"0"),案件入力!$T$2:$T$3,0))),"")</f>
        <v/>
      </c>
      <c r="M4" s="40" t="n"/>
      <c r="N4" s="11">
        <f>IF(OR($L4="",$M4=""),"",IFERROR(($M4-$L4)/$L4,""))</f>
        <v/>
      </c>
      <c r="O4" s="8" t="n"/>
      <c r="P4" s="9" t="n"/>
      <c r="Q4" s="7" t="n"/>
      <c r="R4" s="7" t="n"/>
      <c r="S4" s="7" t="n"/>
      <c r="T4" s="7">
        <f>IF($R4="完了",$D4&amp;"|"&amp;TEXT($B4,"0"),"")</f>
        <v/>
      </c>
    </row>
    <row r="5">
      <c r="A5" s="7">
        <f>IF($B5="","",TEXT(YEAR($B5),"0000")&amp;"-"&amp;TEXT(SUMPRODUCT((YEAR($B$2:$B5)=YEAR($B5))*($B$2:$B5&lt;&gt;"")),"000"))</f>
        <v/>
      </c>
      <c r="B5" s="8" t="n"/>
      <c r="C5" s="7" t="n"/>
      <c r="D5" s="9" t="n"/>
      <c r="E5" s="7">
        <f>IFERROR(VLOOKUP($D5,商品マスタ範囲,4,FALSE),"")</f>
        <v/>
      </c>
      <c r="F5" s="7">
        <f>IFERROR(VLOOKUP($D5,商品マスタ範囲,2,FALSE),"")</f>
        <v/>
      </c>
      <c r="G5" s="7">
        <f>IFERROR(VLOOKUP($D5,商品マスタ範囲,3,FALSE),"")</f>
        <v/>
      </c>
      <c r="H5" s="40">
        <f>IFERROR(IF(SUMPRODUCT(MAX((案件入力!$D$2:$D$4=$D5)*(案件入力!$R$2:$R$4="完了")*(案件入力!$B$2:$B$4)))=0,VLOOKUP($D5,商品マスタ範囲,5,FALSE),INDEX(案件入力!$I$2:$I$4,MATCH($D5&amp;"|"&amp;TEXT(SUMPRODUCT(MAX((案件入力!$D$2:$D$4=$D5)*(案件入力!$R$2:$R$4="完了")*(案件入力!$B$2:$B$4))),"0"),案件入力!$T$2:$T$4,0))),"")</f>
        <v/>
      </c>
      <c r="I5" s="40" t="n"/>
      <c r="J5" s="11">
        <f>IF(OR($H5="",$I5=""),"",IFERROR(($I5-$H5)/$H5,""))</f>
        <v/>
      </c>
      <c r="K5" s="8" t="n"/>
      <c r="L5" s="40">
        <f>IFERROR(IF(SUMPRODUCT(MAX((案件入力!$D$2:$D$4=$D5)*(案件入力!$R$2:$R$4="完了")*(案件入力!$B$2:$B$4)))=0,VLOOKUP($D5,商品マスタ範囲,6,FALSE),INDEX(案件入力!$M$2:$M$4,MATCH($D5&amp;"|"&amp;TEXT(SUMPRODUCT(MAX((案件入力!$D$2:$D$4=$D5)*(案件入力!$R$2:$R$4="完了")*(案件入力!$B$2:$B$4))),"0"),案件入力!$T$2:$T$4,0))),"")</f>
        <v/>
      </c>
      <c r="M5" s="40" t="n"/>
      <c r="N5" s="11">
        <f>IF(OR($L5="",$M5=""),"",IFERROR(($M5-$L5)/$L5,""))</f>
        <v/>
      </c>
      <c r="O5" s="8" t="n"/>
      <c r="P5" s="9" t="n"/>
      <c r="Q5" s="7" t="n"/>
      <c r="R5" s="7" t="n"/>
      <c r="S5" s="7" t="n"/>
      <c r="T5" s="7">
        <f>IF($R5="完了",$D5&amp;"|"&amp;TEXT($B5,"0"),"")</f>
        <v/>
      </c>
    </row>
    <row r="6">
      <c r="A6" s="7">
        <f>IF($B6="","",TEXT(YEAR($B6),"0000")&amp;"-"&amp;TEXT(SUMPRODUCT((YEAR($B$2:$B6)=YEAR($B6))*($B$2:$B6&lt;&gt;"")),"000"))</f>
        <v/>
      </c>
      <c r="B6" s="8" t="n"/>
      <c r="C6" s="7" t="n"/>
      <c r="D6" s="9" t="n"/>
      <c r="E6" s="7">
        <f>IFERROR(VLOOKUP($D6,商品マスタ範囲,4,FALSE),"")</f>
        <v/>
      </c>
      <c r="F6" s="7">
        <f>IFERROR(VLOOKUP($D6,商品マスタ範囲,2,FALSE),"")</f>
        <v/>
      </c>
      <c r="G6" s="7">
        <f>IFERROR(VLOOKUP($D6,商品マスタ範囲,3,FALSE),"")</f>
        <v/>
      </c>
      <c r="H6" s="40">
        <f>IFERROR(IF(SUMPRODUCT(MAX((案件入力!$D$2:$D$5=$D6)*(案件入力!$R$2:$R$5="完了")*(案件入力!$B$2:$B$5)))=0,VLOOKUP($D6,商品マスタ範囲,5,FALSE),INDEX(案件入力!$I$2:$I$5,MATCH($D6&amp;"|"&amp;TEXT(SUMPRODUCT(MAX((案件入力!$D$2:$D$5=$D6)*(案件入力!$R$2:$R$5="完了")*(案件入力!$B$2:$B$5))),"0"),案件入力!$T$2:$T$5,0))),"")</f>
        <v/>
      </c>
      <c r="I6" s="40" t="n"/>
      <c r="J6" s="11">
        <f>IF(OR($H6="",$I6=""),"",IFERROR(($I6-$H6)/$H6,""))</f>
        <v/>
      </c>
      <c r="K6" s="8" t="n"/>
      <c r="L6" s="40">
        <f>IFERROR(IF(SUMPRODUCT(MAX((案件入力!$D$2:$D$5=$D6)*(案件入力!$R$2:$R$5="完了")*(案件入力!$B$2:$B$5)))=0,VLOOKUP($D6,商品マスタ範囲,6,FALSE),INDEX(案件入力!$M$2:$M$5,MATCH($D6&amp;"|"&amp;TEXT(SUMPRODUCT(MAX((案件入力!$D$2:$D$5=$D6)*(案件入力!$R$2:$R$5="完了")*(案件入力!$B$2:$B$5))),"0"),案件入力!$T$2:$T$5,0))),"")</f>
        <v/>
      </c>
      <c r="M6" s="40" t="n"/>
      <c r="N6" s="11">
        <f>IF(OR($L6="",$M6=""),"",IFERROR(($M6-$L6)/$L6,""))</f>
        <v/>
      </c>
      <c r="O6" s="8" t="n"/>
      <c r="P6" s="9" t="n"/>
      <c r="Q6" s="7" t="n"/>
      <c r="R6" s="7" t="n"/>
      <c r="S6" s="7" t="n"/>
      <c r="T6" s="7">
        <f>IF($R6="完了",$D6&amp;"|"&amp;TEXT($B6,"0"),"")</f>
        <v/>
      </c>
    </row>
    <row r="7">
      <c r="A7" s="7">
        <f>IF($B7="","",TEXT(YEAR($B7),"0000")&amp;"-"&amp;TEXT(SUMPRODUCT((YEAR($B$2:$B7)=YEAR($B7))*($B$2:$B7&lt;&gt;"")),"000"))</f>
        <v/>
      </c>
      <c r="B7" s="8" t="n"/>
      <c r="C7" s="7" t="n"/>
      <c r="D7" s="9" t="n"/>
      <c r="E7" s="7">
        <f>IFERROR(VLOOKUP($D7,商品マスタ範囲,4,FALSE),"")</f>
        <v/>
      </c>
      <c r="F7" s="7">
        <f>IFERROR(VLOOKUP($D7,商品マスタ範囲,2,FALSE),"")</f>
        <v/>
      </c>
      <c r="G7" s="7">
        <f>IFERROR(VLOOKUP($D7,商品マスタ範囲,3,FALSE),"")</f>
        <v/>
      </c>
      <c r="H7" s="40">
        <f>IFERROR(IF(SUMPRODUCT(MAX((案件入力!$D$2:$D$6=$D7)*(案件入力!$R$2:$R$6="完了")*(案件入力!$B$2:$B$6)))=0,VLOOKUP($D7,商品マスタ範囲,5,FALSE),INDEX(案件入力!$I$2:$I$6,MATCH($D7&amp;"|"&amp;TEXT(SUMPRODUCT(MAX((案件入力!$D$2:$D$6=$D7)*(案件入力!$R$2:$R$6="完了")*(案件入力!$B$2:$B$6))),"0"),案件入力!$T$2:$T$6,0))),"")</f>
        <v/>
      </c>
      <c r="I7" s="40" t="n"/>
      <c r="J7" s="11">
        <f>IF(OR($H7="",$I7=""),"",IFERROR(($I7-$H7)/$H7,""))</f>
        <v/>
      </c>
      <c r="K7" s="8" t="n"/>
      <c r="L7" s="40">
        <f>IFERROR(IF(SUMPRODUCT(MAX((案件入力!$D$2:$D$6=$D7)*(案件入力!$R$2:$R$6="完了")*(案件入力!$B$2:$B$6)))=0,VLOOKUP($D7,商品マスタ範囲,6,FALSE),INDEX(案件入力!$M$2:$M$6,MATCH($D7&amp;"|"&amp;TEXT(SUMPRODUCT(MAX((案件入力!$D$2:$D$6=$D7)*(案件入力!$R$2:$R$6="完了")*(案件入力!$B$2:$B$6))),"0"),案件入力!$T$2:$T$6,0))),"")</f>
        <v/>
      </c>
      <c r="M7" s="40" t="n"/>
      <c r="N7" s="11">
        <f>IF(OR($L7="",$M7=""),"",IFERROR(($M7-$L7)/$L7,""))</f>
        <v/>
      </c>
      <c r="O7" s="8" t="n"/>
      <c r="P7" s="9" t="n"/>
      <c r="Q7" s="7" t="n"/>
      <c r="R7" s="7" t="n"/>
      <c r="S7" s="7" t="n"/>
      <c r="T7" s="7">
        <f>IF($R7="完了",$D7&amp;"|"&amp;TEXT($B7,"0"),"")</f>
        <v/>
      </c>
    </row>
    <row r="8">
      <c r="A8" s="7">
        <f>IF($B8="","",TEXT(YEAR($B8),"0000")&amp;"-"&amp;TEXT(SUMPRODUCT((YEAR($B$2:$B8)=YEAR($B8))*($B$2:$B8&lt;&gt;"")),"000"))</f>
        <v/>
      </c>
      <c r="B8" s="8" t="n"/>
      <c r="C8" s="7" t="n"/>
      <c r="D8" s="9" t="n"/>
      <c r="E8" s="7">
        <f>IFERROR(VLOOKUP($D8,商品マスタ範囲,4,FALSE),"")</f>
        <v/>
      </c>
      <c r="F8" s="7">
        <f>IFERROR(VLOOKUP($D8,商品マスタ範囲,2,FALSE),"")</f>
        <v/>
      </c>
      <c r="G8" s="7">
        <f>IFERROR(VLOOKUP($D8,商品マスタ範囲,3,FALSE),"")</f>
        <v/>
      </c>
      <c r="H8" s="40">
        <f>IFERROR(IF(SUMPRODUCT(MAX((案件入力!$D$2:$D$7=$D8)*(案件入力!$R$2:$R$7="完了")*(案件入力!$B$2:$B$7)))=0,VLOOKUP($D8,商品マスタ範囲,5,FALSE),INDEX(案件入力!$I$2:$I$7,MATCH($D8&amp;"|"&amp;TEXT(SUMPRODUCT(MAX((案件入力!$D$2:$D$7=$D8)*(案件入力!$R$2:$R$7="完了")*(案件入力!$B$2:$B$7))),"0"),案件入力!$T$2:$T$7,0))),"")</f>
        <v/>
      </c>
      <c r="I8" s="40" t="n"/>
      <c r="J8" s="11">
        <f>IF(OR($H8="",$I8=""),"",IFERROR(($I8-$H8)/$H8,""))</f>
        <v/>
      </c>
      <c r="K8" s="8" t="n"/>
      <c r="L8" s="40">
        <f>IFERROR(IF(SUMPRODUCT(MAX((案件入力!$D$2:$D$7=$D8)*(案件入力!$R$2:$R$7="完了")*(案件入力!$B$2:$B$7)))=0,VLOOKUP($D8,商品マスタ範囲,6,FALSE),INDEX(案件入力!$M$2:$M$7,MATCH($D8&amp;"|"&amp;TEXT(SUMPRODUCT(MAX((案件入力!$D$2:$D$7=$D8)*(案件入力!$R$2:$R$7="完了")*(案件入力!$B$2:$B$7))),"0"),案件入力!$T$2:$T$7,0))),"")</f>
        <v/>
      </c>
      <c r="M8" s="40" t="n"/>
      <c r="N8" s="11">
        <f>IF(OR($L8="",$M8=""),"",IFERROR(($M8-$L8)/$L8,""))</f>
        <v/>
      </c>
      <c r="O8" s="8" t="n"/>
      <c r="P8" s="9" t="n"/>
      <c r="Q8" s="7" t="n"/>
      <c r="R8" s="7" t="n"/>
      <c r="S8" s="7" t="n"/>
      <c r="T8" s="7">
        <f>IF($R8="完了",$D8&amp;"|"&amp;TEXT($B8,"0"),"")</f>
        <v/>
      </c>
    </row>
    <row r="9">
      <c r="A9" s="7">
        <f>IF($B9="","",TEXT(YEAR($B9),"0000")&amp;"-"&amp;TEXT(SUMPRODUCT((YEAR($B$2:$B9)=YEAR($B9))*($B$2:$B9&lt;&gt;"")),"000"))</f>
        <v/>
      </c>
      <c r="B9" s="8" t="n"/>
      <c r="C9" s="7" t="n"/>
      <c r="D9" s="9" t="n"/>
      <c r="E9" s="7">
        <f>IFERROR(VLOOKUP($D9,商品マスタ範囲,4,FALSE),"")</f>
        <v/>
      </c>
      <c r="F9" s="7">
        <f>IFERROR(VLOOKUP($D9,商品マスタ範囲,2,FALSE),"")</f>
        <v/>
      </c>
      <c r="G9" s="7">
        <f>IFERROR(VLOOKUP($D9,商品マスタ範囲,3,FALSE),"")</f>
        <v/>
      </c>
      <c r="H9" s="40">
        <f>IFERROR(IF(SUMPRODUCT(MAX((案件入力!$D$2:$D$8=$D9)*(案件入力!$R$2:$R$8="完了")*(案件入力!$B$2:$B$8)))=0,VLOOKUP($D9,商品マスタ範囲,5,FALSE),INDEX(案件入力!$I$2:$I$8,MATCH($D9&amp;"|"&amp;TEXT(SUMPRODUCT(MAX((案件入力!$D$2:$D$8=$D9)*(案件入力!$R$2:$R$8="完了")*(案件入力!$B$2:$B$8))),"0"),案件入力!$T$2:$T$8,0))),"")</f>
        <v/>
      </c>
      <c r="I9" s="40" t="n"/>
      <c r="J9" s="11">
        <f>IF(OR($H9="",$I9=""),"",IFERROR(($I9-$H9)/$H9,""))</f>
        <v/>
      </c>
      <c r="K9" s="8" t="n"/>
      <c r="L9" s="40">
        <f>IFERROR(IF(SUMPRODUCT(MAX((案件入力!$D$2:$D$8=$D9)*(案件入力!$R$2:$R$8="完了")*(案件入力!$B$2:$B$8)))=0,VLOOKUP($D9,商品マスタ範囲,6,FALSE),INDEX(案件入力!$M$2:$M$8,MATCH($D9&amp;"|"&amp;TEXT(SUMPRODUCT(MAX((案件入力!$D$2:$D$8=$D9)*(案件入力!$R$2:$R$8="完了")*(案件入力!$B$2:$B$8))),"0"),案件入力!$T$2:$T$8,0))),"")</f>
        <v/>
      </c>
      <c r="M9" s="40" t="n"/>
      <c r="N9" s="11">
        <f>IF(OR($L9="",$M9=""),"",IFERROR(($M9-$L9)/$L9,""))</f>
        <v/>
      </c>
      <c r="O9" s="8" t="n"/>
      <c r="P9" s="9" t="n"/>
      <c r="Q9" s="7" t="n"/>
      <c r="R9" s="7" t="n"/>
      <c r="S9" s="7" t="n"/>
      <c r="T9" s="7">
        <f>IF($R9="完了",$D9&amp;"|"&amp;TEXT($B9,"0"),"")</f>
        <v/>
      </c>
    </row>
    <row r="10">
      <c r="A10" s="7">
        <f>IF($B10="","",TEXT(YEAR($B10),"0000")&amp;"-"&amp;TEXT(SUMPRODUCT((YEAR($B$2:$B10)=YEAR($B10))*($B$2:$B10&lt;&gt;"")),"000"))</f>
        <v/>
      </c>
      <c r="B10" s="8" t="n"/>
      <c r="C10" s="7" t="n"/>
      <c r="D10" s="9" t="n"/>
      <c r="E10" s="7">
        <f>IFERROR(VLOOKUP($D10,商品マスタ範囲,4,FALSE),"")</f>
        <v/>
      </c>
      <c r="F10" s="7">
        <f>IFERROR(VLOOKUP($D10,商品マスタ範囲,2,FALSE),"")</f>
        <v/>
      </c>
      <c r="G10" s="7">
        <f>IFERROR(VLOOKUP($D10,商品マスタ範囲,3,FALSE),"")</f>
        <v/>
      </c>
      <c r="H10" s="40">
        <f>IFERROR(IF(SUMPRODUCT(MAX((案件入力!$D$2:$D$9=$D10)*(案件入力!$R$2:$R$9="完了")*(案件入力!$B$2:$B$9)))=0,VLOOKUP($D10,商品マスタ範囲,5,FALSE),INDEX(案件入力!$I$2:$I$9,MATCH($D10&amp;"|"&amp;TEXT(SUMPRODUCT(MAX((案件入力!$D$2:$D$9=$D10)*(案件入力!$R$2:$R$9="完了")*(案件入力!$B$2:$B$9))),"0"),案件入力!$T$2:$T$9,0))),"")</f>
        <v/>
      </c>
      <c r="I10" s="40" t="n"/>
      <c r="J10" s="11">
        <f>IF(OR($H10="",$I10=""),"",IFERROR(($I10-$H10)/$H10,""))</f>
        <v/>
      </c>
      <c r="K10" s="8" t="n"/>
      <c r="L10" s="40">
        <f>IFERROR(IF(SUMPRODUCT(MAX((案件入力!$D$2:$D$9=$D10)*(案件入力!$R$2:$R$9="完了")*(案件入力!$B$2:$B$9)))=0,VLOOKUP($D10,商品マスタ範囲,6,FALSE),INDEX(案件入力!$M$2:$M$9,MATCH($D10&amp;"|"&amp;TEXT(SUMPRODUCT(MAX((案件入力!$D$2:$D$9=$D10)*(案件入力!$R$2:$R$9="完了")*(案件入力!$B$2:$B$9))),"0"),案件入力!$T$2:$T$9,0))),"")</f>
        <v/>
      </c>
      <c r="M10" s="40" t="n"/>
      <c r="N10" s="11">
        <f>IF(OR($L10="",$M10=""),"",IFERROR(($M10-$L10)/$L10,""))</f>
        <v/>
      </c>
      <c r="O10" s="8" t="n"/>
      <c r="P10" s="9" t="n"/>
      <c r="Q10" s="7" t="n"/>
      <c r="R10" s="7" t="n"/>
      <c r="S10" s="7" t="n"/>
      <c r="T10" s="7">
        <f>IF($R10="完了",$D10&amp;"|"&amp;TEXT($B10,"0"),"")</f>
        <v/>
      </c>
    </row>
    <row r="11">
      <c r="A11" s="7">
        <f>IF($B11="","",TEXT(YEAR($B11),"0000")&amp;"-"&amp;TEXT(SUMPRODUCT((YEAR($B$2:$B11)=YEAR($B11))*($B$2:$B11&lt;&gt;"")),"000"))</f>
        <v/>
      </c>
      <c r="B11" s="8" t="n"/>
      <c r="C11" s="7" t="n"/>
      <c r="D11" s="9" t="n"/>
      <c r="E11" s="7">
        <f>IFERROR(VLOOKUP($D11,商品マスタ範囲,4,FALSE),"")</f>
        <v/>
      </c>
      <c r="F11" s="7">
        <f>IFERROR(VLOOKUP($D11,商品マスタ範囲,2,FALSE),"")</f>
        <v/>
      </c>
      <c r="G11" s="7">
        <f>IFERROR(VLOOKUP($D11,商品マスタ範囲,3,FALSE),"")</f>
        <v/>
      </c>
      <c r="H11" s="40">
        <f>IFERROR(IF(SUMPRODUCT(MAX((案件入力!$D$2:$D$10=$D11)*(案件入力!$R$2:$R$10="完了")*(案件入力!$B$2:$B$10)))=0,VLOOKUP($D11,商品マスタ範囲,5,FALSE),INDEX(案件入力!$I$2:$I$10,MATCH($D11&amp;"|"&amp;TEXT(SUMPRODUCT(MAX((案件入力!$D$2:$D$10=$D11)*(案件入力!$R$2:$R$10="完了")*(案件入力!$B$2:$B$10))),"0"),案件入力!$T$2:$T$10,0))),"")</f>
        <v/>
      </c>
      <c r="I11" s="40" t="n"/>
      <c r="J11" s="11">
        <f>IF(OR($H11="",$I11=""),"",IFERROR(($I11-$H11)/$H11,""))</f>
        <v/>
      </c>
      <c r="K11" s="8" t="n"/>
      <c r="L11" s="40">
        <f>IFERROR(IF(SUMPRODUCT(MAX((案件入力!$D$2:$D$10=$D11)*(案件入力!$R$2:$R$10="完了")*(案件入力!$B$2:$B$10)))=0,VLOOKUP($D11,商品マスタ範囲,6,FALSE),INDEX(案件入力!$M$2:$M$10,MATCH($D11&amp;"|"&amp;TEXT(SUMPRODUCT(MAX((案件入力!$D$2:$D$10=$D11)*(案件入力!$R$2:$R$10="完了")*(案件入力!$B$2:$B$10))),"0"),案件入力!$T$2:$T$10,0))),"")</f>
        <v/>
      </c>
      <c r="M11" s="40" t="n"/>
      <c r="N11" s="11">
        <f>IF(OR($L11="",$M11=""),"",IFERROR(($M11-$L11)/$L11,""))</f>
        <v/>
      </c>
      <c r="O11" s="8" t="n"/>
      <c r="P11" s="9" t="n"/>
      <c r="Q11" s="7" t="n"/>
      <c r="R11" s="7" t="n"/>
      <c r="S11" s="7" t="n"/>
      <c r="T11" s="7">
        <f>IF($R11="完了",$D11&amp;"|"&amp;TEXT($B11,"0"),"")</f>
        <v/>
      </c>
    </row>
    <row r="12">
      <c r="A12" s="7">
        <f>IF($B12="","",TEXT(YEAR($B12),"0000")&amp;"-"&amp;TEXT(SUMPRODUCT((YEAR($B$2:$B12)=YEAR($B12))*($B$2:$B12&lt;&gt;"")),"000"))</f>
        <v/>
      </c>
      <c r="B12" s="8" t="n"/>
      <c r="C12" s="7" t="n"/>
      <c r="D12" s="9" t="n"/>
      <c r="E12" s="7">
        <f>IFERROR(VLOOKUP($D12,商品マスタ範囲,4,FALSE),"")</f>
        <v/>
      </c>
      <c r="F12" s="7">
        <f>IFERROR(VLOOKUP($D12,商品マスタ範囲,2,FALSE),"")</f>
        <v/>
      </c>
      <c r="G12" s="7">
        <f>IFERROR(VLOOKUP($D12,商品マスタ範囲,3,FALSE),"")</f>
        <v/>
      </c>
      <c r="H12" s="40">
        <f>IFERROR(IF(SUMPRODUCT(MAX((案件入力!$D$2:$D$11=$D12)*(案件入力!$R$2:$R$11="完了")*(案件入力!$B$2:$B$11)))=0,VLOOKUP($D12,商品マスタ範囲,5,FALSE),INDEX(案件入力!$I$2:$I$11,MATCH($D12&amp;"|"&amp;TEXT(SUMPRODUCT(MAX((案件入力!$D$2:$D$11=$D12)*(案件入力!$R$2:$R$11="完了")*(案件入力!$B$2:$B$11))),"0"),案件入力!$T$2:$T$11,0))),"")</f>
        <v/>
      </c>
      <c r="I12" s="40" t="n"/>
      <c r="J12" s="11">
        <f>IF(OR($H12="",$I12=""),"",IFERROR(($I12-$H12)/$H12,""))</f>
        <v/>
      </c>
      <c r="K12" s="8" t="n"/>
      <c r="L12" s="40">
        <f>IFERROR(IF(SUMPRODUCT(MAX((案件入力!$D$2:$D$11=$D12)*(案件入力!$R$2:$R$11="完了")*(案件入力!$B$2:$B$11)))=0,VLOOKUP($D12,商品マスタ範囲,6,FALSE),INDEX(案件入力!$M$2:$M$11,MATCH($D12&amp;"|"&amp;TEXT(SUMPRODUCT(MAX((案件入力!$D$2:$D$11=$D12)*(案件入力!$R$2:$R$11="完了")*(案件入力!$B$2:$B$11))),"0"),案件入力!$T$2:$T$11,0))),"")</f>
        <v/>
      </c>
      <c r="M12" s="40" t="n"/>
      <c r="N12" s="11">
        <f>IF(OR($L12="",$M12=""),"",IFERROR(($M12-$L12)/$L12,""))</f>
        <v/>
      </c>
      <c r="O12" s="8" t="n"/>
      <c r="P12" s="9" t="n"/>
      <c r="Q12" s="7" t="n"/>
      <c r="R12" s="7" t="n"/>
      <c r="S12" s="7" t="n"/>
      <c r="T12" s="7">
        <f>IF($R12="完了",$D12&amp;"|"&amp;TEXT($B12,"0"),"")</f>
        <v/>
      </c>
    </row>
    <row r="13">
      <c r="A13" s="7">
        <f>IF($B13="","",TEXT(YEAR($B13),"0000")&amp;"-"&amp;TEXT(SUMPRODUCT((YEAR($B$2:$B13)=YEAR($B13))*($B$2:$B13&lt;&gt;"")),"000"))</f>
        <v/>
      </c>
      <c r="B13" s="8" t="n"/>
      <c r="C13" s="7" t="n"/>
      <c r="D13" s="9" t="n"/>
      <c r="E13" s="7">
        <f>IFERROR(VLOOKUP($D13,商品マスタ範囲,4,FALSE),"")</f>
        <v/>
      </c>
      <c r="F13" s="7">
        <f>IFERROR(VLOOKUP($D13,商品マスタ範囲,2,FALSE),"")</f>
        <v/>
      </c>
      <c r="G13" s="7">
        <f>IFERROR(VLOOKUP($D13,商品マスタ範囲,3,FALSE),"")</f>
        <v/>
      </c>
      <c r="H13" s="40">
        <f>IFERROR(IF(SUMPRODUCT(MAX((案件入力!$D$2:$D$12=$D13)*(案件入力!$R$2:$R$12="完了")*(案件入力!$B$2:$B$12)))=0,VLOOKUP($D13,商品マスタ範囲,5,FALSE),INDEX(案件入力!$I$2:$I$12,MATCH($D13&amp;"|"&amp;TEXT(SUMPRODUCT(MAX((案件入力!$D$2:$D$12=$D13)*(案件入力!$R$2:$R$12="完了")*(案件入力!$B$2:$B$12))),"0"),案件入力!$T$2:$T$12,0))),"")</f>
        <v/>
      </c>
      <c r="I13" s="40" t="n"/>
      <c r="J13" s="11">
        <f>IF(OR($H13="",$I13=""),"",IFERROR(($I13-$H13)/$H13,""))</f>
        <v/>
      </c>
      <c r="K13" s="8" t="n"/>
      <c r="L13" s="40">
        <f>IFERROR(IF(SUMPRODUCT(MAX((案件入力!$D$2:$D$12=$D13)*(案件入力!$R$2:$R$12="完了")*(案件入力!$B$2:$B$12)))=0,VLOOKUP($D13,商品マスタ範囲,6,FALSE),INDEX(案件入力!$M$2:$M$12,MATCH($D13&amp;"|"&amp;TEXT(SUMPRODUCT(MAX((案件入力!$D$2:$D$12=$D13)*(案件入力!$R$2:$R$12="完了")*(案件入力!$B$2:$B$12))),"0"),案件入力!$T$2:$T$12,0))),"")</f>
        <v/>
      </c>
      <c r="M13" s="40" t="n"/>
      <c r="N13" s="11">
        <f>IF(OR($L13="",$M13=""),"",IFERROR(($M13-$L13)/$L13,""))</f>
        <v/>
      </c>
      <c r="O13" s="8" t="n"/>
      <c r="P13" s="9" t="n"/>
      <c r="Q13" s="7" t="n"/>
      <c r="R13" s="7" t="n"/>
      <c r="S13" s="7" t="n"/>
      <c r="T13" s="7">
        <f>IF($R13="完了",$D13&amp;"|"&amp;TEXT($B13,"0"),"")</f>
        <v/>
      </c>
    </row>
    <row r="14">
      <c r="A14" s="7">
        <f>IF($B14="","",TEXT(YEAR($B14),"0000")&amp;"-"&amp;TEXT(SUMPRODUCT((YEAR($B$2:$B14)=YEAR($B14))*($B$2:$B14&lt;&gt;"")),"000"))</f>
        <v/>
      </c>
      <c r="B14" s="8" t="n"/>
      <c r="C14" s="7" t="n"/>
      <c r="D14" s="9" t="n"/>
      <c r="E14" s="7">
        <f>IFERROR(VLOOKUP($D14,商品マスタ範囲,4,FALSE),"")</f>
        <v/>
      </c>
      <c r="F14" s="7">
        <f>IFERROR(VLOOKUP($D14,商品マスタ範囲,2,FALSE),"")</f>
        <v/>
      </c>
      <c r="G14" s="7">
        <f>IFERROR(VLOOKUP($D14,商品マスタ範囲,3,FALSE),"")</f>
        <v/>
      </c>
      <c r="H14" s="40">
        <f>IFERROR(IF(SUMPRODUCT(MAX((案件入力!$D$2:$D$13=$D14)*(案件入力!$R$2:$R$13="完了")*(案件入力!$B$2:$B$13)))=0,VLOOKUP($D14,商品マスタ範囲,5,FALSE),INDEX(案件入力!$I$2:$I$13,MATCH($D14&amp;"|"&amp;TEXT(SUMPRODUCT(MAX((案件入力!$D$2:$D$13=$D14)*(案件入力!$R$2:$R$13="完了")*(案件入力!$B$2:$B$13))),"0"),案件入力!$T$2:$T$13,0))),"")</f>
        <v/>
      </c>
      <c r="I14" s="40" t="n"/>
      <c r="J14" s="11">
        <f>IF(OR($H14="",$I14=""),"",IFERROR(($I14-$H14)/$H14,""))</f>
        <v/>
      </c>
      <c r="K14" s="8" t="n"/>
      <c r="L14" s="40">
        <f>IFERROR(IF(SUMPRODUCT(MAX((案件入力!$D$2:$D$13=$D14)*(案件入力!$R$2:$R$13="完了")*(案件入力!$B$2:$B$13)))=0,VLOOKUP($D14,商品マスタ範囲,6,FALSE),INDEX(案件入力!$M$2:$M$13,MATCH($D14&amp;"|"&amp;TEXT(SUMPRODUCT(MAX((案件入力!$D$2:$D$13=$D14)*(案件入力!$R$2:$R$13="完了")*(案件入力!$B$2:$B$13))),"0"),案件入力!$T$2:$T$13,0))),"")</f>
        <v/>
      </c>
      <c r="M14" s="40" t="n"/>
      <c r="N14" s="11">
        <f>IF(OR($L14="",$M14=""),"",IFERROR(($M14-$L14)/$L14,""))</f>
        <v/>
      </c>
      <c r="O14" s="8" t="n"/>
      <c r="P14" s="9" t="n"/>
      <c r="Q14" s="7" t="n"/>
      <c r="R14" s="7" t="n"/>
      <c r="S14" s="7" t="n"/>
      <c r="T14" s="7">
        <f>IF($R14="完了",$D14&amp;"|"&amp;TEXT($B14,"0"),"")</f>
        <v/>
      </c>
    </row>
    <row r="15">
      <c r="A15" s="7">
        <f>IF($B15="","",TEXT(YEAR($B15),"0000")&amp;"-"&amp;TEXT(SUMPRODUCT((YEAR($B$2:$B15)=YEAR($B15))*($B$2:$B15&lt;&gt;"")),"000"))</f>
        <v/>
      </c>
      <c r="B15" s="8" t="n"/>
      <c r="C15" s="7" t="n"/>
      <c r="D15" s="9" t="n"/>
      <c r="E15" s="7">
        <f>IFERROR(VLOOKUP($D15,商品マスタ範囲,4,FALSE),"")</f>
        <v/>
      </c>
      <c r="F15" s="7">
        <f>IFERROR(VLOOKUP($D15,商品マスタ範囲,2,FALSE),"")</f>
        <v/>
      </c>
      <c r="G15" s="7">
        <f>IFERROR(VLOOKUP($D15,商品マスタ範囲,3,FALSE),"")</f>
        <v/>
      </c>
      <c r="H15" s="40">
        <f>IFERROR(IF(SUMPRODUCT(MAX((案件入力!$D$2:$D$14=$D15)*(案件入力!$R$2:$R$14="完了")*(案件入力!$B$2:$B$14)))=0,VLOOKUP($D15,商品マスタ範囲,5,FALSE),INDEX(案件入力!$I$2:$I$14,MATCH($D15&amp;"|"&amp;TEXT(SUMPRODUCT(MAX((案件入力!$D$2:$D$14=$D15)*(案件入力!$R$2:$R$14="完了")*(案件入力!$B$2:$B$14))),"0"),案件入力!$T$2:$T$14,0))),"")</f>
        <v/>
      </c>
      <c r="I15" s="40" t="n"/>
      <c r="J15" s="11">
        <f>IF(OR($H15="",$I15=""),"",IFERROR(($I15-$H15)/$H15,""))</f>
        <v/>
      </c>
      <c r="K15" s="8" t="n"/>
      <c r="L15" s="40">
        <f>IFERROR(IF(SUMPRODUCT(MAX((案件入力!$D$2:$D$14=$D15)*(案件入力!$R$2:$R$14="完了")*(案件入力!$B$2:$B$14)))=0,VLOOKUP($D15,商品マスタ範囲,6,FALSE),INDEX(案件入力!$M$2:$M$14,MATCH($D15&amp;"|"&amp;TEXT(SUMPRODUCT(MAX((案件入力!$D$2:$D$14=$D15)*(案件入力!$R$2:$R$14="完了")*(案件入力!$B$2:$B$14))),"0"),案件入力!$T$2:$T$14,0))),"")</f>
        <v/>
      </c>
      <c r="M15" s="40" t="n"/>
      <c r="N15" s="11">
        <f>IF(OR($L15="",$M15=""),"",IFERROR(($M15-$L15)/$L15,""))</f>
        <v/>
      </c>
      <c r="O15" s="8" t="n"/>
      <c r="P15" s="9" t="n"/>
      <c r="Q15" s="7" t="n"/>
      <c r="R15" s="7" t="n"/>
      <c r="S15" s="7" t="n"/>
      <c r="T15" s="7">
        <f>IF($R15="完了",$D15&amp;"|"&amp;TEXT($B15,"0"),"")</f>
        <v/>
      </c>
    </row>
    <row r="16">
      <c r="A16" s="7">
        <f>IF($B16="","",TEXT(YEAR($B16),"0000")&amp;"-"&amp;TEXT(SUMPRODUCT((YEAR($B$2:$B16)=YEAR($B16))*($B$2:$B16&lt;&gt;"")),"000"))</f>
        <v/>
      </c>
      <c r="B16" s="8" t="n"/>
      <c r="C16" s="7" t="n"/>
      <c r="D16" s="9" t="n"/>
      <c r="E16" s="7">
        <f>IFERROR(VLOOKUP($D16,商品マスタ範囲,4,FALSE),"")</f>
        <v/>
      </c>
      <c r="F16" s="7">
        <f>IFERROR(VLOOKUP($D16,商品マスタ範囲,2,FALSE),"")</f>
        <v/>
      </c>
      <c r="G16" s="7">
        <f>IFERROR(VLOOKUP($D16,商品マスタ範囲,3,FALSE),"")</f>
        <v/>
      </c>
      <c r="H16" s="40">
        <f>IFERROR(IF(SUMPRODUCT(MAX((案件入力!$D$2:$D$15=$D16)*(案件入力!$R$2:$R$15="完了")*(案件入力!$B$2:$B$15)))=0,VLOOKUP($D16,商品マスタ範囲,5,FALSE),INDEX(案件入力!$I$2:$I$15,MATCH($D16&amp;"|"&amp;TEXT(SUMPRODUCT(MAX((案件入力!$D$2:$D$15=$D16)*(案件入力!$R$2:$R$15="完了")*(案件入力!$B$2:$B$15))),"0"),案件入力!$T$2:$T$15,0))),"")</f>
        <v/>
      </c>
      <c r="I16" s="40" t="n"/>
      <c r="J16" s="11">
        <f>IF(OR($H16="",$I16=""),"",IFERROR(($I16-$H16)/$H16,""))</f>
        <v/>
      </c>
      <c r="K16" s="8" t="n"/>
      <c r="L16" s="40">
        <f>IFERROR(IF(SUMPRODUCT(MAX((案件入力!$D$2:$D$15=$D16)*(案件入力!$R$2:$R$15="完了")*(案件入力!$B$2:$B$15)))=0,VLOOKUP($D16,商品マスタ範囲,6,FALSE),INDEX(案件入力!$M$2:$M$15,MATCH($D16&amp;"|"&amp;TEXT(SUMPRODUCT(MAX((案件入力!$D$2:$D$15=$D16)*(案件入力!$R$2:$R$15="完了")*(案件入力!$B$2:$B$15))),"0"),案件入力!$T$2:$T$15,0))),"")</f>
        <v/>
      </c>
      <c r="M16" s="40" t="n"/>
      <c r="N16" s="11">
        <f>IF(OR($L16="",$M16=""),"",IFERROR(($M16-$L16)/$L16,""))</f>
        <v/>
      </c>
      <c r="O16" s="8" t="n"/>
      <c r="P16" s="9" t="n"/>
      <c r="Q16" s="7" t="n"/>
      <c r="R16" s="7" t="n"/>
      <c r="S16" s="7" t="n"/>
      <c r="T16" s="7">
        <f>IF($R16="完了",$D16&amp;"|"&amp;TEXT($B16,"0"),"")</f>
        <v/>
      </c>
    </row>
    <row r="17">
      <c r="A17" s="7">
        <f>IF($B17="","",TEXT(YEAR($B17),"0000")&amp;"-"&amp;TEXT(SUMPRODUCT((YEAR($B$2:$B17)=YEAR($B17))*($B$2:$B17&lt;&gt;"")),"000"))</f>
        <v/>
      </c>
      <c r="B17" s="8" t="n"/>
      <c r="C17" s="7" t="n"/>
      <c r="D17" s="9" t="n"/>
      <c r="E17" s="7">
        <f>IFERROR(VLOOKUP($D17,商品マスタ範囲,4,FALSE),"")</f>
        <v/>
      </c>
      <c r="F17" s="7">
        <f>IFERROR(VLOOKUP($D17,商品マスタ範囲,2,FALSE),"")</f>
        <v/>
      </c>
      <c r="G17" s="7">
        <f>IFERROR(VLOOKUP($D17,商品マスタ範囲,3,FALSE),"")</f>
        <v/>
      </c>
      <c r="H17" s="40">
        <f>IFERROR(IF(SUMPRODUCT(MAX((案件入力!$D$2:$D$16=$D17)*(案件入力!$R$2:$R$16="完了")*(案件入力!$B$2:$B$16)))=0,VLOOKUP($D17,商品マスタ範囲,5,FALSE),INDEX(案件入力!$I$2:$I$16,MATCH($D17&amp;"|"&amp;TEXT(SUMPRODUCT(MAX((案件入力!$D$2:$D$16=$D17)*(案件入力!$R$2:$R$16="完了")*(案件入力!$B$2:$B$16))),"0"),案件入力!$T$2:$T$16,0))),"")</f>
        <v/>
      </c>
      <c r="I17" s="40" t="n"/>
      <c r="J17" s="11">
        <f>IF(OR($H17="",$I17=""),"",IFERROR(($I17-$H17)/$H17,""))</f>
        <v/>
      </c>
      <c r="K17" s="8" t="n"/>
      <c r="L17" s="40">
        <f>IFERROR(IF(SUMPRODUCT(MAX((案件入力!$D$2:$D$16=$D17)*(案件入力!$R$2:$R$16="完了")*(案件入力!$B$2:$B$16)))=0,VLOOKUP($D17,商品マスタ範囲,6,FALSE),INDEX(案件入力!$M$2:$M$16,MATCH($D17&amp;"|"&amp;TEXT(SUMPRODUCT(MAX((案件入力!$D$2:$D$16=$D17)*(案件入力!$R$2:$R$16="完了")*(案件入力!$B$2:$B$16))),"0"),案件入力!$T$2:$T$16,0))),"")</f>
        <v/>
      </c>
      <c r="M17" s="40" t="n"/>
      <c r="N17" s="11">
        <f>IF(OR($L17="",$M17=""),"",IFERROR(($M17-$L17)/$L17,""))</f>
        <v/>
      </c>
      <c r="O17" s="8" t="n"/>
      <c r="P17" s="9" t="n"/>
      <c r="Q17" s="7" t="n"/>
      <c r="R17" s="7" t="n"/>
      <c r="S17" s="7" t="n"/>
      <c r="T17" s="7">
        <f>IF($R17="完了",$D17&amp;"|"&amp;TEXT($B17,"0"),"")</f>
        <v/>
      </c>
    </row>
    <row r="18">
      <c r="A18" s="7">
        <f>IF($B18="","",TEXT(YEAR($B18),"0000")&amp;"-"&amp;TEXT(SUMPRODUCT((YEAR($B$2:$B18)=YEAR($B18))*($B$2:$B18&lt;&gt;"")),"000"))</f>
        <v/>
      </c>
      <c r="B18" s="8" t="n"/>
      <c r="C18" s="7" t="n"/>
      <c r="D18" s="9" t="n"/>
      <c r="E18" s="7">
        <f>IFERROR(VLOOKUP($D18,商品マスタ範囲,4,FALSE),"")</f>
        <v/>
      </c>
      <c r="F18" s="7">
        <f>IFERROR(VLOOKUP($D18,商品マスタ範囲,2,FALSE),"")</f>
        <v/>
      </c>
      <c r="G18" s="7">
        <f>IFERROR(VLOOKUP($D18,商品マスタ範囲,3,FALSE),"")</f>
        <v/>
      </c>
      <c r="H18" s="40">
        <f>IFERROR(IF(SUMPRODUCT(MAX((案件入力!$D$2:$D$17=$D18)*(案件入力!$R$2:$R$17="完了")*(案件入力!$B$2:$B$17)))=0,VLOOKUP($D18,商品マスタ範囲,5,FALSE),INDEX(案件入力!$I$2:$I$17,MATCH($D18&amp;"|"&amp;TEXT(SUMPRODUCT(MAX((案件入力!$D$2:$D$17=$D18)*(案件入力!$R$2:$R$17="完了")*(案件入力!$B$2:$B$17))),"0"),案件入力!$T$2:$T$17,0))),"")</f>
        <v/>
      </c>
      <c r="I18" s="40" t="n"/>
      <c r="J18" s="11">
        <f>IF(OR($H18="",$I18=""),"",IFERROR(($I18-$H18)/$H18,""))</f>
        <v/>
      </c>
      <c r="K18" s="8" t="n"/>
      <c r="L18" s="40">
        <f>IFERROR(IF(SUMPRODUCT(MAX((案件入力!$D$2:$D$17=$D18)*(案件入力!$R$2:$R$17="完了")*(案件入力!$B$2:$B$17)))=0,VLOOKUP($D18,商品マスタ範囲,6,FALSE),INDEX(案件入力!$M$2:$M$17,MATCH($D18&amp;"|"&amp;TEXT(SUMPRODUCT(MAX((案件入力!$D$2:$D$17=$D18)*(案件入力!$R$2:$R$17="完了")*(案件入力!$B$2:$B$17))),"0"),案件入力!$T$2:$T$17,0))),"")</f>
        <v/>
      </c>
      <c r="M18" s="40" t="n"/>
      <c r="N18" s="11">
        <f>IF(OR($L18="",$M18=""),"",IFERROR(($M18-$L18)/$L18,""))</f>
        <v/>
      </c>
      <c r="O18" s="8" t="n"/>
      <c r="P18" s="9" t="n"/>
      <c r="Q18" s="7" t="n"/>
      <c r="R18" s="7" t="n"/>
      <c r="S18" s="7" t="n"/>
      <c r="T18" s="7">
        <f>IF($R18="完了",$D18&amp;"|"&amp;TEXT($B18,"0"),"")</f>
        <v/>
      </c>
    </row>
    <row r="19">
      <c r="A19" s="7">
        <f>IF($B19="","",TEXT(YEAR($B19),"0000")&amp;"-"&amp;TEXT(SUMPRODUCT((YEAR($B$2:$B19)=YEAR($B19))*($B$2:$B19&lt;&gt;"")),"000"))</f>
        <v/>
      </c>
      <c r="B19" s="8" t="n"/>
      <c r="C19" s="7" t="n"/>
      <c r="D19" s="9" t="n"/>
      <c r="E19" s="7">
        <f>IFERROR(VLOOKUP($D19,商品マスタ範囲,4,FALSE),"")</f>
        <v/>
      </c>
      <c r="F19" s="7">
        <f>IFERROR(VLOOKUP($D19,商品マスタ範囲,2,FALSE),"")</f>
        <v/>
      </c>
      <c r="G19" s="7">
        <f>IFERROR(VLOOKUP($D19,商品マスタ範囲,3,FALSE),"")</f>
        <v/>
      </c>
      <c r="H19" s="40">
        <f>IFERROR(IF(SUMPRODUCT(MAX((案件入力!$D$2:$D$18=$D19)*(案件入力!$R$2:$R$18="完了")*(案件入力!$B$2:$B$18)))=0,VLOOKUP($D19,商品マスタ範囲,5,FALSE),INDEX(案件入力!$I$2:$I$18,MATCH($D19&amp;"|"&amp;TEXT(SUMPRODUCT(MAX((案件入力!$D$2:$D$18=$D19)*(案件入力!$R$2:$R$18="完了")*(案件入力!$B$2:$B$18))),"0"),案件入力!$T$2:$T$18,0))),"")</f>
        <v/>
      </c>
      <c r="I19" s="40" t="n"/>
      <c r="J19" s="11">
        <f>IF(OR($H19="",$I19=""),"",IFERROR(($I19-$H19)/$H19,""))</f>
        <v/>
      </c>
      <c r="K19" s="8" t="n"/>
      <c r="L19" s="40">
        <f>IFERROR(IF(SUMPRODUCT(MAX((案件入力!$D$2:$D$18=$D19)*(案件入力!$R$2:$R$18="完了")*(案件入力!$B$2:$B$18)))=0,VLOOKUP($D19,商品マスタ範囲,6,FALSE),INDEX(案件入力!$M$2:$M$18,MATCH($D19&amp;"|"&amp;TEXT(SUMPRODUCT(MAX((案件入力!$D$2:$D$18=$D19)*(案件入力!$R$2:$R$18="完了")*(案件入力!$B$2:$B$18))),"0"),案件入力!$T$2:$T$18,0))),"")</f>
        <v/>
      </c>
      <c r="M19" s="40" t="n"/>
      <c r="N19" s="11">
        <f>IF(OR($L19="",$M19=""),"",IFERROR(($M19-$L19)/$L19,""))</f>
        <v/>
      </c>
      <c r="O19" s="8" t="n"/>
      <c r="P19" s="9" t="n"/>
      <c r="Q19" s="7" t="n"/>
      <c r="R19" s="7" t="n"/>
      <c r="S19" s="7" t="n"/>
      <c r="T19" s="7">
        <f>IF($R19="完了",$D19&amp;"|"&amp;TEXT($B19,"0"),"")</f>
        <v/>
      </c>
    </row>
    <row r="20">
      <c r="A20" s="7">
        <f>IF($B20="","",TEXT(YEAR($B20),"0000")&amp;"-"&amp;TEXT(SUMPRODUCT((YEAR($B$2:$B20)=YEAR($B20))*($B$2:$B20&lt;&gt;"")),"000"))</f>
        <v/>
      </c>
      <c r="B20" s="8" t="n"/>
      <c r="C20" s="7" t="n"/>
      <c r="D20" s="9" t="n"/>
      <c r="E20" s="7">
        <f>IFERROR(VLOOKUP($D20,商品マスタ範囲,4,FALSE),"")</f>
        <v/>
      </c>
      <c r="F20" s="7">
        <f>IFERROR(VLOOKUP($D20,商品マスタ範囲,2,FALSE),"")</f>
        <v/>
      </c>
      <c r="G20" s="7">
        <f>IFERROR(VLOOKUP($D20,商品マスタ範囲,3,FALSE),"")</f>
        <v/>
      </c>
      <c r="H20" s="40">
        <f>IFERROR(IF(SUMPRODUCT(MAX((案件入力!$D$2:$D$19=$D20)*(案件入力!$R$2:$R$19="完了")*(案件入力!$B$2:$B$19)))=0,VLOOKUP($D20,商品マスタ範囲,5,FALSE),INDEX(案件入力!$I$2:$I$19,MATCH($D20&amp;"|"&amp;TEXT(SUMPRODUCT(MAX((案件入力!$D$2:$D$19=$D20)*(案件入力!$R$2:$R$19="完了")*(案件入力!$B$2:$B$19))),"0"),案件入力!$T$2:$T$19,0))),"")</f>
        <v/>
      </c>
      <c r="I20" s="40" t="n"/>
      <c r="J20" s="11">
        <f>IF(OR($H20="",$I20=""),"",IFERROR(($I20-$H20)/$H20,""))</f>
        <v/>
      </c>
      <c r="K20" s="8" t="n"/>
      <c r="L20" s="40">
        <f>IFERROR(IF(SUMPRODUCT(MAX((案件入力!$D$2:$D$19=$D20)*(案件入力!$R$2:$R$19="完了")*(案件入力!$B$2:$B$19)))=0,VLOOKUP($D20,商品マスタ範囲,6,FALSE),INDEX(案件入力!$M$2:$M$19,MATCH($D20&amp;"|"&amp;TEXT(SUMPRODUCT(MAX((案件入力!$D$2:$D$19=$D20)*(案件入力!$R$2:$R$19="完了")*(案件入力!$B$2:$B$19))),"0"),案件入力!$T$2:$T$19,0))),"")</f>
        <v/>
      </c>
      <c r="M20" s="40" t="n"/>
      <c r="N20" s="11">
        <f>IF(OR($L20="",$M20=""),"",IFERROR(($M20-$L20)/$L20,""))</f>
        <v/>
      </c>
      <c r="O20" s="8" t="n"/>
      <c r="P20" s="9" t="n"/>
      <c r="Q20" s="7" t="n"/>
      <c r="R20" s="7" t="n"/>
      <c r="S20" s="7" t="n"/>
      <c r="T20" s="7">
        <f>IF($R20="完了",$D20&amp;"|"&amp;TEXT($B20,"0"),"")</f>
        <v/>
      </c>
    </row>
    <row r="21">
      <c r="A21" s="7">
        <f>IF($B21="","",TEXT(YEAR($B21),"0000")&amp;"-"&amp;TEXT(SUMPRODUCT((YEAR($B$2:$B21)=YEAR($B21))*($B$2:$B21&lt;&gt;"")),"000"))</f>
        <v/>
      </c>
      <c r="B21" s="8" t="n"/>
      <c r="C21" s="7" t="n"/>
      <c r="D21" s="9" t="n"/>
      <c r="E21" s="7">
        <f>IFERROR(VLOOKUP($D21,商品マスタ範囲,4,FALSE),"")</f>
        <v/>
      </c>
      <c r="F21" s="7">
        <f>IFERROR(VLOOKUP($D21,商品マスタ範囲,2,FALSE),"")</f>
        <v/>
      </c>
      <c r="G21" s="7">
        <f>IFERROR(VLOOKUP($D21,商品マスタ範囲,3,FALSE),"")</f>
        <v/>
      </c>
      <c r="H21" s="40">
        <f>IFERROR(IF(SUMPRODUCT(MAX((案件入力!$D$2:$D$20=$D21)*(案件入力!$R$2:$R$20="完了")*(案件入力!$B$2:$B$20)))=0,VLOOKUP($D21,商品マスタ範囲,5,FALSE),INDEX(案件入力!$I$2:$I$20,MATCH($D21&amp;"|"&amp;TEXT(SUMPRODUCT(MAX((案件入力!$D$2:$D$20=$D21)*(案件入力!$R$2:$R$20="完了")*(案件入力!$B$2:$B$20))),"0"),案件入力!$T$2:$T$20,0))),"")</f>
        <v/>
      </c>
      <c r="I21" s="40" t="n"/>
      <c r="J21" s="11">
        <f>IF(OR($H21="",$I21=""),"",IFERROR(($I21-$H21)/$H21,""))</f>
        <v/>
      </c>
      <c r="K21" s="8" t="n"/>
      <c r="L21" s="40">
        <f>IFERROR(IF(SUMPRODUCT(MAX((案件入力!$D$2:$D$20=$D21)*(案件入力!$R$2:$R$20="完了")*(案件入力!$B$2:$B$20)))=0,VLOOKUP($D21,商品マスタ範囲,6,FALSE),INDEX(案件入力!$M$2:$M$20,MATCH($D21&amp;"|"&amp;TEXT(SUMPRODUCT(MAX((案件入力!$D$2:$D$20=$D21)*(案件入力!$R$2:$R$20="完了")*(案件入力!$B$2:$B$20))),"0"),案件入力!$T$2:$T$20,0))),"")</f>
        <v/>
      </c>
      <c r="M21" s="40" t="n"/>
      <c r="N21" s="11">
        <f>IF(OR($L21="",$M21=""),"",IFERROR(($M21-$L21)/$L21,""))</f>
        <v/>
      </c>
      <c r="O21" s="8" t="n"/>
      <c r="P21" s="9" t="n"/>
      <c r="Q21" s="7" t="n"/>
      <c r="R21" s="7" t="n"/>
      <c r="S21" s="7" t="n"/>
      <c r="T21" s="7">
        <f>IF($R21="完了",$D21&amp;"|"&amp;TEXT($B21,"0"),"")</f>
        <v/>
      </c>
    </row>
    <row r="22">
      <c r="A22" s="7">
        <f>IF($B22="","",TEXT(YEAR($B22),"0000")&amp;"-"&amp;TEXT(SUMPRODUCT((YEAR($B$2:$B22)=YEAR($B22))*($B$2:$B22&lt;&gt;"")),"000"))</f>
        <v/>
      </c>
      <c r="B22" s="8" t="n"/>
      <c r="C22" s="7" t="n"/>
      <c r="D22" s="9" t="n"/>
      <c r="E22" s="7">
        <f>IFERROR(VLOOKUP($D22,商品マスタ範囲,4,FALSE),"")</f>
        <v/>
      </c>
      <c r="F22" s="7">
        <f>IFERROR(VLOOKUP($D22,商品マスタ範囲,2,FALSE),"")</f>
        <v/>
      </c>
      <c r="G22" s="7">
        <f>IFERROR(VLOOKUP($D22,商品マスタ範囲,3,FALSE),"")</f>
        <v/>
      </c>
      <c r="H22" s="40">
        <f>IFERROR(IF(SUMPRODUCT(MAX((案件入力!$D$2:$D$21=$D22)*(案件入力!$R$2:$R$21="完了")*(案件入力!$B$2:$B$21)))=0,VLOOKUP($D22,商品マスタ範囲,5,FALSE),INDEX(案件入力!$I$2:$I$21,MATCH($D22&amp;"|"&amp;TEXT(SUMPRODUCT(MAX((案件入力!$D$2:$D$21=$D22)*(案件入力!$R$2:$R$21="完了")*(案件入力!$B$2:$B$21))),"0"),案件入力!$T$2:$T$21,0))),"")</f>
        <v/>
      </c>
      <c r="I22" s="40" t="n"/>
      <c r="J22" s="11">
        <f>IF(OR($H22="",$I22=""),"",IFERROR(($I22-$H22)/$H22,""))</f>
        <v/>
      </c>
      <c r="K22" s="8" t="n"/>
      <c r="L22" s="40">
        <f>IFERROR(IF(SUMPRODUCT(MAX((案件入力!$D$2:$D$21=$D22)*(案件入力!$R$2:$R$21="完了")*(案件入力!$B$2:$B$21)))=0,VLOOKUP($D22,商品マスタ範囲,6,FALSE),INDEX(案件入力!$M$2:$M$21,MATCH($D22&amp;"|"&amp;TEXT(SUMPRODUCT(MAX((案件入力!$D$2:$D$21=$D22)*(案件入力!$R$2:$R$21="完了")*(案件入力!$B$2:$B$21))),"0"),案件入力!$T$2:$T$21,0))),"")</f>
        <v/>
      </c>
      <c r="M22" s="40" t="n"/>
      <c r="N22" s="11">
        <f>IF(OR($L22="",$M22=""),"",IFERROR(($M22-$L22)/$L22,""))</f>
        <v/>
      </c>
      <c r="O22" s="8" t="n"/>
      <c r="P22" s="9" t="n"/>
      <c r="Q22" s="7" t="n"/>
      <c r="R22" s="7" t="n"/>
      <c r="S22" s="7" t="n"/>
      <c r="T22" s="7">
        <f>IF($R22="完了",$D22&amp;"|"&amp;TEXT($B22,"0"),"")</f>
        <v/>
      </c>
    </row>
    <row r="23">
      <c r="A23" s="7">
        <f>IF($B23="","",TEXT(YEAR($B23),"0000")&amp;"-"&amp;TEXT(SUMPRODUCT((YEAR($B$2:$B23)=YEAR($B23))*($B$2:$B23&lt;&gt;"")),"000"))</f>
        <v/>
      </c>
      <c r="B23" s="8" t="n"/>
      <c r="C23" s="7" t="n"/>
      <c r="D23" s="9" t="n"/>
      <c r="E23" s="7">
        <f>IFERROR(VLOOKUP($D23,商品マスタ範囲,4,FALSE),"")</f>
        <v/>
      </c>
      <c r="F23" s="7">
        <f>IFERROR(VLOOKUP($D23,商品マスタ範囲,2,FALSE),"")</f>
        <v/>
      </c>
      <c r="G23" s="7">
        <f>IFERROR(VLOOKUP($D23,商品マスタ範囲,3,FALSE),"")</f>
        <v/>
      </c>
      <c r="H23" s="40">
        <f>IFERROR(IF(SUMPRODUCT(MAX((案件入力!$D$2:$D$22=$D23)*(案件入力!$R$2:$R$22="完了")*(案件入力!$B$2:$B$22)))=0,VLOOKUP($D23,商品マスタ範囲,5,FALSE),INDEX(案件入力!$I$2:$I$22,MATCH($D23&amp;"|"&amp;TEXT(SUMPRODUCT(MAX((案件入力!$D$2:$D$22=$D23)*(案件入力!$R$2:$R$22="完了")*(案件入力!$B$2:$B$22))),"0"),案件入力!$T$2:$T$22,0))),"")</f>
        <v/>
      </c>
      <c r="I23" s="40" t="n"/>
      <c r="J23" s="11">
        <f>IF(OR($H23="",$I23=""),"",IFERROR(($I23-$H23)/$H23,""))</f>
        <v/>
      </c>
      <c r="K23" s="8" t="n"/>
      <c r="L23" s="40">
        <f>IFERROR(IF(SUMPRODUCT(MAX((案件入力!$D$2:$D$22=$D23)*(案件入力!$R$2:$R$22="完了")*(案件入力!$B$2:$B$22)))=0,VLOOKUP($D23,商品マスタ範囲,6,FALSE),INDEX(案件入力!$M$2:$M$22,MATCH($D23&amp;"|"&amp;TEXT(SUMPRODUCT(MAX((案件入力!$D$2:$D$22=$D23)*(案件入力!$R$2:$R$22="完了")*(案件入力!$B$2:$B$22))),"0"),案件入力!$T$2:$T$22,0))),"")</f>
        <v/>
      </c>
      <c r="M23" s="40" t="n"/>
      <c r="N23" s="11">
        <f>IF(OR($L23="",$M23=""),"",IFERROR(($M23-$L23)/$L23,""))</f>
        <v/>
      </c>
      <c r="O23" s="8" t="n"/>
      <c r="P23" s="9" t="n"/>
      <c r="Q23" s="7" t="n"/>
      <c r="R23" s="7" t="n"/>
      <c r="S23" s="7" t="n"/>
      <c r="T23" s="7">
        <f>IF($R23="完了",$D23&amp;"|"&amp;TEXT($B23,"0"),"")</f>
        <v/>
      </c>
    </row>
    <row r="24">
      <c r="A24" s="7">
        <f>IF($B24="","",TEXT(YEAR($B24),"0000")&amp;"-"&amp;TEXT(SUMPRODUCT((YEAR($B$2:$B24)=YEAR($B24))*($B$2:$B24&lt;&gt;"")),"000"))</f>
        <v/>
      </c>
      <c r="B24" s="8" t="n"/>
      <c r="C24" s="7" t="n"/>
      <c r="D24" s="9" t="n"/>
      <c r="E24" s="7">
        <f>IFERROR(VLOOKUP($D24,商品マスタ範囲,4,FALSE),"")</f>
        <v/>
      </c>
      <c r="F24" s="7">
        <f>IFERROR(VLOOKUP($D24,商品マスタ範囲,2,FALSE),"")</f>
        <v/>
      </c>
      <c r="G24" s="7">
        <f>IFERROR(VLOOKUP($D24,商品マスタ範囲,3,FALSE),"")</f>
        <v/>
      </c>
      <c r="H24" s="40">
        <f>IFERROR(IF(SUMPRODUCT(MAX((案件入力!$D$2:$D$23=$D24)*(案件入力!$R$2:$R$23="完了")*(案件入力!$B$2:$B$23)))=0,VLOOKUP($D24,商品マスタ範囲,5,FALSE),INDEX(案件入力!$I$2:$I$23,MATCH($D24&amp;"|"&amp;TEXT(SUMPRODUCT(MAX((案件入力!$D$2:$D$23=$D24)*(案件入力!$R$2:$R$23="完了")*(案件入力!$B$2:$B$23))),"0"),案件入力!$T$2:$T$23,0))),"")</f>
        <v/>
      </c>
      <c r="I24" s="40" t="n"/>
      <c r="J24" s="11">
        <f>IF(OR($H24="",$I24=""),"",IFERROR(($I24-$H24)/$H24,""))</f>
        <v/>
      </c>
      <c r="K24" s="8" t="n"/>
      <c r="L24" s="40">
        <f>IFERROR(IF(SUMPRODUCT(MAX((案件入力!$D$2:$D$23=$D24)*(案件入力!$R$2:$R$23="完了")*(案件入力!$B$2:$B$23)))=0,VLOOKUP($D24,商品マスタ範囲,6,FALSE),INDEX(案件入力!$M$2:$M$23,MATCH($D24&amp;"|"&amp;TEXT(SUMPRODUCT(MAX((案件入力!$D$2:$D$23=$D24)*(案件入力!$R$2:$R$23="完了")*(案件入力!$B$2:$B$23))),"0"),案件入力!$T$2:$T$23,0))),"")</f>
        <v/>
      </c>
      <c r="M24" s="40" t="n"/>
      <c r="N24" s="11">
        <f>IF(OR($L24="",$M24=""),"",IFERROR(($M24-$L24)/$L24,""))</f>
        <v/>
      </c>
      <c r="O24" s="8" t="n"/>
      <c r="P24" s="9" t="n"/>
      <c r="Q24" s="7" t="n"/>
      <c r="R24" s="7" t="n"/>
      <c r="S24" s="7" t="n"/>
      <c r="T24" s="7">
        <f>IF($R24="完了",$D24&amp;"|"&amp;TEXT($B24,"0"),"")</f>
        <v/>
      </c>
    </row>
    <row r="25">
      <c r="A25" s="7">
        <f>IF($B25="","",TEXT(YEAR($B25),"0000")&amp;"-"&amp;TEXT(SUMPRODUCT((YEAR($B$2:$B25)=YEAR($B25))*($B$2:$B25&lt;&gt;"")),"000"))</f>
        <v/>
      </c>
      <c r="B25" s="8" t="n"/>
      <c r="C25" s="7" t="n"/>
      <c r="D25" s="9" t="n"/>
      <c r="E25" s="7">
        <f>IFERROR(VLOOKUP($D25,商品マスタ範囲,4,FALSE),"")</f>
        <v/>
      </c>
      <c r="F25" s="7">
        <f>IFERROR(VLOOKUP($D25,商品マスタ範囲,2,FALSE),"")</f>
        <v/>
      </c>
      <c r="G25" s="7">
        <f>IFERROR(VLOOKUP($D25,商品マスタ範囲,3,FALSE),"")</f>
        <v/>
      </c>
      <c r="H25" s="40">
        <f>IFERROR(IF(SUMPRODUCT(MAX((案件入力!$D$2:$D$24=$D25)*(案件入力!$R$2:$R$24="完了")*(案件入力!$B$2:$B$24)))=0,VLOOKUP($D25,商品マスタ範囲,5,FALSE),INDEX(案件入力!$I$2:$I$24,MATCH($D25&amp;"|"&amp;TEXT(SUMPRODUCT(MAX((案件入力!$D$2:$D$24=$D25)*(案件入力!$R$2:$R$24="完了")*(案件入力!$B$2:$B$24))),"0"),案件入力!$T$2:$T$24,0))),"")</f>
        <v/>
      </c>
      <c r="I25" s="40" t="n"/>
      <c r="J25" s="11">
        <f>IF(OR($H25="",$I25=""),"",IFERROR(($I25-$H25)/$H25,""))</f>
        <v/>
      </c>
      <c r="K25" s="8" t="n"/>
      <c r="L25" s="40">
        <f>IFERROR(IF(SUMPRODUCT(MAX((案件入力!$D$2:$D$24=$D25)*(案件入力!$R$2:$R$24="完了")*(案件入力!$B$2:$B$24)))=0,VLOOKUP($D25,商品マスタ範囲,6,FALSE),INDEX(案件入力!$M$2:$M$24,MATCH($D25&amp;"|"&amp;TEXT(SUMPRODUCT(MAX((案件入力!$D$2:$D$24=$D25)*(案件入力!$R$2:$R$24="完了")*(案件入力!$B$2:$B$24))),"0"),案件入力!$T$2:$T$24,0))),"")</f>
        <v/>
      </c>
      <c r="M25" s="40" t="n"/>
      <c r="N25" s="11">
        <f>IF(OR($L25="",$M25=""),"",IFERROR(($M25-$L25)/$L25,""))</f>
        <v/>
      </c>
      <c r="O25" s="8" t="n"/>
      <c r="P25" s="9" t="n"/>
      <c r="Q25" s="7" t="n"/>
      <c r="R25" s="7" t="n"/>
      <c r="S25" s="7" t="n"/>
      <c r="T25" s="7">
        <f>IF($R25="完了",$D25&amp;"|"&amp;TEXT($B25,"0"),"")</f>
        <v/>
      </c>
    </row>
    <row r="26">
      <c r="A26" s="7">
        <f>IF($B26="","",TEXT(YEAR($B26),"0000")&amp;"-"&amp;TEXT(SUMPRODUCT((YEAR($B$2:$B26)=YEAR($B26))*($B$2:$B26&lt;&gt;"")),"000"))</f>
        <v/>
      </c>
      <c r="B26" s="8" t="n"/>
      <c r="C26" s="7" t="n"/>
      <c r="D26" s="9" t="n"/>
      <c r="E26" s="7">
        <f>IFERROR(VLOOKUP($D26,商品マスタ範囲,4,FALSE),"")</f>
        <v/>
      </c>
      <c r="F26" s="7">
        <f>IFERROR(VLOOKUP($D26,商品マスタ範囲,2,FALSE),"")</f>
        <v/>
      </c>
      <c r="G26" s="7">
        <f>IFERROR(VLOOKUP($D26,商品マスタ範囲,3,FALSE),"")</f>
        <v/>
      </c>
      <c r="H26" s="40">
        <f>IFERROR(IF(SUMPRODUCT(MAX((案件入力!$D$2:$D$25=$D26)*(案件入力!$R$2:$R$25="完了")*(案件入力!$B$2:$B$25)))=0,VLOOKUP($D26,商品マスタ範囲,5,FALSE),INDEX(案件入力!$I$2:$I$25,MATCH($D26&amp;"|"&amp;TEXT(SUMPRODUCT(MAX((案件入力!$D$2:$D$25=$D26)*(案件入力!$R$2:$R$25="完了")*(案件入力!$B$2:$B$25))),"0"),案件入力!$T$2:$T$25,0))),"")</f>
        <v/>
      </c>
      <c r="I26" s="40" t="n"/>
      <c r="J26" s="11">
        <f>IF(OR($H26="",$I26=""),"",IFERROR(($I26-$H26)/$H26,""))</f>
        <v/>
      </c>
      <c r="K26" s="8" t="n"/>
      <c r="L26" s="40">
        <f>IFERROR(IF(SUMPRODUCT(MAX((案件入力!$D$2:$D$25=$D26)*(案件入力!$R$2:$R$25="完了")*(案件入力!$B$2:$B$25)))=0,VLOOKUP($D26,商品マスタ範囲,6,FALSE),INDEX(案件入力!$M$2:$M$25,MATCH($D26&amp;"|"&amp;TEXT(SUMPRODUCT(MAX((案件入力!$D$2:$D$25=$D26)*(案件入力!$R$2:$R$25="完了")*(案件入力!$B$2:$B$25))),"0"),案件入力!$T$2:$T$25,0))),"")</f>
        <v/>
      </c>
      <c r="M26" s="40" t="n"/>
      <c r="N26" s="11">
        <f>IF(OR($L26="",$M26=""),"",IFERROR(($M26-$L26)/$L26,""))</f>
        <v/>
      </c>
      <c r="O26" s="8" t="n"/>
      <c r="P26" s="9" t="n"/>
      <c r="Q26" s="7" t="n"/>
      <c r="R26" s="7" t="n"/>
      <c r="S26" s="7" t="n"/>
      <c r="T26" s="7">
        <f>IF($R26="完了",$D26&amp;"|"&amp;TEXT($B26,"0"),"")</f>
        <v/>
      </c>
    </row>
    <row r="27">
      <c r="A27" s="7">
        <f>IF($B27="","",TEXT(YEAR($B27),"0000")&amp;"-"&amp;TEXT(SUMPRODUCT((YEAR($B$2:$B27)=YEAR($B27))*($B$2:$B27&lt;&gt;"")),"000"))</f>
        <v/>
      </c>
      <c r="B27" s="8" t="n"/>
      <c r="C27" s="7" t="n"/>
      <c r="D27" s="9" t="n"/>
      <c r="E27" s="7">
        <f>IFERROR(VLOOKUP($D27,商品マスタ範囲,4,FALSE),"")</f>
        <v/>
      </c>
      <c r="F27" s="7">
        <f>IFERROR(VLOOKUP($D27,商品マスタ範囲,2,FALSE),"")</f>
        <v/>
      </c>
      <c r="G27" s="7">
        <f>IFERROR(VLOOKUP($D27,商品マスタ範囲,3,FALSE),"")</f>
        <v/>
      </c>
      <c r="H27" s="40">
        <f>IFERROR(IF(SUMPRODUCT(MAX((案件入力!$D$2:$D$26=$D27)*(案件入力!$R$2:$R$26="完了")*(案件入力!$B$2:$B$26)))=0,VLOOKUP($D27,商品マスタ範囲,5,FALSE),INDEX(案件入力!$I$2:$I$26,MATCH($D27&amp;"|"&amp;TEXT(SUMPRODUCT(MAX((案件入力!$D$2:$D$26=$D27)*(案件入力!$R$2:$R$26="完了")*(案件入力!$B$2:$B$26))),"0"),案件入力!$T$2:$T$26,0))),"")</f>
        <v/>
      </c>
      <c r="I27" s="40" t="n"/>
      <c r="J27" s="11">
        <f>IF(OR($H27="",$I27=""),"",IFERROR(($I27-$H27)/$H27,""))</f>
        <v/>
      </c>
      <c r="K27" s="8" t="n"/>
      <c r="L27" s="40">
        <f>IFERROR(IF(SUMPRODUCT(MAX((案件入力!$D$2:$D$26=$D27)*(案件入力!$R$2:$R$26="完了")*(案件入力!$B$2:$B$26)))=0,VLOOKUP($D27,商品マスタ範囲,6,FALSE),INDEX(案件入力!$M$2:$M$26,MATCH($D27&amp;"|"&amp;TEXT(SUMPRODUCT(MAX((案件入力!$D$2:$D$26=$D27)*(案件入力!$R$2:$R$26="完了")*(案件入力!$B$2:$B$26))),"0"),案件入力!$T$2:$T$26,0))),"")</f>
        <v/>
      </c>
      <c r="M27" s="40" t="n"/>
      <c r="N27" s="11">
        <f>IF(OR($L27="",$M27=""),"",IFERROR(($M27-$L27)/$L27,""))</f>
        <v/>
      </c>
      <c r="O27" s="8" t="n"/>
      <c r="P27" s="9" t="n"/>
      <c r="Q27" s="7" t="n"/>
      <c r="R27" s="7" t="n"/>
      <c r="S27" s="7" t="n"/>
      <c r="T27" s="7">
        <f>IF($R27="完了",$D27&amp;"|"&amp;TEXT($B27,"0"),"")</f>
        <v/>
      </c>
    </row>
    <row r="28">
      <c r="A28" s="7">
        <f>IF($B28="","",TEXT(YEAR($B28),"0000")&amp;"-"&amp;TEXT(SUMPRODUCT((YEAR($B$2:$B28)=YEAR($B28))*($B$2:$B28&lt;&gt;"")),"000"))</f>
        <v/>
      </c>
      <c r="B28" s="8" t="n"/>
      <c r="C28" s="7" t="n"/>
      <c r="D28" s="9" t="n"/>
      <c r="E28" s="7">
        <f>IFERROR(VLOOKUP($D28,商品マスタ範囲,4,FALSE),"")</f>
        <v/>
      </c>
      <c r="F28" s="7">
        <f>IFERROR(VLOOKUP($D28,商品マスタ範囲,2,FALSE),"")</f>
        <v/>
      </c>
      <c r="G28" s="7">
        <f>IFERROR(VLOOKUP($D28,商品マスタ範囲,3,FALSE),"")</f>
        <v/>
      </c>
      <c r="H28" s="40">
        <f>IFERROR(IF(SUMPRODUCT(MAX((案件入力!$D$2:$D$27=$D28)*(案件入力!$R$2:$R$27="完了")*(案件入力!$B$2:$B$27)))=0,VLOOKUP($D28,商品マスタ範囲,5,FALSE),INDEX(案件入力!$I$2:$I$27,MATCH($D28&amp;"|"&amp;TEXT(SUMPRODUCT(MAX((案件入力!$D$2:$D$27=$D28)*(案件入力!$R$2:$R$27="完了")*(案件入力!$B$2:$B$27))),"0"),案件入力!$T$2:$T$27,0))),"")</f>
        <v/>
      </c>
      <c r="I28" s="40" t="n"/>
      <c r="J28" s="11">
        <f>IF(OR($H28="",$I28=""),"",IFERROR(($I28-$H28)/$H28,""))</f>
        <v/>
      </c>
      <c r="K28" s="8" t="n"/>
      <c r="L28" s="40">
        <f>IFERROR(IF(SUMPRODUCT(MAX((案件入力!$D$2:$D$27=$D28)*(案件入力!$R$2:$R$27="完了")*(案件入力!$B$2:$B$27)))=0,VLOOKUP($D28,商品マスタ範囲,6,FALSE),INDEX(案件入力!$M$2:$M$27,MATCH($D28&amp;"|"&amp;TEXT(SUMPRODUCT(MAX((案件入力!$D$2:$D$27=$D28)*(案件入力!$R$2:$R$27="完了")*(案件入力!$B$2:$B$27))),"0"),案件入力!$T$2:$T$27,0))),"")</f>
        <v/>
      </c>
      <c r="M28" s="40" t="n"/>
      <c r="N28" s="11">
        <f>IF(OR($L28="",$M28=""),"",IFERROR(($M28-$L28)/$L28,""))</f>
        <v/>
      </c>
      <c r="O28" s="8" t="n"/>
      <c r="P28" s="9" t="n"/>
      <c r="Q28" s="7" t="n"/>
      <c r="R28" s="7" t="n"/>
      <c r="S28" s="7" t="n"/>
      <c r="T28" s="7">
        <f>IF($R28="完了",$D28&amp;"|"&amp;TEXT($B28,"0"),"")</f>
        <v/>
      </c>
    </row>
    <row r="29">
      <c r="A29" s="7">
        <f>IF($B29="","",TEXT(YEAR($B29),"0000")&amp;"-"&amp;TEXT(SUMPRODUCT((YEAR($B$2:$B29)=YEAR($B29))*($B$2:$B29&lt;&gt;"")),"000"))</f>
        <v/>
      </c>
      <c r="B29" s="8" t="n"/>
      <c r="C29" s="7" t="n"/>
      <c r="D29" s="9" t="n"/>
      <c r="E29" s="7">
        <f>IFERROR(VLOOKUP($D29,商品マスタ範囲,4,FALSE),"")</f>
        <v/>
      </c>
      <c r="F29" s="7">
        <f>IFERROR(VLOOKUP($D29,商品マスタ範囲,2,FALSE),"")</f>
        <v/>
      </c>
      <c r="G29" s="7">
        <f>IFERROR(VLOOKUP($D29,商品マスタ範囲,3,FALSE),"")</f>
        <v/>
      </c>
      <c r="H29" s="40">
        <f>IFERROR(IF(SUMPRODUCT(MAX((案件入力!$D$2:$D$28=$D29)*(案件入力!$R$2:$R$28="完了")*(案件入力!$B$2:$B$28)))=0,VLOOKUP($D29,商品マスタ範囲,5,FALSE),INDEX(案件入力!$I$2:$I$28,MATCH($D29&amp;"|"&amp;TEXT(SUMPRODUCT(MAX((案件入力!$D$2:$D$28=$D29)*(案件入力!$R$2:$R$28="完了")*(案件入力!$B$2:$B$28))),"0"),案件入力!$T$2:$T$28,0))),"")</f>
        <v/>
      </c>
      <c r="I29" s="40" t="n"/>
      <c r="J29" s="11">
        <f>IF(OR($H29="",$I29=""),"",IFERROR(($I29-$H29)/$H29,""))</f>
        <v/>
      </c>
      <c r="K29" s="8" t="n"/>
      <c r="L29" s="40">
        <f>IFERROR(IF(SUMPRODUCT(MAX((案件入力!$D$2:$D$28=$D29)*(案件入力!$R$2:$R$28="完了")*(案件入力!$B$2:$B$28)))=0,VLOOKUP($D29,商品マスタ範囲,6,FALSE),INDEX(案件入力!$M$2:$M$28,MATCH($D29&amp;"|"&amp;TEXT(SUMPRODUCT(MAX((案件入力!$D$2:$D$28=$D29)*(案件入力!$R$2:$R$28="完了")*(案件入力!$B$2:$B$28))),"0"),案件入力!$T$2:$T$28,0))),"")</f>
        <v/>
      </c>
      <c r="M29" s="40" t="n"/>
      <c r="N29" s="11">
        <f>IF(OR($L29="",$M29=""),"",IFERROR(($M29-$L29)/$L29,""))</f>
        <v/>
      </c>
      <c r="O29" s="8" t="n"/>
      <c r="P29" s="9" t="n"/>
      <c r="Q29" s="7" t="n"/>
      <c r="R29" s="7" t="n"/>
      <c r="S29" s="7" t="n"/>
      <c r="T29" s="7">
        <f>IF($R29="完了",$D29&amp;"|"&amp;TEXT($B29,"0"),"")</f>
        <v/>
      </c>
    </row>
    <row r="30">
      <c r="A30" s="7">
        <f>IF($B30="","",TEXT(YEAR($B30),"0000")&amp;"-"&amp;TEXT(SUMPRODUCT((YEAR($B$2:$B30)=YEAR($B30))*($B$2:$B30&lt;&gt;"")),"000"))</f>
        <v/>
      </c>
      <c r="B30" s="8" t="n"/>
      <c r="C30" s="7" t="n"/>
      <c r="D30" s="9" t="n"/>
      <c r="E30" s="7">
        <f>IFERROR(VLOOKUP($D30,商品マスタ範囲,4,FALSE),"")</f>
        <v/>
      </c>
      <c r="F30" s="7">
        <f>IFERROR(VLOOKUP($D30,商品マスタ範囲,2,FALSE),"")</f>
        <v/>
      </c>
      <c r="G30" s="7">
        <f>IFERROR(VLOOKUP($D30,商品マスタ範囲,3,FALSE),"")</f>
        <v/>
      </c>
      <c r="H30" s="40">
        <f>IFERROR(IF(SUMPRODUCT(MAX((案件入力!$D$2:$D$29=$D30)*(案件入力!$R$2:$R$29="完了")*(案件入力!$B$2:$B$29)))=0,VLOOKUP($D30,商品マスタ範囲,5,FALSE),INDEX(案件入力!$I$2:$I$29,MATCH($D30&amp;"|"&amp;TEXT(SUMPRODUCT(MAX((案件入力!$D$2:$D$29=$D30)*(案件入力!$R$2:$R$29="完了")*(案件入力!$B$2:$B$29))),"0"),案件入力!$T$2:$T$29,0))),"")</f>
        <v/>
      </c>
      <c r="I30" s="40" t="n"/>
      <c r="J30" s="11">
        <f>IF(OR($H30="",$I30=""),"",IFERROR(($I30-$H30)/$H30,""))</f>
        <v/>
      </c>
      <c r="K30" s="8" t="n"/>
      <c r="L30" s="40">
        <f>IFERROR(IF(SUMPRODUCT(MAX((案件入力!$D$2:$D$29=$D30)*(案件入力!$R$2:$R$29="完了")*(案件入力!$B$2:$B$29)))=0,VLOOKUP($D30,商品マスタ範囲,6,FALSE),INDEX(案件入力!$M$2:$M$29,MATCH($D30&amp;"|"&amp;TEXT(SUMPRODUCT(MAX((案件入力!$D$2:$D$29=$D30)*(案件入力!$R$2:$R$29="完了")*(案件入力!$B$2:$B$29))),"0"),案件入力!$T$2:$T$29,0))),"")</f>
        <v/>
      </c>
      <c r="M30" s="40" t="n"/>
      <c r="N30" s="11">
        <f>IF(OR($L30="",$M30=""),"",IFERROR(($M30-$L30)/$L30,""))</f>
        <v/>
      </c>
      <c r="O30" s="8" t="n"/>
      <c r="P30" s="9" t="n"/>
      <c r="Q30" s="7" t="n"/>
      <c r="R30" s="7" t="n"/>
      <c r="S30" s="7" t="n"/>
      <c r="T30" s="7">
        <f>IF($R30="完了",$D30&amp;"|"&amp;TEXT($B30,"0"),"")</f>
        <v/>
      </c>
    </row>
    <row r="31">
      <c r="A31" s="7">
        <f>IF($B31="","",TEXT(YEAR($B31),"0000")&amp;"-"&amp;TEXT(SUMPRODUCT((YEAR($B$2:$B31)=YEAR($B31))*($B$2:$B31&lt;&gt;"")),"000"))</f>
        <v/>
      </c>
      <c r="B31" s="8" t="n"/>
      <c r="C31" s="7" t="n"/>
      <c r="D31" s="9" t="n"/>
      <c r="E31" s="7">
        <f>IFERROR(VLOOKUP($D31,商品マスタ範囲,4,FALSE),"")</f>
        <v/>
      </c>
      <c r="F31" s="7">
        <f>IFERROR(VLOOKUP($D31,商品マスタ範囲,2,FALSE),"")</f>
        <v/>
      </c>
      <c r="G31" s="7">
        <f>IFERROR(VLOOKUP($D31,商品マスタ範囲,3,FALSE),"")</f>
        <v/>
      </c>
      <c r="H31" s="40">
        <f>IFERROR(IF(SUMPRODUCT(MAX((案件入力!$D$2:$D$30=$D31)*(案件入力!$R$2:$R$30="完了")*(案件入力!$B$2:$B$30)))=0,VLOOKUP($D31,商品マスタ範囲,5,FALSE),INDEX(案件入力!$I$2:$I$30,MATCH($D31&amp;"|"&amp;TEXT(SUMPRODUCT(MAX((案件入力!$D$2:$D$30=$D31)*(案件入力!$R$2:$R$30="完了")*(案件入力!$B$2:$B$30))),"0"),案件入力!$T$2:$T$30,0))),"")</f>
        <v/>
      </c>
      <c r="I31" s="40" t="n"/>
      <c r="J31" s="11">
        <f>IF(OR($H31="",$I31=""),"",IFERROR(($I31-$H31)/$H31,""))</f>
        <v/>
      </c>
      <c r="K31" s="8" t="n"/>
      <c r="L31" s="40">
        <f>IFERROR(IF(SUMPRODUCT(MAX((案件入力!$D$2:$D$30=$D31)*(案件入力!$R$2:$R$30="完了")*(案件入力!$B$2:$B$30)))=0,VLOOKUP($D31,商品マスタ範囲,6,FALSE),INDEX(案件入力!$M$2:$M$30,MATCH($D31&amp;"|"&amp;TEXT(SUMPRODUCT(MAX((案件入力!$D$2:$D$30=$D31)*(案件入力!$R$2:$R$30="完了")*(案件入力!$B$2:$B$30))),"0"),案件入力!$T$2:$T$30,0))),"")</f>
        <v/>
      </c>
      <c r="M31" s="40" t="n"/>
      <c r="N31" s="11">
        <f>IF(OR($L31="",$M31=""),"",IFERROR(($M31-$L31)/$L31,""))</f>
        <v/>
      </c>
      <c r="O31" s="8" t="n"/>
      <c r="P31" s="9" t="n"/>
      <c r="Q31" s="7" t="n"/>
      <c r="R31" s="7" t="n"/>
      <c r="S31" s="7" t="n"/>
      <c r="T31" s="7">
        <f>IF($R31="完了",$D31&amp;"|"&amp;TEXT($B31,"0"),"")</f>
        <v/>
      </c>
    </row>
    <row r="32">
      <c r="A32" s="7">
        <f>IF($B32="","",TEXT(YEAR($B32),"0000")&amp;"-"&amp;TEXT(SUMPRODUCT((YEAR($B$2:$B32)=YEAR($B32))*($B$2:$B32&lt;&gt;"")),"000"))</f>
        <v/>
      </c>
      <c r="B32" s="8" t="n"/>
      <c r="C32" s="7" t="n"/>
      <c r="D32" s="9" t="n"/>
      <c r="E32" s="7">
        <f>IFERROR(VLOOKUP($D32,商品マスタ範囲,4,FALSE),"")</f>
        <v/>
      </c>
      <c r="F32" s="7">
        <f>IFERROR(VLOOKUP($D32,商品マスタ範囲,2,FALSE),"")</f>
        <v/>
      </c>
      <c r="G32" s="7">
        <f>IFERROR(VLOOKUP($D32,商品マスタ範囲,3,FALSE),"")</f>
        <v/>
      </c>
      <c r="H32" s="40">
        <f>IFERROR(IF(SUMPRODUCT(MAX((案件入力!$D$2:$D$31=$D32)*(案件入力!$R$2:$R$31="完了")*(案件入力!$B$2:$B$31)))=0,VLOOKUP($D32,商品マスタ範囲,5,FALSE),INDEX(案件入力!$I$2:$I$31,MATCH($D32&amp;"|"&amp;TEXT(SUMPRODUCT(MAX((案件入力!$D$2:$D$31=$D32)*(案件入力!$R$2:$R$31="完了")*(案件入力!$B$2:$B$31))),"0"),案件入力!$T$2:$T$31,0))),"")</f>
        <v/>
      </c>
      <c r="I32" s="40" t="n"/>
      <c r="J32" s="11">
        <f>IF(OR($H32="",$I32=""),"",IFERROR(($I32-$H32)/$H32,""))</f>
        <v/>
      </c>
      <c r="K32" s="8" t="n"/>
      <c r="L32" s="40">
        <f>IFERROR(IF(SUMPRODUCT(MAX((案件入力!$D$2:$D$31=$D32)*(案件入力!$R$2:$R$31="完了")*(案件入力!$B$2:$B$31)))=0,VLOOKUP($D32,商品マスタ範囲,6,FALSE),INDEX(案件入力!$M$2:$M$31,MATCH($D32&amp;"|"&amp;TEXT(SUMPRODUCT(MAX((案件入力!$D$2:$D$31=$D32)*(案件入力!$R$2:$R$31="完了")*(案件入力!$B$2:$B$31))),"0"),案件入力!$T$2:$T$31,0))),"")</f>
        <v/>
      </c>
      <c r="M32" s="40" t="n"/>
      <c r="N32" s="11">
        <f>IF(OR($L32="",$M32=""),"",IFERROR(($M32-$L32)/$L32,""))</f>
        <v/>
      </c>
      <c r="O32" s="8" t="n"/>
      <c r="P32" s="9" t="n"/>
      <c r="Q32" s="7" t="n"/>
      <c r="R32" s="7" t="n"/>
      <c r="S32" s="7" t="n"/>
      <c r="T32" s="7">
        <f>IF($R32="完了",$D32&amp;"|"&amp;TEXT($B32,"0"),"")</f>
        <v/>
      </c>
    </row>
    <row r="33">
      <c r="A33" s="7">
        <f>IF($B33="","",TEXT(YEAR($B33),"0000")&amp;"-"&amp;TEXT(SUMPRODUCT((YEAR($B$2:$B33)=YEAR($B33))*($B$2:$B33&lt;&gt;"")),"000"))</f>
        <v/>
      </c>
      <c r="B33" s="8" t="n"/>
      <c r="C33" s="7" t="n"/>
      <c r="D33" s="9" t="n"/>
      <c r="E33" s="7">
        <f>IFERROR(VLOOKUP($D33,商品マスタ範囲,4,FALSE),"")</f>
        <v/>
      </c>
      <c r="F33" s="7">
        <f>IFERROR(VLOOKUP($D33,商品マスタ範囲,2,FALSE),"")</f>
        <v/>
      </c>
      <c r="G33" s="7">
        <f>IFERROR(VLOOKUP($D33,商品マスタ範囲,3,FALSE),"")</f>
        <v/>
      </c>
      <c r="H33" s="40">
        <f>IFERROR(IF(SUMPRODUCT(MAX((案件入力!$D$2:$D$32=$D33)*(案件入力!$R$2:$R$32="完了")*(案件入力!$B$2:$B$32)))=0,VLOOKUP($D33,商品マスタ範囲,5,FALSE),INDEX(案件入力!$I$2:$I$32,MATCH($D33&amp;"|"&amp;TEXT(SUMPRODUCT(MAX((案件入力!$D$2:$D$32=$D33)*(案件入力!$R$2:$R$32="完了")*(案件入力!$B$2:$B$32))),"0"),案件入力!$T$2:$T$32,0))),"")</f>
        <v/>
      </c>
      <c r="I33" s="40" t="n"/>
      <c r="J33" s="11">
        <f>IF(OR($H33="",$I33=""),"",IFERROR(($I33-$H33)/$H33,""))</f>
        <v/>
      </c>
      <c r="K33" s="8" t="n"/>
      <c r="L33" s="40">
        <f>IFERROR(IF(SUMPRODUCT(MAX((案件入力!$D$2:$D$32=$D33)*(案件入力!$R$2:$R$32="完了")*(案件入力!$B$2:$B$32)))=0,VLOOKUP($D33,商品マスタ範囲,6,FALSE),INDEX(案件入力!$M$2:$M$32,MATCH($D33&amp;"|"&amp;TEXT(SUMPRODUCT(MAX((案件入力!$D$2:$D$32=$D33)*(案件入力!$R$2:$R$32="完了")*(案件入力!$B$2:$B$32))),"0"),案件入力!$T$2:$T$32,0))),"")</f>
        <v/>
      </c>
      <c r="M33" s="40" t="n"/>
      <c r="N33" s="11">
        <f>IF(OR($L33="",$M33=""),"",IFERROR(($M33-$L33)/$L33,""))</f>
        <v/>
      </c>
      <c r="O33" s="8" t="n"/>
      <c r="P33" s="9" t="n"/>
      <c r="Q33" s="7" t="n"/>
      <c r="R33" s="7" t="n"/>
      <c r="S33" s="7" t="n"/>
      <c r="T33" s="7">
        <f>IF($R33="完了",$D33&amp;"|"&amp;TEXT($B33,"0"),"")</f>
        <v/>
      </c>
    </row>
    <row r="34">
      <c r="A34" s="7">
        <f>IF($B34="","",TEXT(YEAR($B34),"0000")&amp;"-"&amp;TEXT(SUMPRODUCT((YEAR($B$2:$B34)=YEAR($B34))*($B$2:$B34&lt;&gt;"")),"000"))</f>
        <v/>
      </c>
      <c r="B34" s="8" t="n"/>
      <c r="C34" s="7" t="n"/>
      <c r="D34" s="9" t="n"/>
      <c r="E34" s="7">
        <f>IFERROR(VLOOKUP($D34,商品マスタ範囲,4,FALSE),"")</f>
        <v/>
      </c>
      <c r="F34" s="7">
        <f>IFERROR(VLOOKUP($D34,商品マスタ範囲,2,FALSE),"")</f>
        <v/>
      </c>
      <c r="G34" s="7">
        <f>IFERROR(VLOOKUP($D34,商品マスタ範囲,3,FALSE),"")</f>
        <v/>
      </c>
      <c r="H34" s="40">
        <f>IFERROR(IF(SUMPRODUCT(MAX((案件入力!$D$2:$D$33=$D34)*(案件入力!$R$2:$R$33="完了")*(案件入力!$B$2:$B$33)))=0,VLOOKUP($D34,商品マスタ範囲,5,FALSE),INDEX(案件入力!$I$2:$I$33,MATCH($D34&amp;"|"&amp;TEXT(SUMPRODUCT(MAX((案件入力!$D$2:$D$33=$D34)*(案件入力!$R$2:$R$33="完了")*(案件入力!$B$2:$B$33))),"0"),案件入力!$T$2:$T$33,0))),"")</f>
        <v/>
      </c>
      <c r="I34" s="40" t="n"/>
      <c r="J34" s="11">
        <f>IF(OR($H34="",$I34=""),"",IFERROR(($I34-$H34)/$H34,""))</f>
        <v/>
      </c>
      <c r="K34" s="8" t="n"/>
      <c r="L34" s="40">
        <f>IFERROR(IF(SUMPRODUCT(MAX((案件入力!$D$2:$D$33=$D34)*(案件入力!$R$2:$R$33="完了")*(案件入力!$B$2:$B$33)))=0,VLOOKUP($D34,商品マスタ範囲,6,FALSE),INDEX(案件入力!$M$2:$M$33,MATCH($D34&amp;"|"&amp;TEXT(SUMPRODUCT(MAX((案件入力!$D$2:$D$33=$D34)*(案件入力!$R$2:$R$33="完了")*(案件入力!$B$2:$B$33))),"0"),案件入力!$T$2:$T$33,0))),"")</f>
        <v/>
      </c>
      <c r="M34" s="40" t="n"/>
      <c r="N34" s="11">
        <f>IF(OR($L34="",$M34=""),"",IFERROR(($M34-$L34)/$L34,""))</f>
        <v/>
      </c>
      <c r="O34" s="8" t="n"/>
      <c r="P34" s="9" t="n"/>
      <c r="Q34" s="7" t="n"/>
      <c r="R34" s="7" t="n"/>
      <c r="S34" s="7" t="n"/>
      <c r="T34" s="7">
        <f>IF($R34="完了",$D34&amp;"|"&amp;TEXT($B34,"0"),"")</f>
        <v/>
      </c>
    </row>
    <row r="35">
      <c r="A35" s="7">
        <f>IF($B35="","",TEXT(YEAR($B35),"0000")&amp;"-"&amp;TEXT(SUMPRODUCT((YEAR($B$2:$B35)=YEAR($B35))*($B$2:$B35&lt;&gt;"")),"000"))</f>
        <v/>
      </c>
      <c r="B35" s="8" t="n"/>
      <c r="C35" s="7" t="n"/>
      <c r="D35" s="9" t="n"/>
      <c r="E35" s="7">
        <f>IFERROR(VLOOKUP($D35,商品マスタ範囲,4,FALSE),"")</f>
        <v/>
      </c>
      <c r="F35" s="7">
        <f>IFERROR(VLOOKUP($D35,商品マスタ範囲,2,FALSE),"")</f>
        <v/>
      </c>
      <c r="G35" s="7">
        <f>IFERROR(VLOOKUP($D35,商品マスタ範囲,3,FALSE),"")</f>
        <v/>
      </c>
      <c r="H35" s="40">
        <f>IFERROR(IF(SUMPRODUCT(MAX((案件入力!$D$2:$D$34=$D35)*(案件入力!$R$2:$R$34="完了")*(案件入力!$B$2:$B$34)))=0,VLOOKUP($D35,商品マスタ範囲,5,FALSE),INDEX(案件入力!$I$2:$I$34,MATCH($D35&amp;"|"&amp;TEXT(SUMPRODUCT(MAX((案件入力!$D$2:$D$34=$D35)*(案件入力!$R$2:$R$34="完了")*(案件入力!$B$2:$B$34))),"0"),案件入力!$T$2:$T$34,0))),"")</f>
        <v/>
      </c>
      <c r="I35" s="40" t="n"/>
      <c r="J35" s="11">
        <f>IF(OR($H35="",$I35=""),"",IFERROR(($I35-$H35)/$H35,""))</f>
        <v/>
      </c>
      <c r="K35" s="8" t="n"/>
      <c r="L35" s="40">
        <f>IFERROR(IF(SUMPRODUCT(MAX((案件入力!$D$2:$D$34=$D35)*(案件入力!$R$2:$R$34="完了")*(案件入力!$B$2:$B$34)))=0,VLOOKUP($D35,商品マスタ範囲,6,FALSE),INDEX(案件入力!$M$2:$M$34,MATCH($D35&amp;"|"&amp;TEXT(SUMPRODUCT(MAX((案件入力!$D$2:$D$34=$D35)*(案件入力!$R$2:$R$34="完了")*(案件入力!$B$2:$B$34))),"0"),案件入力!$T$2:$T$34,0))),"")</f>
        <v/>
      </c>
      <c r="M35" s="40" t="n"/>
      <c r="N35" s="11">
        <f>IF(OR($L35="",$M35=""),"",IFERROR(($M35-$L35)/$L35,""))</f>
        <v/>
      </c>
      <c r="O35" s="8" t="n"/>
      <c r="P35" s="9" t="n"/>
      <c r="Q35" s="7" t="n"/>
      <c r="R35" s="7" t="n"/>
      <c r="S35" s="7" t="n"/>
      <c r="T35" s="7">
        <f>IF($R35="完了",$D35&amp;"|"&amp;TEXT($B35,"0"),"")</f>
        <v/>
      </c>
    </row>
    <row r="36">
      <c r="A36" s="7">
        <f>IF($B36="","",TEXT(YEAR($B36),"0000")&amp;"-"&amp;TEXT(SUMPRODUCT((YEAR($B$2:$B36)=YEAR($B36))*($B$2:$B36&lt;&gt;"")),"000"))</f>
        <v/>
      </c>
      <c r="B36" s="8" t="n"/>
      <c r="C36" s="7" t="n"/>
      <c r="D36" s="9" t="n"/>
      <c r="E36" s="7">
        <f>IFERROR(VLOOKUP($D36,商品マスタ範囲,4,FALSE),"")</f>
        <v/>
      </c>
      <c r="F36" s="7">
        <f>IFERROR(VLOOKUP($D36,商品マスタ範囲,2,FALSE),"")</f>
        <v/>
      </c>
      <c r="G36" s="7">
        <f>IFERROR(VLOOKUP($D36,商品マスタ範囲,3,FALSE),"")</f>
        <v/>
      </c>
      <c r="H36" s="40">
        <f>IFERROR(IF(SUMPRODUCT(MAX((案件入力!$D$2:$D$35=$D36)*(案件入力!$R$2:$R$35="完了")*(案件入力!$B$2:$B$35)))=0,VLOOKUP($D36,商品マスタ範囲,5,FALSE),INDEX(案件入力!$I$2:$I$35,MATCH($D36&amp;"|"&amp;TEXT(SUMPRODUCT(MAX((案件入力!$D$2:$D$35=$D36)*(案件入力!$R$2:$R$35="完了")*(案件入力!$B$2:$B$35))),"0"),案件入力!$T$2:$T$35,0))),"")</f>
        <v/>
      </c>
      <c r="I36" s="40" t="n"/>
      <c r="J36" s="11">
        <f>IF(OR($H36="",$I36=""),"",IFERROR(($I36-$H36)/$H36,""))</f>
        <v/>
      </c>
      <c r="K36" s="8" t="n"/>
      <c r="L36" s="40">
        <f>IFERROR(IF(SUMPRODUCT(MAX((案件入力!$D$2:$D$35=$D36)*(案件入力!$R$2:$R$35="完了")*(案件入力!$B$2:$B$35)))=0,VLOOKUP($D36,商品マスタ範囲,6,FALSE),INDEX(案件入力!$M$2:$M$35,MATCH($D36&amp;"|"&amp;TEXT(SUMPRODUCT(MAX((案件入力!$D$2:$D$35=$D36)*(案件入力!$R$2:$R$35="完了")*(案件入力!$B$2:$B$35))),"0"),案件入力!$T$2:$T$35,0))),"")</f>
        <v/>
      </c>
      <c r="M36" s="40" t="n"/>
      <c r="N36" s="11">
        <f>IF(OR($L36="",$M36=""),"",IFERROR(($M36-$L36)/$L36,""))</f>
        <v/>
      </c>
      <c r="O36" s="8" t="n"/>
      <c r="P36" s="9" t="n"/>
      <c r="Q36" s="7" t="n"/>
      <c r="R36" s="7" t="n"/>
      <c r="S36" s="7" t="n"/>
      <c r="T36" s="7">
        <f>IF($R36="完了",$D36&amp;"|"&amp;TEXT($B36,"0"),"")</f>
        <v/>
      </c>
    </row>
    <row r="37">
      <c r="A37" s="7">
        <f>IF($B37="","",TEXT(YEAR($B37),"0000")&amp;"-"&amp;TEXT(SUMPRODUCT((YEAR($B$2:$B37)=YEAR($B37))*($B$2:$B37&lt;&gt;"")),"000"))</f>
        <v/>
      </c>
      <c r="B37" s="8" t="n"/>
      <c r="C37" s="7" t="n"/>
      <c r="D37" s="9" t="n"/>
      <c r="E37" s="7">
        <f>IFERROR(VLOOKUP($D37,商品マスタ範囲,4,FALSE),"")</f>
        <v/>
      </c>
      <c r="F37" s="7">
        <f>IFERROR(VLOOKUP($D37,商品マスタ範囲,2,FALSE),"")</f>
        <v/>
      </c>
      <c r="G37" s="7">
        <f>IFERROR(VLOOKUP($D37,商品マスタ範囲,3,FALSE),"")</f>
        <v/>
      </c>
      <c r="H37" s="40">
        <f>IFERROR(IF(SUMPRODUCT(MAX((案件入力!$D$2:$D$36=$D37)*(案件入力!$R$2:$R$36="完了")*(案件入力!$B$2:$B$36)))=0,VLOOKUP($D37,商品マスタ範囲,5,FALSE),INDEX(案件入力!$I$2:$I$36,MATCH($D37&amp;"|"&amp;TEXT(SUMPRODUCT(MAX((案件入力!$D$2:$D$36=$D37)*(案件入力!$R$2:$R$36="完了")*(案件入力!$B$2:$B$36))),"0"),案件入力!$T$2:$T$36,0))),"")</f>
        <v/>
      </c>
      <c r="I37" s="40" t="n"/>
      <c r="J37" s="11">
        <f>IF(OR($H37="",$I37=""),"",IFERROR(($I37-$H37)/$H37,""))</f>
        <v/>
      </c>
      <c r="K37" s="8" t="n"/>
      <c r="L37" s="40">
        <f>IFERROR(IF(SUMPRODUCT(MAX((案件入力!$D$2:$D$36=$D37)*(案件入力!$R$2:$R$36="完了")*(案件入力!$B$2:$B$36)))=0,VLOOKUP($D37,商品マスタ範囲,6,FALSE),INDEX(案件入力!$M$2:$M$36,MATCH($D37&amp;"|"&amp;TEXT(SUMPRODUCT(MAX((案件入力!$D$2:$D$36=$D37)*(案件入力!$R$2:$R$36="完了")*(案件入力!$B$2:$B$36))),"0"),案件入力!$T$2:$T$36,0))),"")</f>
        <v/>
      </c>
      <c r="M37" s="40" t="n"/>
      <c r="N37" s="11">
        <f>IF(OR($L37="",$M37=""),"",IFERROR(($M37-$L37)/$L37,""))</f>
        <v/>
      </c>
      <c r="O37" s="8" t="n"/>
      <c r="P37" s="9" t="n"/>
      <c r="Q37" s="7" t="n"/>
      <c r="R37" s="7" t="n"/>
      <c r="S37" s="7" t="n"/>
      <c r="T37" s="7">
        <f>IF($R37="完了",$D37&amp;"|"&amp;TEXT($B37,"0"),"")</f>
        <v/>
      </c>
    </row>
    <row r="38">
      <c r="A38" s="7">
        <f>IF($B38="","",TEXT(YEAR($B38),"0000")&amp;"-"&amp;TEXT(SUMPRODUCT((YEAR($B$2:$B38)=YEAR($B38))*($B$2:$B38&lt;&gt;"")),"000"))</f>
        <v/>
      </c>
      <c r="B38" s="8" t="n"/>
      <c r="C38" s="7" t="n"/>
      <c r="D38" s="9" t="n"/>
      <c r="E38" s="7">
        <f>IFERROR(VLOOKUP($D38,商品マスタ範囲,4,FALSE),"")</f>
        <v/>
      </c>
      <c r="F38" s="7">
        <f>IFERROR(VLOOKUP($D38,商品マスタ範囲,2,FALSE),"")</f>
        <v/>
      </c>
      <c r="G38" s="7">
        <f>IFERROR(VLOOKUP($D38,商品マスタ範囲,3,FALSE),"")</f>
        <v/>
      </c>
      <c r="H38" s="40">
        <f>IFERROR(IF(SUMPRODUCT(MAX((案件入力!$D$2:$D$37=$D38)*(案件入力!$R$2:$R$37="完了")*(案件入力!$B$2:$B$37)))=0,VLOOKUP($D38,商品マスタ範囲,5,FALSE),INDEX(案件入力!$I$2:$I$37,MATCH($D38&amp;"|"&amp;TEXT(SUMPRODUCT(MAX((案件入力!$D$2:$D$37=$D38)*(案件入力!$R$2:$R$37="完了")*(案件入力!$B$2:$B$37))),"0"),案件入力!$T$2:$T$37,0))),"")</f>
        <v/>
      </c>
      <c r="I38" s="40" t="n"/>
      <c r="J38" s="11">
        <f>IF(OR($H38="",$I38=""),"",IFERROR(($I38-$H38)/$H38,""))</f>
        <v/>
      </c>
      <c r="K38" s="8" t="n"/>
      <c r="L38" s="40">
        <f>IFERROR(IF(SUMPRODUCT(MAX((案件入力!$D$2:$D$37=$D38)*(案件入力!$R$2:$R$37="完了")*(案件入力!$B$2:$B$37)))=0,VLOOKUP($D38,商品マスタ範囲,6,FALSE),INDEX(案件入力!$M$2:$M$37,MATCH($D38&amp;"|"&amp;TEXT(SUMPRODUCT(MAX((案件入力!$D$2:$D$37=$D38)*(案件入力!$R$2:$R$37="完了")*(案件入力!$B$2:$B$37))),"0"),案件入力!$T$2:$T$37,0))),"")</f>
        <v/>
      </c>
      <c r="M38" s="40" t="n"/>
      <c r="N38" s="11">
        <f>IF(OR($L38="",$M38=""),"",IFERROR(($M38-$L38)/$L38,""))</f>
        <v/>
      </c>
      <c r="O38" s="8" t="n"/>
      <c r="P38" s="9" t="n"/>
      <c r="Q38" s="7" t="n"/>
      <c r="R38" s="7" t="n"/>
      <c r="S38" s="7" t="n"/>
      <c r="T38" s="7">
        <f>IF($R38="完了",$D38&amp;"|"&amp;TEXT($B38,"0"),"")</f>
        <v/>
      </c>
    </row>
    <row r="39">
      <c r="A39" s="7">
        <f>IF($B39="","",TEXT(YEAR($B39),"0000")&amp;"-"&amp;TEXT(SUMPRODUCT((YEAR($B$2:$B39)=YEAR($B39))*($B$2:$B39&lt;&gt;"")),"000"))</f>
        <v/>
      </c>
      <c r="B39" s="8" t="n"/>
      <c r="C39" s="7" t="n"/>
      <c r="D39" s="9" t="n"/>
      <c r="E39" s="7">
        <f>IFERROR(VLOOKUP($D39,商品マスタ範囲,4,FALSE),"")</f>
        <v/>
      </c>
      <c r="F39" s="7">
        <f>IFERROR(VLOOKUP($D39,商品マスタ範囲,2,FALSE),"")</f>
        <v/>
      </c>
      <c r="G39" s="7">
        <f>IFERROR(VLOOKUP($D39,商品マスタ範囲,3,FALSE),"")</f>
        <v/>
      </c>
      <c r="H39" s="40">
        <f>IFERROR(IF(SUMPRODUCT(MAX((案件入力!$D$2:$D$38=$D39)*(案件入力!$R$2:$R$38="完了")*(案件入力!$B$2:$B$38)))=0,VLOOKUP($D39,商品マスタ範囲,5,FALSE),INDEX(案件入力!$I$2:$I$38,MATCH($D39&amp;"|"&amp;TEXT(SUMPRODUCT(MAX((案件入力!$D$2:$D$38=$D39)*(案件入力!$R$2:$R$38="完了")*(案件入力!$B$2:$B$38))),"0"),案件入力!$T$2:$T$38,0))),"")</f>
        <v/>
      </c>
      <c r="I39" s="40" t="n"/>
      <c r="J39" s="11">
        <f>IF(OR($H39="",$I39=""),"",IFERROR(($I39-$H39)/$H39,""))</f>
        <v/>
      </c>
      <c r="K39" s="8" t="n"/>
      <c r="L39" s="40">
        <f>IFERROR(IF(SUMPRODUCT(MAX((案件入力!$D$2:$D$38=$D39)*(案件入力!$R$2:$R$38="完了")*(案件入力!$B$2:$B$38)))=0,VLOOKUP($D39,商品マスタ範囲,6,FALSE),INDEX(案件入力!$M$2:$M$38,MATCH($D39&amp;"|"&amp;TEXT(SUMPRODUCT(MAX((案件入力!$D$2:$D$38=$D39)*(案件入力!$R$2:$R$38="完了")*(案件入力!$B$2:$B$38))),"0"),案件入力!$T$2:$T$38,0))),"")</f>
        <v/>
      </c>
      <c r="M39" s="40" t="n"/>
      <c r="N39" s="11">
        <f>IF(OR($L39="",$M39=""),"",IFERROR(($M39-$L39)/$L39,""))</f>
        <v/>
      </c>
      <c r="O39" s="8" t="n"/>
      <c r="P39" s="9" t="n"/>
      <c r="Q39" s="7" t="n"/>
      <c r="R39" s="7" t="n"/>
      <c r="S39" s="7" t="n"/>
      <c r="T39" s="7">
        <f>IF($R39="完了",$D39&amp;"|"&amp;TEXT($B39,"0"),"")</f>
        <v/>
      </c>
    </row>
    <row r="40">
      <c r="A40" s="7">
        <f>IF($B40="","",TEXT(YEAR($B40),"0000")&amp;"-"&amp;TEXT(SUMPRODUCT((YEAR($B$2:$B40)=YEAR($B40))*($B$2:$B40&lt;&gt;"")),"000"))</f>
        <v/>
      </c>
      <c r="B40" s="8" t="n"/>
      <c r="C40" s="7" t="n"/>
      <c r="D40" s="9" t="n"/>
      <c r="E40" s="7">
        <f>IFERROR(VLOOKUP($D40,商品マスタ範囲,4,FALSE),"")</f>
        <v/>
      </c>
      <c r="F40" s="7">
        <f>IFERROR(VLOOKUP($D40,商品マスタ範囲,2,FALSE),"")</f>
        <v/>
      </c>
      <c r="G40" s="7">
        <f>IFERROR(VLOOKUP($D40,商品マスタ範囲,3,FALSE),"")</f>
        <v/>
      </c>
      <c r="H40" s="40">
        <f>IFERROR(IF(SUMPRODUCT(MAX((案件入力!$D$2:$D$39=$D40)*(案件入力!$R$2:$R$39="完了")*(案件入力!$B$2:$B$39)))=0,VLOOKUP($D40,商品マスタ範囲,5,FALSE),INDEX(案件入力!$I$2:$I$39,MATCH($D40&amp;"|"&amp;TEXT(SUMPRODUCT(MAX((案件入力!$D$2:$D$39=$D40)*(案件入力!$R$2:$R$39="完了")*(案件入力!$B$2:$B$39))),"0"),案件入力!$T$2:$T$39,0))),"")</f>
        <v/>
      </c>
      <c r="I40" s="40" t="n"/>
      <c r="J40" s="11">
        <f>IF(OR($H40="",$I40=""),"",IFERROR(($I40-$H40)/$H40,""))</f>
        <v/>
      </c>
      <c r="K40" s="8" t="n"/>
      <c r="L40" s="40">
        <f>IFERROR(IF(SUMPRODUCT(MAX((案件入力!$D$2:$D$39=$D40)*(案件入力!$R$2:$R$39="完了")*(案件入力!$B$2:$B$39)))=0,VLOOKUP($D40,商品マスタ範囲,6,FALSE),INDEX(案件入力!$M$2:$M$39,MATCH($D40&amp;"|"&amp;TEXT(SUMPRODUCT(MAX((案件入力!$D$2:$D$39=$D40)*(案件入力!$R$2:$R$39="完了")*(案件入力!$B$2:$B$39))),"0"),案件入力!$T$2:$T$39,0))),"")</f>
        <v/>
      </c>
      <c r="M40" s="40" t="n"/>
      <c r="N40" s="11">
        <f>IF(OR($L40="",$M40=""),"",IFERROR(($M40-$L40)/$L40,""))</f>
        <v/>
      </c>
      <c r="O40" s="8" t="n"/>
      <c r="P40" s="9" t="n"/>
      <c r="Q40" s="7" t="n"/>
      <c r="R40" s="7" t="n"/>
      <c r="S40" s="7" t="n"/>
      <c r="T40" s="7">
        <f>IF($R40="完了",$D40&amp;"|"&amp;TEXT($B40,"0"),"")</f>
        <v/>
      </c>
    </row>
    <row r="41">
      <c r="A41" s="7">
        <f>IF($B41="","",TEXT(YEAR($B41),"0000")&amp;"-"&amp;TEXT(SUMPRODUCT((YEAR($B$2:$B41)=YEAR($B41))*($B$2:$B41&lt;&gt;"")),"000"))</f>
        <v/>
      </c>
      <c r="B41" s="8" t="n"/>
      <c r="C41" s="7" t="n"/>
      <c r="D41" s="9" t="n"/>
      <c r="E41" s="7">
        <f>IFERROR(VLOOKUP($D41,商品マスタ範囲,4,FALSE),"")</f>
        <v/>
      </c>
      <c r="F41" s="7">
        <f>IFERROR(VLOOKUP($D41,商品マスタ範囲,2,FALSE),"")</f>
        <v/>
      </c>
      <c r="G41" s="7">
        <f>IFERROR(VLOOKUP($D41,商品マスタ範囲,3,FALSE),"")</f>
        <v/>
      </c>
      <c r="H41" s="40">
        <f>IFERROR(IF(SUMPRODUCT(MAX((案件入力!$D$2:$D$40=$D41)*(案件入力!$R$2:$R$40="完了")*(案件入力!$B$2:$B$40)))=0,VLOOKUP($D41,商品マスタ範囲,5,FALSE),INDEX(案件入力!$I$2:$I$40,MATCH($D41&amp;"|"&amp;TEXT(SUMPRODUCT(MAX((案件入力!$D$2:$D$40=$D41)*(案件入力!$R$2:$R$40="完了")*(案件入力!$B$2:$B$40))),"0"),案件入力!$T$2:$T$40,0))),"")</f>
        <v/>
      </c>
      <c r="I41" s="40" t="n"/>
      <c r="J41" s="11">
        <f>IF(OR($H41="",$I41=""),"",IFERROR(($I41-$H41)/$H41,""))</f>
        <v/>
      </c>
      <c r="K41" s="8" t="n"/>
      <c r="L41" s="40">
        <f>IFERROR(IF(SUMPRODUCT(MAX((案件入力!$D$2:$D$40=$D41)*(案件入力!$R$2:$R$40="完了")*(案件入力!$B$2:$B$40)))=0,VLOOKUP($D41,商品マスタ範囲,6,FALSE),INDEX(案件入力!$M$2:$M$40,MATCH($D41&amp;"|"&amp;TEXT(SUMPRODUCT(MAX((案件入力!$D$2:$D$40=$D41)*(案件入力!$R$2:$R$40="完了")*(案件入力!$B$2:$B$40))),"0"),案件入力!$T$2:$T$40,0))),"")</f>
        <v/>
      </c>
      <c r="M41" s="40" t="n"/>
      <c r="N41" s="11">
        <f>IF(OR($L41="",$M41=""),"",IFERROR(($M41-$L41)/$L41,""))</f>
        <v/>
      </c>
      <c r="O41" s="8" t="n"/>
      <c r="P41" s="9" t="n"/>
      <c r="Q41" s="7" t="n"/>
      <c r="R41" s="7" t="n"/>
      <c r="S41" s="7" t="n"/>
      <c r="T41" s="7">
        <f>IF($R41="完了",$D41&amp;"|"&amp;TEXT($B41,"0"),"")</f>
        <v/>
      </c>
    </row>
    <row r="42">
      <c r="A42" s="7">
        <f>IF($B42="","",TEXT(YEAR($B42),"0000")&amp;"-"&amp;TEXT(SUMPRODUCT((YEAR($B$2:$B42)=YEAR($B42))*($B$2:$B42&lt;&gt;"")),"000"))</f>
        <v/>
      </c>
      <c r="B42" s="8" t="n"/>
      <c r="C42" s="7" t="n"/>
      <c r="D42" s="9" t="n"/>
      <c r="E42" s="7">
        <f>IFERROR(VLOOKUP($D42,商品マスタ範囲,4,FALSE),"")</f>
        <v/>
      </c>
      <c r="F42" s="7">
        <f>IFERROR(VLOOKUP($D42,商品マスタ範囲,2,FALSE),"")</f>
        <v/>
      </c>
      <c r="G42" s="7">
        <f>IFERROR(VLOOKUP($D42,商品マスタ範囲,3,FALSE),"")</f>
        <v/>
      </c>
      <c r="H42" s="40">
        <f>IFERROR(IF(SUMPRODUCT(MAX((案件入力!$D$2:$D$41=$D42)*(案件入力!$R$2:$R$41="完了")*(案件入力!$B$2:$B$41)))=0,VLOOKUP($D42,商品マスタ範囲,5,FALSE),INDEX(案件入力!$I$2:$I$41,MATCH($D42&amp;"|"&amp;TEXT(SUMPRODUCT(MAX((案件入力!$D$2:$D$41=$D42)*(案件入力!$R$2:$R$41="完了")*(案件入力!$B$2:$B$41))),"0"),案件入力!$T$2:$T$41,0))),"")</f>
        <v/>
      </c>
      <c r="I42" s="40" t="n"/>
      <c r="J42" s="11">
        <f>IF(OR($H42="",$I42=""),"",IFERROR(($I42-$H42)/$H42,""))</f>
        <v/>
      </c>
      <c r="K42" s="8" t="n"/>
      <c r="L42" s="40">
        <f>IFERROR(IF(SUMPRODUCT(MAX((案件入力!$D$2:$D$41=$D42)*(案件入力!$R$2:$R$41="完了")*(案件入力!$B$2:$B$41)))=0,VLOOKUP($D42,商品マスタ範囲,6,FALSE),INDEX(案件入力!$M$2:$M$41,MATCH($D42&amp;"|"&amp;TEXT(SUMPRODUCT(MAX((案件入力!$D$2:$D$41=$D42)*(案件入力!$R$2:$R$41="完了")*(案件入力!$B$2:$B$41))),"0"),案件入力!$T$2:$T$41,0))),"")</f>
        <v/>
      </c>
      <c r="M42" s="40" t="n"/>
      <c r="N42" s="11">
        <f>IF(OR($L42="",$M42=""),"",IFERROR(($M42-$L42)/$L42,""))</f>
        <v/>
      </c>
      <c r="O42" s="8" t="n"/>
      <c r="P42" s="9" t="n"/>
      <c r="Q42" s="7" t="n"/>
      <c r="R42" s="7" t="n"/>
      <c r="S42" s="7" t="n"/>
      <c r="T42" s="7">
        <f>IF($R42="完了",$D42&amp;"|"&amp;TEXT($B42,"0"),"")</f>
        <v/>
      </c>
    </row>
    <row r="43">
      <c r="A43" s="7">
        <f>IF($B43="","",TEXT(YEAR($B43),"0000")&amp;"-"&amp;TEXT(SUMPRODUCT((YEAR($B$2:$B43)=YEAR($B43))*($B$2:$B43&lt;&gt;"")),"000"))</f>
        <v/>
      </c>
      <c r="B43" s="8" t="n"/>
      <c r="C43" s="7" t="n"/>
      <c r="D43" s="9" t="n"/>
      <c r="E43" s="7">
        <f>IFERROR(VLOOKUP($D43,商品マスタ範囲,4,FALSE),"")</f>
        <v/>
      </c>
      <c r="F43" s="7">
        <f>IFERROR(VLOOKUP($D43,商品マスタ範囲,2,FALSE),"")</f>
        <v/>
      </c>
      <c r="G43" s="7">
        <f>IFERROR(VLOOKUP($D43,商品マスタ範囲,3,FALSE),"")</f>
        <v/>
      </c>
      <c r="H43" s="40">
        <f>IFERROR(IF(SUMPRODUCT(MAX((案件入力!$D$2:$D$42=$D43)*(案件入力!$R$2:$R$42="完了")*(案件入力!$B$2:$B$42)))=0,VLOOKUP($D43,商品マスタ範囲,5,FALSE),INDEX(案件入力!$I$2:$I$42,MATCH($D43&amp;"|"&amp;TEXT(SUMPRODUCT(MAX((案件入力!$D$2:$D$42=$D43)*(案件入力!$R$2:$R$42="完了")*(案件入力!$B$2:$B$42))),"0"),案件入力!$T$2:$T$42,0))),"")</f>
        <v/>
      </c>
      <c r="I43" s="40" t="n"/>
      <c r="J43" s="11">
        <f>IF(OR($H43="",$I43=""),"",IFERROR(($I43-$H43)/$H43,""))</f>
        <v/>
      </c>
      <c r="K43" s="8" t="n"/>
      <c r="L43" s="40">
        <f>IFERROR(IF(SUMPRODUCT(MAX((案件入力!$D$2:$D$42=$D43)*(案件入力!$R$2:$R$42="完了")*(案件入力!$B$2:$B$42)))=0,VLOOKUP($D43,商品マスタ範囲,6,FALSE),INDEX(案件入力!$M$2:$M$42,MATCH($D43&amp;"|"&amp;TEXT(SUMPRODUCT(MAX((案件入力!$D$2:$D$42=$D43)*(案件入力!$R$2:$R$42="完了")*(案件入力!$B$2:$B$42))),"0"),案件入力!$T$2:$T$42,0))),"")</f>
        <v/>
      </c>
      <c r="M43" s="40" t="n"/>
      <c r="N43" s="11">
        <f>IF(OR($L43="",$M43=""),"",IFERROR(($M43-$L43)/$L43,""))</f>
        <v/>
      </c>
      <c r="O43" s="8" t="n"/>
      <c r="P43" s="9" t="n"/>
      <c r="Q43" s="7" t="n"/>
      <c r="R43" s="7" t="n"/>
      <c r="S43" s="7" t="n"/>
      <c r="T43" s="7">
        <f>IF($R43="完了",$D43&amp;"|"&amp;TEXT($B43,"0"),"")</f>
        <v/>
      </c>
    </row>
    <row r="44">
      <c r="A44" s="7">
        <f>IF($B44="","",TEXT(YEAR($B44),"0000")&amp;"-"&amp;TEXT(SUMPRODUCT((YEAR($B$2:$B44)=YEAR($B44))*($B$2:$B44&lt;&gt;"")),"000"))</f>
        <v/>
      </c>
      <c r="B44" s="8" t="n"/>
      <c r="C44" s="7" t="n"/>
      <c r="D44" s="9" t="n"/>
      <c r="E44" s="7">
        <f>IFERROR(VLOOKUP($D44,商品マスタ範囲,4,FALSE),"")</f>
        <v/>
      </c>
      <c r="F44" s="7">
        <f>IFERROR(VLOOKUP($D44,商品マスタ範囲,2,FALSE),"")</f>
        <v/>
      </c>
      <c r="G44" s="7">
        <f>IFERROR(VLOOKUP($D44,商品マスタ範囲,3,FALSE),"")</f>
        <v/>
      </c>
      <c r="H44" s="40">
        <f>IFERROR(IF(SUMPRODUCT(MAX((案件入力!$D$2:$D$43=$D44)*(案件入力!$R$2:$R$43="完了")*(案件入力!$B$2:$B$43)))=0,VLOOKUP($D44,商品マスタ範囲,5,FALSE),INDEX(案件入力!$I$2:$I$43,MATCH($D44&amp;"|"&amp;TEXT(SUMPRODUCT(MAX((案件入力!$D$2:$D$43=$D44)*(案件入力!$R$2:$R$43="完了")*(案件入力!$B$2:$B$43))),"0"),案件入力!$T$2:$T$43,0))),"")</f>
        <v/>
      </c>
      <c r="I44" s="40" t="n"/>
      <c r="J44" s="11">
        <f>IF(OR($H44="",$I44=""),"",IFERROR(($I44-$H44)/$H44,""))</f>
        <v/>
      </c>
      <c r="K44" s="8" t="n"/>
      <c r="L44" s="40">
        <f>IFERROR(IF(SUMPRODUCT(MAX((案件入力!$D$2:$D$43=$D44)*(案件入力!$R$2:$R$43="完了")*(案件入力!$B$2:$B$43)))=0,VLOOKUP($D44,商品マスタ範囲,6,FALSE),INDEX(案件入力!$M$2:$M$43,MATCH($D44&amp;"|"&amp;TEXT(SUMPRODUCT(MAX((案件入力!$D$2:$D$43=$D44)*(案件入力!$R$2:$R$43="完了")*(案件入力!$B$2:$B$43))),"0"),案件入力!$T$2:$T$43,0))),"")</f>
        <v/>
      </c>
      <c r="M44" s="40" t="n"/>
      <c r="N44" s="11">
        <f>IF(OR($L44="",$M44=""),"",IFERROR(($M44-$L44)/$L44,""))</f>
        <v/>
      </c>
      <c r="O44" s="8" t="n"/>
      <c r="P44" s="9" t="n"/>
      <c r="Q44" s="7" t="n"/>
      <c r="R44" s="7" t="n"/>
      <c r="S44" s="7" t="n"/>
      <c r="T44" s="7">
        <f>IF($R44="完了",$D44&amp;"|"&amp;TEXT($B44,"0"),"")</f>
        <v/>
      </c>
    </row>
    <row r="45">
      <c r="A45" s="7">
        <f>IF($B45="","",TEXT(YEAR($B45),"0000")&amp;"-"&amp;TEXT(SUMPRODUCT((YEAR($B$2:$B45)=YEAR($B45))*($B$2:$B45&lt;&gt;"")),"000"))</f>
        <v/>
      </c>
      <c r="B45" s="8" t="n"/>
      <c r="C45" s="7" t="n"/>
      <c r="D45" s="9" t="n"/>
      <c r="E45" s="7">
        <f>IFERROR(VLOOKUP($D45,商品マスタ範囲,4,FALSE),"")</f>
        <v/>
      </c>
      <c r="F45" s="7">
        <f>IFERROR(VLOOKUP($D45,商品マスタ範囲,2,FALSE),"")</f>
        <v/>
      </c>
      <c r="G45" s="7">
        <f>IFERROR(VLOOKUP($D45,商品マスタ範囲,3,FALSE),"")</f>
        <v/>
      </c>
      <c r="H45" s="40">
        <f>IFERROR(IF(SUMPRODUCT(MAX((案件入力!$D$2:$D$44=$D45)*(案件入力!$R$2:$R$44="完了")*(案件入力!$B$2:$B$44)))=0,VLOOKUP($D45,商品マスタ範囲,5,FALSE),INDEX(案件入力!$I$2:$I$44,MATCH($D45&amp;"|"&amp;TEXT(SUMPRODUCT(MAX((案件入力!$D$2:$D$44=$D45)*(案件入力!$R$2:$R$44="完了")*(案件入力!$B$2:$B$44))),"0"),案件入力!$T$2:$T$44,0))),"")</f>
        <v/>
      </c>
      <c r="I45" s="40" t="n"/>
      <c r="J45" s="11">
        <f>IF(OR($H45="",$I45=""),"",IFERROR(($I45-$H45)/$H45,""))</f>
        <v/>
      </c>
      <c r="K45" s="8" t="n"/>
      <c r="L45" s="40">
        <f>IFERROR(IF(SUMPRODUCT(MAX((案件入力!$D$2:$D$44=$D45)*(案件入力!$R$2:$R$44="完了")*(案件入力!$B$2:$B$44)))=0,VLOOKUP($D45,商品マスタ範囲,6,FALSE),INDEX(案件入力!$M$2:$M$44,MATCH($D45&amp;"|"&amp;TEXT(SUMPRODUCT(MAX((案件入力!$D$2:$D$44=$D45)*(案件入力!$R$2:$R$44="完了")*(案件入力!$B$2:$B$44))),"0"),案件入力!$T$2:$T$44,0))),"")</f>
        <v/>
      </c>
      <c r="M45" s="40" t="n"/>
      <c r="N45" s="11">
        <f>IF(OR($L45="",$M45=""),"",IFERROR(($M45-$L45)/$L45,""))</f>
        <v/>
      </c>
      <c r="O45" s="8" t="n"/>
      <c r="P45" s="9" t="n"/>
      <c r="Q45" s="7" t="n"/>
      <c r="R45" s="7" t="n"/>
      <c r="S45" s="7" t="n"/>
      <c r="T45" s="7">
        <f>IF($R45="完了",$D45&amp;"|"&amp;TEXT($B45,"0"),"")</f>
        <v/>
      </c>
    </row>
    <row r="46">
      <c r="A46" s="7">
        <f>IF($B46="","",TEXT(YEAR($B46),"0000")&amp;"-"&amp;TEXT(SUMPRODUCT((YEAR($B$2:$B46)=YEAR($B46))*($B$2:$B46&lt;&gt;"")),"000"))</f>
        <v/>
      </c>
      <c r="B46" s="8" t="n"/>
      <c r="C46" s="7" t="n"/>
      <c r="D46" s="9" t="n"/>
      <c r="E46" s="7">
        <f>IFERROR(VLOOKUP($D46,商品マスタ範囲,4,FALSE),"")</f>
        <v/>
      </c>
      <c r="F46" s="7">
        <f>IFERROR(VLOOKUP($D46,商品マスタ範囲,2,FALSE),"")</f>
        <v/>
      </c>
      <c r="G46" s="7">
        <f>IFERROR(VLOOKUP($D46,商品マスタ範囲,3,FALSE),"")</f>
        <v/>
      </c>
      <c r="H46" s="40">
        <f>IFERROR(IF(SUMPRODUCT(MAX((案件入力!$D$2:$D$45=$D46)*(案件入力!$R$2:$R$45="完了")*(案件入力!$B$2:$B$45)))=0,VLOOKUP($D46,商品マスタ範囲,5,FALSE),INDEX(案件入力!$I$2:$I$45,MATCH($D46&amp;"|"&amp;TEXT(SUMPRODUCT(MAX((案件入力!$D$2:$D$45=$D46)*(案件入力!$R$2:$R$45="完了")*(案件入力!$B$2:$B$45))),"0"),案件入力!$T$2:$T$45,0))),"")</f>
        <v/>
      </c>
      <c r="I46" s="40" t="n"/>
      <c r="J46" s="11">
        <f>IF(OR($H46="",$I46=""),"",IFERROR(($I46-$H46)/$H46,""))</f>
        <v/>
      </c>
      <c r="K46" s="8" t="n"/>
      <c r="L46" s="40">
        <f>IFERROR(IF(SUMPRODUCT(MAX((案件入力!$D$2:$D$45=$D46)*(案件入力!$R$2:$R$45="完了")*(案件入力!$B$2:$B$45)))=0,VLOOKUP($D46,商品マスタ範囲,6,FALSE),INDEX(案件入力!$M$2:$M$45,MATCH($D46&amp;"|"&amp;TEXT(SUMPRODUCT(MAX((案件入力!$D$2:$D$45=$D46)*(案件入力!$R$2:$R$45="完了")*(案件入力!$B$2:$B$45))),"0"),案件入力!$T$2:$T$45,0))),"")</f>
        <v/>
      </c>
      <c r="M46" s="40" t="n"/>
      <c r="N46" s="11">
        <f>IF(OR($L46="",$M46=""),"",IFERROR(($M46-$L46)/$L46,""))</f>
        <v/>
      </c>
      <c r="O46" s="8" t="n"/>
      <c r="P46" s="9" t="n"/>
      <c r="Q46" s="7" t="n"/>
      <c r="R46" s="7" t="n"/>
      <c r="S46" s="7" t="n"/>
      <c r="T46" s="7">
        <f>IF($R46="完了",$D46&amp;"|"&amp;TEXT($B46,"0"),"")</f>
        <v/>
      </c>
    </row>
    <row r="47">
      <c r="A47" s="7">
        <f>IF($B47="","",TEXT(YEAR($B47),"0000")&amp;"-"&amp;TEXT(SUMPRODUCT((YEAR($B$2:$B47)=YEAR($B47))*($B$2:$B47&lt;&gt;"")),"000"))</f>
        <v/>
      </c>
      <c r="B47" s="8" t="n"/>
      <c r="C47" s="7" t="n"/>
      <c r="D47" s="9" t="n"/>
      <c r="E47" s="7">
        <f>IFERROR(VLOOKUP($D47,商品マスタ範囲,4,FALSE),"")</f>
        <v/>
      </c>
      <c r="F47" s="7">
        <f>IFERROR(VLOOKUP($D47,商品マスタ範囲,2,FALSE),"")</f>
        <v/>
      </c>
      <c r="G47" s="7">
        <f>IFERROR(VLOOKUP($D47,商品マスタ範囲,3,FALSE),"")</f>
        <v/>
      </c>
      <c r="H47" s="40">
        <f>IFERROR(IF(SUMPRODUCT(MAX((案件入力!$D$2:$D$46=$D47)*(案件入力!$R$2:$R$46="完了")*(案件入力!$B$2:$B$46)))=0,VLOOKUP($D47,商品マスタ範囲,5,FALSE),INDEX(案件入力!$I$2:$I$46,MATCH($D47&amp;"|"&amp;TEXT(SUMPRODUCT(MAX((案件入力!$D$2:$D$46=$D47)*(案件入力!$R$2:$R$46="完了")*(案件入力!$B$2:$B$46))),"0"),案件入力!$T$2:$T$46,0))),"")</f>
        <v/>
      </c>
      <c r="I47" s="40" t="n"/>
      <c r="J47" s="11">
        <f>IF(OR($H47="",$I47=""),"",IFERROR(($I47-$H47)/$H47,""))</f>
        <v/>
      </c>
      <c r="K47" s="8" t="n"/>
      <c r="L47" s="40">
        <f>IFERROR(IF(SUMPRODUCT(MAX((案件入力!$D$2:$D$46=$D47)*(案件入力!$R$2:$R$46="完了")*(案件入力!$B$2:$B$46)))=0,VLOOKUP($D47,商品マスタ範囲,6,FALSE),INDEX(案件入力!$M$2:$M$46,MATCH($D47&amp;"|"&amp;TEXT(SUMPRODUCT(MAX((案件入力!$D$2:$D$46=$D47)*(案件入力!$R$2:$R$46="完了")*(案件入力!$B$2:$B$46))),"0"),案件入力!$T$2:$T$46,0))),"")</f>
        <v/>
      </c>
      <c r="M47" s="40" t="n"/>
      <c r="N47" s="11">
        <f>IF(OR($L47="",$M47=""),"",IFERROR(($M47-$L47)/$L47,""))</f>
        <v/>
      </c>
      <c r="O47" s="8" t="n"/>
      <c r="P47" s="9" t="n"/>
      <c r="Q47" s="7" t="n"/>
      <c r="R47" s="7" t="n"/>
      <c r="S47" s="7" t="n"/>
      <c r="T47" s="7">
        <f>IF($R47="完了",$D47&amp;"|"&amp;TEXT($B47,"0"),"")</f>
        <v/>
      </c>
    </row>
    <row r="48">
      <c r="A48" s="7">
        <f>IF($B48="","",TEXT(YEAR($B48),"0000")&amp;"-"&amp;TEXT(SUMPRODUCT((YEAR($B$2:$B48)=YEAR($B48))*($B$2:$B48&lt;&gt;"")),"000"))</f>
        <v/>
      </c>
      <c r="B48" s="8" t="n"/>
      <c r="C48" s="7" t="n"/>
      <c r="D48" s="9" t="n"/>
      <c r="E48" s="7">
        <f>IFERROR(VLOOKUP($D48,商品マスタ範囲,4,FALSE),"")</f>
        <v/>
      </c>
      <c r="F48" s="7">
        <f>IFERROR(VLOOKUP($D48,商品マスタ範囲,2,FALSE),"")</f>
        <v/>
      </c>
      <c r="G48" s="7">
        <f>IFERROR(VLOOKUP($D48,商品マスタ範囲,3,FALSE),"")</f>
        <v/>
      </c>
      <c r="H48" s="40">
        <f>IFERROR(IF(SUMPRODUCT(MAX((案件入力!$D$2:$D$47=$D48)*(案件入力!$R$2:$R$47="完了")*(案件入力!$B$2:$B$47)))=0,VLOOKUP($D48,商品マスタ範囲,5,FALSE),INDEX(案件入力!$I$2:$I$47,MATCH($D48&amp;"|"&amp;TEXT(SUMPRODUCT(MAX((案件入力!$D$2:$D$47=$D48)*(案件入力!$R$2:$R$47="完了")*(案件入力!$B$2:$B$47))),"0"),案件入力!$T$2:$T$47,0))),"")</f>
        <v/>
      </c>
      <c r="I48" s="40" t="n"/>
      <c r="J48" s="11">
        <f>IF(OR($H48="",$I48=""),"",IFERROR(($I48-$H48)/$H48,""))</f>
        <v/>
      </c>
      <c r="K48" s="8" t="n"/>
      <c r="L48" s="40">
        <f>IFERROR(IF(SUMPRODUCT(MAX((案件入力!$D$2:$D$47=$D48)*(案件入力!$R$2:$R$47="完了")*(案件入力!$B$2:$B$47)))=0,VLOOKUP($D48,商品マスタ範囲,6,FALSE),INDEX(案件入力!$M$2:$M$47,MATCH($D48&amp;"|"&amp;TEXT(SUMPRODUCT(MAX((案件入力!$D$2:$D$47=$D48)*(案件入力!$R$2:$R$47="完了")*(案件入力!$B$2:$B$47))),"0"),案件入力!$T$2:$T$47,0))),"")</f>
        <v/>
      </c>
      <c r="M48" s="40" t="n"/>
      <c r="N48" s="11">
        <f>IF(OR($L48="",$M48=""),"",IFERROR(($M48-$L48)/$L48,""))</f>
        <v/>
      </c>
      <c r="O48" s="8" t="n"/>
      <c r="P48" s="9" t="n"/>
      <c r="Q48" s="7" t="n"/>
      <c r="R48" s="7" t="n"/>
      <c r="S48" s="7" t="n"/>
      <c r="T48" s="7">
        <f>IF($R48="完了",$D48&amp;"|"&amp;TEXT($B48,"0"),"")</f>
        <v/>
      </c>
    </row>
    <row r="49">
      <c r="A49" s="7">
        <f>IF($B49="","",TEXT(YEAR($B49),"0000")&amp;"-"&amp;TEXT(SUMPRODUCT((YEAR($B$2:$B49)=YEAR($B49))*($B$2:$B49&lt;&gt;"")),"000"))</f>
        <v/>
      </c>
      <c r="B49" s="8" t="n"/>
      <c r="C49" s="7" t="n"/>
      <c r="D49" s="9" t="n"/>
      <c r="E49" s="7">
        <f>IFERROR(VLOOKUP($D49,商品マスタ範囲,4,FALSE),"")</f>
        <v/>
      </c>
      <c r="F49" s="7">
        <f>IFERROR(VLOOKUP($D49,商品マスタ範囲,2,FALSE),"")</f>
        <v/>
      </c>
      <c r="G49" s="7">
        <f>IFERROR(VLOOKUP($D49,商品マスタ範囲,3,FALSE),"")</f>
        <v/>
      </c>
      <c r="H49" s="40">
        <f>IFERROR(IF(SUMPRODUCT(MAX((案件入力!$D$2:$D$48=$D49)*(案件入力!$R$2:$R$48="完了")*(案件入力!$B$2:$B$48)))=0,VLOOKUP($D49,商品マスタ範囲,5,FALSE),INDEX(案件入力!$I$2:$I$48,MATCH($D49&amp;"|"&amp;TEXT(SUMPRODUCT(MAX((案件入力!$D$2:$D$48=$D49)*(案件入力!$R$2:$R$48="完了")*(案件入力!$B$2:$B$48))),"0"),案件入力!$T$2:$T$48,0))),"")</f>
        <v/>
      </c>
      <c r="I49" s="40" t="n"/>
      <c r="J49" s="11">
        <f>IF(OR($H49="",$I49=""),"",IFERROR(($I49-$H49)/$H49,""))</f>
        <v/>
      </c>
      <c r="K49" s="8" t="n"/>
      <c r="L49" s="40">
        <f>IFERROR(IF(SUMPRODUCT(MAX((案件入力!$D$2:$D$48=$D49)*(案件入力!$R$2:$R$48="完了")*(案件入力!$B$2:$B$48)))=0,VLOOKUP($D49,商品マスタ範囲,6,FALSE),INDEX(案件入力!$M$2:$M$48,MATCH($D49&amp;"|"&amp;TEXT(SUMPRODUCT(MAX((案件入力!$D$2:$D$48=$D49)*(案件入力!$R$2:$R$48="完了")*(案件入力!$B$2:$B$48))),"0"),案件入力!$T$2:$T$48,0))),"")</f>
        <v/>
      </c>
      <c r="M49" s="40" t="n"/>
      <c r="N49" s="11">
        <f>IF(OR($L49="",$M49=""),"",IFERROR(($M49-$L49)/$L49,""))</f>
        <v/>
      </c>
      <c r="O49" s="8" t="n"/>
      <c r="P49" s="9" t="n"/>
      <c r="Q49" s="7" t="n"/>
      <c r="R49" s="7" t="n"/>
      <c r="S49" s="7" t="n"/>
      <c r="T49" s="7">
        <f>IF($R49="完了",$D49&amp;"|"&amp;TEXT($B49,"0"),"")</f>
        <v/>
      </c>
    </row>
    <row r="50">
      <c r="A50" s="7">
        <f>IF($B50="","",TEXT(YEAR($B50),"0000")&amp;"-"&amp;TEXT(SUMPRODUCT((YEAR($B$2:$B50)=YEAR($B50))*($B$2:$B50&lt;&gt;"")),"000"))</f>
        <v/>
      </c>
      <c r="B50" s="8" t="n"/>
      <c r="C50" s="7" t="n"/>
      <c r="D50" s="9" t="n"/>
      <c r="E50" s="7">
        <f>IFERROR(VLOOKUP($D50,商品マスタ範囲,4,FALSE),"")</f>
        <v/>
      </c>
      <c r="F50" s="7">
        <f>IFERROR(VLOOKUP($D50,商品マスタ範囲,2,FALSE),"")</f>
        <v/>
      </c>
      <c r="G50" s="7">
        <f>IFERROR(VLOOKUP($D50,商品マスタ範囲,3,FALSE),"")</f>
        <v/>
      </c>
      <c r="H50" s="40">
        <f>IFERROR(IF(SUMPRODUCT(MAX((案件入力!$D$2:$D$49=$D50)*(案件入力!$R$2:$R$49="完了")*(案件入力!$B$2:$B$49)))=0,VLOOKUP($D50,商品マスタ範囲,5,FALSE),INDEX(案件入力!$I$2:$I$49,MATCH($D50&amp;"|"&amp;TEXT(SUMPRODUCT(MAX((案件入力!$D$2:$D$49=$D50)*(案件入力!$R$2:$R$49="完了")*(案件入力!$B$2:$B$49))),"0"),案件入力!$T$2:$T$49,0))),"")</f>
        <v/>
      </c>
      <c r="I50" s="40" t="n"/>
      <c r="J50" s="11">
        <f>IF(OR($H50="",$I50=""),"",IFERROR(($I50-$H50)/$H50,""))</f>
        <v/>
      </c>
      <c r="K50" s="8" t="n"/>
      <c r="L50" s="40">
        <f>IFERROR(IF(SUMPRODUCT(MAX((案件入力!$D$2:$D$49=$D50)*(案件入力!$R$2:$R$49="完了")*(案件入力!$B$2:$B$49)))=0,VLOOKUP($D50,商品マスタ範囲,6,FALSE),INDEX(案件入力!$M$2:$M$49,MATCH($D50&amp;"|"&amp;TEXT(SUMPRODUCT(MAX((案件入力!$D$2:$D$49=$D50)*(案件入力!$R$2:$R$49="完了")*(案件入力!$B$2:$B$49))),"0"),案件入力!$T$2:$T$49,0))),"")</f>
        <v/>
      </c>
      <c r="M50" s="40" t="n"/>
      <c r="N50" s="11">
        <f>IF(OR($L50="",$M50=""),"",IFERROR(($M50-$L50)/$L50,""))</f>
        <v/>
      </c>
      <c r="O50" s="8" t="n"/>
      <c r="P50" s="9" t="n"/>
      <c r="Q50" s="7" t="n"/>
      <c r="R50" s="7" t="n"/>
      <c r="S50" s="7" t="n"/>
      <c r="T50" s="7">
        <f>IF($R50="完了",$D50&amp;"|"&amp;TEXT($B50,"0"),"")</f>
        <v/>
      </c>
    </row>
    <row r="51">
      <c r="A51" s="7">
        <f>IF($B51="","",TEXT(YEAR($B51),"0000")&amp;"-"&amp;TEXT(SUMPRODUCT((YEAR($B$2:$B51)=YEAR($B51))*($B$2:$B51&lt;&gt;"")),"000"))</f>
        <v/>
      </c>
      <c r="B51" s="8" t="n"/>
      <c r="C51" s="7" t="n"/>
      <c r="D51" s="9" t="n"/>
      <c r="E51" s="7">
        <f>IFERROR(VLOOKUP($D51,商品マスタ範囲,4,FALSE),"")</f>
        <v/>
      </c>
      <c r="F51" s="7">
        <f>IFERROR(VLOOKUP($D51,商品マスタ範囲,2,FALSE),"")</f>
        <v/>
      </c>
      <c r="G51" s="7">
        <f>IFERROR(VLOOKUP($D51,商品マスタ範囲,3,FALSE),"")</f>
        <v/>
      </c>
      <c r="H51" s="40">
        <f>IFERROR(IF(SUMPRODUCT(MAX((案件入力!$D$2:$D$50=$D51)*(案件入力!$R$2:$R$50="完了")*(案件入力!$B$2:$B$50)))=0,VLOOKUP($D51,商品マスタ範囲,5,FALSE),INDEX(案件入力!$I$2:$I$50,MATCH($D51&amp;"|"&amp;TEXT(SUMPRODUCT(MAX((案件入力!$D$2:$D$50=$D51)*(案件入力!$R$2:$R$50="完了")*(案件入力!$B$2:$B$50))),"0"),案件入力!$T$2:$T$50,0))),"")</f>
        <v/>
      </c>
      <c r="I51" s="40" t="n"/>
      <c r="J51" s="11">
        <f>IF(OR($H51="",$I51=""),"",IFERROR(($I51-$H51)/$H51,""))</f>
        <v/>
      </c>
      <c r="K51" s="8" t="n"/>
      <c r="L51" s="40">
        <f>IFERROR(IF(SUMPRODUCT(MAX((案件入力!$D$2:$D$50=$D51)*(案件入力!$R$2:$R$50="完了")*(案件入力!$B$2:$B$50)))=0,VLOOKUP($D51,商品マスタ範囲,6,FALSE),INDEX(案件入力!$M$2:$M$50,MATCH($D51&amp;"|"&amp;TEXT(SUMPRODUCT(MAX((案件入力!$D$2:$D$50=$D51)*(案件入力!$R$2:$R$50="完了")*(案件入力!$B$2:$B$50))),"0"),案件入力!$T$2:$T$50,0))),"")</f>
        <v/>
      </c>
      <c r="M51" s="40" t="n"/>
      <c r="N51" s="11">
        <f>IF(OR($L51="",$M51=""),"",IFERROR(($M51-$L51)/$L51,""))</f>
        <v/>
      </c>
      <c r="O51" s="8" t="n"/>
      <c r="P51" s="9" t="n"/>
      <c r="Q51" s="7" t="n"/>
      <c r="R51" s="7" t="n"/>
      <c r="S51" s="7" t="n"/>
      <c r="T51" s="7">
        <f>IF($R51="完了",$D51&amp;"|"&amp;TEXT($B51,"0"),"")</f>
        <v/>
      </c>
    </row>
    <row r="52">
      <c r="A52" s="7">
        <f>IF($B52="","",TEXT(YEAR($B52),"0000")&amp;"-"&amp;TEXT(SUMPRODUCT((YEAR($B$2:$B52)=YEAR($B52))*($B$2:$B52&lt;&gt;"")),"000"))</f>
        <v/>
      </c>
      <c r="B52" s="8" t="n"/>
      <c r="C52" s="7" t="n"/>
      <c r="D52" s="9" t="n"/>
      <c r="E52" s="7">
        <f>IFERROR(VLOOKUP($D52,商品マスタ範囲,4,FALSE),"")</f>
        <v/>
      </c>
      <c r="F52" s="7">
        <f>IFERROR(VLOOKUP($D52,商品マスタ範囲,2,FALSE),"")</f>
        <v/>
      </c>
      <c r="G52" s="7">
        <f>IFERROR(VLOOKUP($D52,商品マスタ範囲,3,FALSE),"")</f>
        <v/>
      </c>
      <c r="H52" s="40">
        <f>IFERROR(IF(SUMPRODUCT(MAX((案件入力!$D$2:$D$51=$D52)*(案件入力!$R$2:$R$51="完了")*(案件入力!$B$2:$B$51)))=0,VLOOKUP($D52,商品マスタ範囲,5,FALSE),INDEX(案件入力!$I$2:$I$51,MATCH($D52&amp;"|"&amp;TEXT(SUMPRODUCT(MAX((案件入力!$D$2:$D$51=$D52)*(案件入力!$R$2:$R$51="完了")*(案件入力!$B$2:$B$51))),"0"),案件入力!$T$2:$T$51,0))),"")</f>
        <v/>
      </c>
      <c r="I52" s="40" t="n"/>
      <c r="J52" s="11">
        <f>IF(OR($H52="",$I52=""),"",IFERROR(($I52-$H52)/$H52,""))</f>
        <v/>
      </c>
      <c r="K52" s="8" t="n"/>
      <c r="L52" s="40">
        <f>IFERROR(IF(SUMPRODUCT(MAX((案件入力!$D$2:$D$51=$D52)*(案件入力!$R$2:$R$51="完了")*(案件入力!$B$2:$B$51)))=0,VLOOKUP($D52,商品マスタ範囲,6,FALSE),INDEX(案件入力!$M$2:$M$51,MATCH($D52&amp;"|"&amp;TEXT(SUMPRODUCT(MAX((案件入力!$D$2:$D$51=$D52)*(案件入力!$R$2:$R$51="完了")*(案件入力!$B$2:$B$51))),"0"),案件入力!$T$2:$T$51,0))),"")</f>
        <v/>
      </c>
      <c r="M52" s="40" t="n"/>
      <c r="N52" s="11">
        <f>IF(OR($L52="",$M52=""),"",IFERROR(($M52-$L52)/$L52,""))</f>
        <v/>
      </c>
      <c r="O52" s="8" t="n"/>
      <c r="P52" s="9" t="n"/>
      <c r="Q52" s="7" t="n"/>
      <c r="R52" s="7" t="n"/>
      <c r="S52" s="7" t="n"/>
      <c r="T52" s="7">
        <f>IF($R52="完了",$D52&amp;"|"&amp;TEXT($B52,"0"),"")</f>
        <v/>
      </c>
    </row>
    <row r="53">
      <c r="A53" s="7">
        <f>IF($B53="","",TEXT(YEAR($B53),"0000")&amp;"-"&amp;TEXT(SUMPRODUCT((YEAR($B$2:$B53)=YEAR($B53))*($B$2:$B53&lt;&gt;"")),"000"))</f>
        <v/>
      </c>
      <c r="B53" s="8" t="n"/>
      <c r="C53" s="7" t="n"/>
      <c r="D53" s="9" t="n"/>
      <c r="E53" s="7">
        <f>IFERROR(VLOOKUP($D53,商品マスタ範囲,4,FALSE),"")</f>
        <v/>
      </c>
      <c r="F53" s="7">
        <f>IFERROR(VLOOKUP($D53,商品マスタ範囲,2,FALSE),"")</f>
        <v/>
      </c>
      <c r="G53" s="7">
        <f>IFERROR(VLOOKUP($D53,商品マスタ範囲,3,FALSE),"")</f>
        <v/>
      </c>
      <c r="H53" s="40">
        <f>IFERROR(IF(SUMPRODUCT(MAX((案件入力!$D$2:$D$52=$D53)*(案件入力!$R$2:$R$52="完了")*(案件入力!$B$2:$B$52)))=0,VLOOKUP($D53,商品マスタ範囲,5,FALSE),INDEX(案件入力!$I$2:$I$52,MATCH($D53&amp;"|"&amp;TEXT(SUMPRODUCT(MAX((案件入力!$D$2:$D$52=$D53)*(案件入力!$R$2:$R$52="完了")*(案件入力!$B$2:$B$52))),"0"),案件入力!$T$2:$T$52,0))),"")</f>
        <v/>
      </c>
      <c r="I53" s="40" t="n"/>
      <c r="J53" s="11">
        <f>IF(OR($H53="",$I53=""),"",IFERROR(($I53-$H53)/$H53,""))</f>
        <v/>
      </c>
      <c r="K53" s="8" t="n"/>
      <c r="L53" s="40">
        <f>IFERROR(IF(SUMPRODUCT(MAX((案件入力!$D$2:$D$52=$D53)*(案件入力!$R$2:$R$52="完了")*(案件入力!$B$2:$B$52)))=0,VLOOKUP($D53,商品マスタ範囲,6,FALSE),INDEX(案件入力!$M$2:$M$52,MATCH($D53&amp;"|"&amp;TEXT(SUMPRODUCT(MAX((案件入力!$D$2:$D$52=$D53)*(案件入力!$R$2:$R$52="完了")*(案件入力!$B$2:$B$52))),"0"),案件入力!$T$2:$T$52,0))),"")</f>
        <v/>
      </c>
      <c r="M53" s="40" t="n"/>
      <c r="N53" s="11">
        <f>IF(OR($L53="",$M53=""),"",IFERROR(($M53-$L53)/$L53,""))</f>
        <v/>
      </c>
      <c r="O53" s="8" t="n"/>
      <c r="P53" s="9" t="n"/>
      <c r="Q53" s="7" t="n"/>
      <c r="R53" s="7" t="n"/>
      <c r="S53" s="7" t="n"/>
      <c r="T53" s="7">
        <f>IF($R53="完了",$D53&amp;"|"&amp;TEXT($B53,"0"),"")</f>
        <v/>
      </c>
    </row>
    <row r="54">
      <c r="A54" s="7">
        <f>IF($B54="","",TEXT(YEAR($B54),"0000")&amp;"-"&amp;TEXT(SUMPRODUCT((YEAR($B$2:$B54)=YEAR($B54))*($B$2:$B54&lt;&gt;"")),"000"))</f>
        <v/>
      </c>
      <c r="B54" s="8" t="n"/>
      <c r="C54" s="7" t="n"/>
      <c r="D54" s="9" t="n"/>
      <c r="E54" s="7">
        <f>IFERROR(VLOOKUP($D54,商品マスタ範囲,4,FALSE),"")</f>
        <v/>
      </c>
      <c r="F54" s="7">
        <f>IFERROR(VLOOKUP($D54,商品マスタ範囲,2,FALSE),"")</f>
        <v/>
      </c>
      <c r="G54" s="7">
        <f>IFERROR(VLOOKUP($D54,商品マスタ範囲,3,FALSE),"")</f>
        <v/>
      </c>
      <c r="H54" s="40">
        <f>IFERROR(IF(SUMPRODUCT(MAX((案件入力!$D$2:$D$53=$D54)*(案件入力!$R$2:$R$53="完了")*(案件入力!$B$2:$B$53)))=0,VLOOKUP($D54,商品マスタ範囲,5,FALSE),INDEX(案件入力!$I$2:$I$53,MATCH($D54&amp;"|"&amp;TEXT(SUMPRODUCT(MAX((案件入力!$D$2:$D$53=$D54)*(案件入力!$R$2:$R$53="完了")*(案件入力!$B$2:$B$53))),"0"),案件入力!$T$2:$T$53,0))),"")</f>
        <v/>
      </c>
      <c r="I54" s="40" t="n"/>
      <c r="J54" s="11">
        <f>IF(OR($H54="",$I54=""),"",IFERROR(($I54-$H54)/$H54,""))</f>
        <v/>
      </c>
      <c r="K54" s="8" t="n"/>
      <c r="L54" s="40">
        <f>IFERROR(IF(SUMPRODUCT(MAX((案件入力!$D$2:$D$53=$D54)*(案件入力!$R$2:$R$53="完了")*(案件入力!$B$2:$B$53)))=0,VLOOKUP($D54,商品マスタ範囲,6,FALSE),INDEX(案件入力!$M$2:$M$53,MATCH($D54&amp;"|"&amp;TEXT(SUMPRODUCT(MAX((案件入力!$D$2:$D$53=$D54)*(案件入力!$R$2:$R$53="完了")*(案件入力!$B$2:$B$53))),"0"),案件入力!$T$2:$T$53,0))),"")</f>
        <v/>
      </c>
      <c r="M54" s="40" t="n"/>
      <c r="N54" s="11">
        <f>IF(OR($L54="",$M54=""),"",IFERROR(($M54-$L54)/$L54,""))</f>
        <v/>
      </c>
      <c r="O54" s="8" t="n"/>
      <c r="P54" s="9" t="n"/>
      <c r="Q54" s="7" t="n"/>
      <c r="R54" s="7" t="n"/>
      <c r="S54" s="7" t="n"/>
      <c r="T54" s="7">
        <f>IF($R54="完了",$D54&amp;"|"&amp;TEXT($B54,"0"),"")</f>
        <v/>
      </c>
    </row>
    <row r="55">
      <c r="A55" s="7">
        <f>IF($B55="","",TEXT(YEAR($B55),"0000")&amp;"-"&amp;TEXT(SUMPRODUCT((YEAR($B$2:$B55)=YEAR($B55))*($B$2:$B55&lt;&gt;"")),"000"))</f>
        <v/>
      </c>
      <c r="B55" s="8" t="n"/>
      <c r="C55" s="7" t="n"/>
      <c r="D55" s="9" t="n"/>
      <c r="E55" s="7">
        <f>IFERROR(VLOOKUP($D55,商品マスタ範囲,4,FALSE),"")</f>
        <v/>
      </c>
      <c r="F55" s="7">
        <f>IFERROR(VLOOKUP($D55,商品マスタ範囲,2,FALSE),"")</f>
        <v/>
      </c>
      <c r="G55" s="7">
        <f>IFERROR(VLOOKUP($D55,商品マスタ範囲,3,FALSE),"")</f>
        <v/>
      </c>
      <c r="H55" s="40">
        <f>IFERROR(IF(SUMPRODUCT(MAX((案件入力!$D$2:$D$54=$D55)*(案件入力!$R$2:$R$54="完了")*(案件入力!$B$2:$B$54)))=0,VLOOKUP($D55,商品マスタ範囲,5,FALSE),INDEX(案件入力!$I$2:$I$54,MATCH($D55&amp;"|"&amp;TEXT(SUMPRODUCT(MAX((案件入力!$D$2:$D$54=$D55)*(案件入力!$R$2:$R$54="完了")*(案件入力!$B$2:$B$54))),"0"),案件入力!$T$2:$T$54,0))),"")</f>
        <v/>
      </c>
      <c r="I55" s="40" t="n"/>
      <c r="J55" s="11">
        <f>IF(OR($H55="",$I55=""),"",IFERROR(($I55-$H55)/$H55,""))</f>
        <v/>
      </c>
      <c r="K55" s="8" t="n"/>
      <c r="L55" s="40">
        <f>IFERROR(IF(SUMPRODUCT(MAX((案件入力!$D$2:$D$54=$D55)*(案件入力!$R$2:$R$54="完了")*(案件入力!$B$2:$B$54)))=0,VLOOKUP($D55,商品マスタ範囲,6,FALSE),INDEX(案件入力!$M$2:$M$54,MATCH($D55&amp;"|"&amp;TEXT(SUMPRODUCT(MAX((案件入力!$D$2:$D$54=$D55)*(案件入力!$R$2:$R$54="完了")*(案件入力!$B$2:$B$54))),"0"),案件入力!$T$2:$T$54,0))),"")</f>
        <v/>
      </c>
      <c r="M55" s="40" t="n"/>
      <c r="N55" s="11">
        <f>IF(OR($L55="",$M55=""),"",IFERROR(($M55-$L55)/$L55,""))</f>
        <v/>
      </c>
      <c r="O55" s="8" t="n"/>
      <c r="P55" s="9" t="n"/>
      <c r="Q55" s="7" t="n"/>
      <c r="R55" s="7" t="n"/>
      <c r="S55" s="7" t="n"/>
      <c r="T55" s="7">
        <f>IF($R55="完了",$D55&amp;"|"&amp;TEXT($B55,"0"),"")</f>
        <v/>
      </c>
    </row>
    <row r="56">
      <c r="A56" s="7">
        <f>IF($B56="","",TEXT(YEAR($B56),"0000")&amp;"-"&amp;TEXT(SUMPRODUCT((YEAR($B$2:$B56)=YEAR($B56))*($B$2:$B56&lt;&gt;"")),"000"))</f>
        <v/>
      </c>
      <c r="B56" s="8" t="n"/>
      <c r="C56" s="7" t="n"/>
      <c r="D56" s="9" t="n"/>
      <c r="E56" s="7">
        <f>IFERROR(VLOOKUP($D56,商品マスタ範囲,4,FALSE),"")</f>
        <v/>
      </c>
      <c r="F56" s="7">
        <f>IFERROR(VLOOKUP($D56,商品マスタ範囲,2,FALSE),"")</f>
        <v/>
      </c>
      <c r="G56" s="7">
        <f>IFERROR(VLOOKUP($D56,商品マスタ範囲,3,FALSE),"")</f>
        <v/>
      </c>
      <c r="H56" s="40">
        <f>IFERROR(IF(SUMPRODUCT(MAX((案件入力!$D$2:$D$55=$D56)*(案件入力!$R$2:$R$55="完了")*(案件入力!$B$2:$B$55)))=0,VLOOKUP($D56,商品マスタ範囲,5,FALSE),INDEX(案件入力!$I$2:$I$55,MATCH($D56&amp;"|"&amp;TEXT(SUMPRODUCT(MAX((案件入力!$D$2:$D$55=$D56)*(案件入力!$R$2:$R$55="完了")*(案件入力!$B$2:$B$55))),"0"),案件入力!$T$2:$T$55,0))),"")</f>
        <v/>
      </c>
      <c r="I56" s="40" t="n"/>
      <c r="J56" s="11">
        <f>IF(OR($H56="",$I56=""),"",IFERROR(($I56-$H56)/$H56,""))</f>
        <v/>
      </c>
      <c r="K56" s="8" t="n"/>
      <c r="L56" s="40">
        <f>IFERROR(IF(SUMPRODUCT(MAX((案件入力!$D$2:$D$55=$D56)*(案件入力!$R$2:$R$55="完了")*(案件入力!$B$2:$B$55)))=0,VLOOKUP($D56,商品マスタ範囲,6,FALSE),INDEX(案件入力!$M$2:$M$55,MATCH($D56&amp;"|"&amp;TEXT(SUMPRODUCT(MAX((案件入力!$D$2:$D$55=$D56)*(案件入力!$R$2:$R$55="完了")*(案件入力!$B$2:$B$55))),"0"),案件入力!$T$2:$T$55,0))),"")</f>
        <v/>
      </c>
      <c r="M56" s="40" t="n"/>
      <c r="N56" s="11">
        <f>IF(OR($L56="",$M56=""),"",IFERROR(($M56-$L56)/$L56,""))</f>
        <v/>
      </c>
      <c r="O56" s="8" t="n"/>
      <c r="P56" s="9" t="n"/>
      <c r="Q56" s="7" t="n"/>
      <c r="R56" s="7" t="n"/>
      <c r="S56" s="7" t="n"/>
      <c r="T56" s="7">
        <f>IF($R56="完了",$D56&amp;"|"&amp;TEXT($B56,"0"),"")</f>
        <v/>
      </c>
    </row>
    <row r="57">
      <c r="A57" s="7">
        <f>IF($B57="","",TEXT(YEAR($B57),"0000")&amp;"-"&amp;TEXT(SUMPRODUCT((YEAR($B$2:$B57)=YEAR($B57))*($B$2:$B57&lt;&gt;"")),"000"))</f>
        <v/>
      </c>
      <c r="B57" s="8" t="n"/>
      <c r="C57" s="7" t="n"/>
      <c r="D57" s="9" t="n"/>
      <c r="E57" s="7">
        <f>IFERROR(VLOOKUP($D57,商品マスタ範囲,4,FALSE),"")</f>
        <v/>
      </c>
      <c r="F57" s="7">
        <f>IFERROR(VLOOKUP($D57,商品マスタ範囲,2,FALSE),"")</f>
        <v/>
      </c>
      <c r="G57" s="7">
        <f>IFERROR(VLOOKUP($D57,商品マスタ範囲,3,FALSE),"")</f>
        <v/>
      </c>
      <c r="H57" s="40">
        <f>IFERROR(IF(SUMPRODUCT(MAX((案件入力!$D$2:$D$56=$D57)*(案件入力!$R$2:$R$56="完了")*(案件入力!$B$2:$B$56)))=0,VLOOKUP($D57,商品マスタ範囲,5,FALSE),INDEX(案件入力!$I$2:$I$56,MATCH($D57&amp;"|"&amp;TEXT(SUMPRODUCT(MAX((案件入力!$D$2:$D$56=$D57)*(案件入力!$R$2:$R$56="完了")*(案件入力!$B$2:$B$56))),"0"),案件入力!$T$2:$T$56,0))),"")</f>
        <v/>
      </c>
      <c r="I57" s="40" t="n"/>
      <c r="J57" s="11">
        <f>IF(OR($H57="",$I57=""),"",IFERROR(($I57-$H57)/$H57,""))</f>
        <v/>
      </c>
      <c r="K57" s="8" t="n"/>
      <c r="L57" s="40">
        <f>IFERROR(IF(SUMPRODUCT(MAX((案件入力!$D$2:$D$56=$D57)*(案件入力!$R$2:$R$56="完了")*(案件入力!$B$2:$B$56)))=0,VLOOKUP($D57,商品マスタ範囲,6,FALSE),INDEX(案件入力!$M$2:$M$56,MATCH($D57&amp;"|"&amp;TEXT(SUMPRODUCT(MAX((案件入力!$D$2:$D$56=$D57)*(案件入力!$R$2:$R$56="完了")*(案件入力!$B$2:$B$56))),"0"),案件入力!$T$2:$T$56,0))),"")</f>
        <v/>
      </c>
      <c r="M57" s="40" t="n"/>
      <c r="N57" s="11">
        <f>IF(OR($L57="",$M57=""),"",IFERROR(($M57-$L57)/$L57,""))</f>
        <v/>
      </c>
      <c r="O57" s="8" t="n"/>
      <c r="P57" s="9" t="n"/>
      <c r="Q57" s="7" t="n"/>
      <c r="R57" s="7" t="n"/>
      <c r="S57" s="7" t="n"/>
      <c r="T57" s="7">
        <f>IF($R57="完了",$D57&amp;"|"&amp;TEXT($B57,"0"),"")</f>
        <v/>
      </c>
    </row>
    <row r="58">
      <c r="A58" s="7">
        <f>IF($B58="","",TEXT(YEAR($B58),"0000")&amp;"-"&amp;TEXT(SUMPRODUCT((YEAR($B$2:$B58)=YEAR($B58))*($B$2:$B58&lt;&gt;"")),"000"))</f>
        <v/>
      </c>
      <c r="B58" s="8" t="n"/>
      <c r="C58" s="7" t="n"/>
      <c r="D58" s="9" t="n"/>
      <c r="E58" s="7">
        <f>IFERROR(VLOOKUP($D58,商品マスタ範囲,4,FALSE),"")</f>
        <v/>
      </c>
      <c r="F58" s="7">
        <f>IFERROR(VLOOKUP($D58,商品マスタ範囲,2,FALSE),"")</f>
        <v/>
      </c>
      <c r="G58" s="7">
        <f>IFERROR(VLOOKUP($D58,商品マスタ範囲,3,FALSE),"")</f>
        <v/>
      </c>
      <c r="H58" s="40">
        <f>IFERROR(IF(SUMPRODUCT(MAX((案件入力!$D$2:$D$57=$D58)*(案件入力!$R$2:$R$57="完了")*(案件入力!$B$2:$B$57)))=0,VLOOKUP($D58,商品マスタ範囲,5,FALSE),INDEX(案件入力!$I$2:$I$57,MATCH($D58&amp;"|"&amp;TEXT(SUMPRODUCT(MAX((案件入力!$D$2:$D$57=$D58)*(案件入力!$R$2:$R$57="完了")*(案件入力!$B$2:$B$57))),"0"),案件入力!$T$2:$T$57,0))),"")</f>
        <v/>
      </c>
      <c r="I58" s="40" t="n"/>
      <c r="J58" s="11">
        <f>IF(OR($H58="",$I58=""),"",IFERROR(($I58-$H58)/$H58,""))</f>
        <v/>
      </c>
      <c r="K58" s="8" t="n"/>
      <c r="L58" s="40">
        <f>IFERROR(IF(SUMPRODUCT(MAX((案件入力!$D$2:$D$57=$D58)*(案件入力!$R$2:$R$57="完了")*(案件入力!$B$2:$B$57)))=0,VLOOKUP($D58,商品マスタ範囲,6,FALSE),INDEX(案件入力!$M$2:$M$57,MATCH($D58&amp;"|"&amp;TEXT(SUMPRODUCT(MAX((案件入力!$D$2:$D$57=$D58)*(案件入力!$R$2:$R$57="完了")*(案件入力!$B$2:$B$57))),"0"),案件入力!$T$2:$T$57,0))),"")</f>
        <v/>
      </c>
      <c r="M58" s="40" t="n"/>
      <c r="N58" s="11">
        <f>IF(OR($L58="",$M58=""),"",IFERROR(($M58-$L58)/$L58,""))</f>
        <v/>
      </c>
      <c r="O58" s="8" t="n"/>
      <c r="P58" s="9" t="n"/>
      <c r="Q58" s="7" t="n"/>
      <c r="R58" s="7" t="n"/>
      <c r="S58" s="7" t="n"/>
      <c r="T58" s="7">
        <f>IF($R58="完了",$D58&amp;"|"&amp;TEXT($B58,"0"),"")</f>
        <v/>
      </c>
    </row>
    <row r="59">
      <c r="A59" s="7">
        <f>IF($B59="","",TEXT(YEAR($B59),"0000")&amp;"-"&amp;TEXT(SUMPRODUCT((YEAR($B$2:$B59)=YEAR($B59))*($B$2:$B59&lt;&gt;"")),"000"))</f>
        <v/>
      </c>
      <c r="B59" s="8" t="n"/>
      <c r="C59" s="7" t="n"/>
      <c r="D59" s="9" t="n"/>
      <c r="E59" s="7">
        <f>IFERROR(VLOOKUP($D59,商品マスタ範囲,4,FALSE),"")</f>
        <v/>
      </c>
      <c r="F59" s="7">
        <f>IFERROR(VLOOKUP($D59,商品マスタ範囲,2,FALSE),"")</f>
        <v/>
      </c>
      <c r="G59" s="7">
        <f>IFERROR(VLOOKUP($D59,商品マスタ範囲,3,FALSE),"")</f>
        <v/>
      </c>
      <c r="H59" s="40">
        <f>IFERROR(IF(SUMPRODUCT(MAX((案件入力!$D$2:$D$58=$D59)*(案件入力!$R$2:$R$58="完了")*(案件入力!$B$2:$B$58)))=0,VLOOKUP($D59,商品マスタ範囲,5,FALSE),INDEX(案件入力!$I$2:$I$58,MATCH($D59&amp;"|"&amp;TEXT(SUMPRODUCT(MAX((案件入力!$D$2:$D$58=$D59)*(案件入力!$R$2:$R$58="完了")*(案件入力!$B$2:$B$58))),"0"),案件入力!$T$2:$T$58,0))),"")</f>
        <v/>
      </c>
      <c r="I59" s="40" t="n"/>
      <c r="J59" s="11">
        <f>IF(OR($H59="",$I59=""),"",IFERROR(($I59-$H59)/$H59,""))</f>
        <v/>
      </c>
      <c r="K59" s="8" t="n"/>
      <c r="L59" s="40">
        <f>IFERROR(IF(SUMPRODUCT(MAX((案件入力!$D$2:$D$58=$D59)*(案件入力!$R$2:$R$58="完了")*(案件入力!$B$2:$B$58)))=0,VLOOKUP($D59,商品マスタ範囲,6,FALSE),INDEX(案件入力!$M$2:$M$58,MATCH($D59&amp;"|"&amp;TEXT(SUMPRODUCT(MAX((案件入力!$D$2:$D$58=$D59)*(案件入力!$R$2:$R$58="完了")*(案件入力!$B$2:$B$58))),"0"),案件入力!$T$2:$T$58,0))),"")</f>
        <v/>
      </c>
      <c r="M59" s="40" t="n"/>
      <c r="N59" s="11">
        <f>IF(OR($L59="",$M59=""),"",IFERROR(($M59-$L59)/$L59,""))</f>
        <v/>
      </c>
      <c r="O59" s="8" t="n"/>
      <c r="P59" s="9" t="n"/>
      <c r="Q59" s="7" t="n"/>
      <c r="R59" s="7" t="n"/>
      <c r="S59" s="7" t="n"/>
      <c r="T59" s="7">
        <f>IF($R59="完了",$D59&amp;"|"&amp;TEXT($B59,"0"),"")</f>
        <v/>
      </c>
    </row>
    <row r="60">
      <c r="A60" s="7">
        <f>IF($B60="","",TEXT(YEAR($B60),"0000")&amp;"-"&amp;TEXT(SUMPRODUCT((YEAR($B$2:$B60)=YEAR($B60))*($B$2:$B60&lt;&gt;"")),"000"))</f>
        <v/>
      </c>
      <c r="B60" s="8" t="n"/>
      <c r="C60" s="7" t="n"/>
      <c r="D60" s="9" t="n"/>
      <c r="E60" s="7">
        <f>IFERROR(VLOOKUP($D60,商品マスタ範囲,4,FALSE),"")</f>
        <v/>
      </c>
      <c r="F60" s="7">
        <f>IFERROR(VLOOKUP($D60,商品マスタ範囲,2,FALSE),"")</f>
        <v/>
      </c>
      <c r="G60" s="7">
        <f>IFERROR(VLOOKUP($D60,商品マスタ範囲,3,FALSE),"")</f>
        <v/>
      </c>
      <c r="H60" s="40">
        <f>IFERROR(IF(SUMPRODUCT(MAX((案件入力!$D$2:$D$59=$D60)*(案件入力!$R$2:$R$59="完了")*(案件入力!$B$2:$B$59)))=0,VLOOKUP($D60,商品マスタ範囲,5,FALSE),INDEX(案件入力!$I$2:$I$59,MATCH($D60&amp;"|"&amp;TEXT(SUMPRODUCT(MAX((案件入力!$D$2:$D$59=$D60)*(案件入力!$R$2:$R$59="完了")*(案件入力!$B$2:$B$59))),"0"),案件入力!$T$2:$T$59,0))),"")</f>
        <v/>
      </c>
      <c r="I60" s="40" t="n"/>
      <c r="J60" s="11">
        <f>IF(OR($H60="",$I60=""),"",IFERROR(($I60-$H60)/$H60,""))</f>
        <v/>
      </c>
      <c r="K60" s="8" t="n"/>
      <c r="L60" s="40">
        <f>IFERROR(IF(SUMPRODUCT(MAX((案件入力!$D$2:$D$59=$D60)*(案件入力!$R$2:$R$59="完了")*(案件入力!$B$2:$B$59)))=0,VLOOKUP($D60,商品マスタ範囲,6,FALSE),INDEX(案件入力!$M$2:$M$59,MATCH($D60&amp;"|"&amp;TEXT(SUMPRODUCT(MAX((案件入力!$D$2:$D$59=$D60)*(案件入力!$R$2:$R$59="完了")*(案件入力!$B$2:$B$59))),"0"),案件入力!$T$2:$T$59,0))),"")</f>
        <v/>
      </c>
      <c r="M60" s="40" t="n"/>
      <c r="N60" s="11">
        <f>IF(OR($L60="",$M60=""),"",IFERROR(($M60-$L60)/$L60,""))</f>
        <v/>
      </c>
      <c r="O60" s="8" t="n"/>
      <c r="P60" s="9" t="n"/>
      <c r="Q60" s="7" t="n"/>
      <c r="R60" s="7" t="n"/>
      <c r="S60" s="7" t="n"/>
      <c r="T60" s="7">
        <f>IF($R60="完了",$D60&amp;"|"&amp;TEXT($B60,"0"),"")</f>
        <v/>
      </c>
    </row>
    <row r="61">
      <c r="A61" s="7">
        <f>IF($B61="","",TEXT(YEAR($B61),"0000")&amp;"-"&amp;TEXT(SUMPRODUCT((YEAR($B$2:$B61)=YEAR($B61))*($B$2:$B61&lt;&gt;"")),"000"))</f>
        <v/>
      </c>
      <c r="B61" s="8" t="n"/>
      <c r="C61" s="7" t="n"/>
      <c r="D61" s="9" t="n"/>
      <c r="E61" s="7">
        <f>IFERROR(VLOOKUP($D61,商品マスタ範囲,4,FALSE),"")</f>
        <v/>
      </c>
      <c r="F61" s="7">
        <f>IFERROR(VLOOKUP($D61,商品マスタ範囲,2,FALSE),"")</f>
        <v/>
      </c>
      <c r="G61" s="7">
        <f>IFERROR(VLOOKUP($D61,商品マスタ範囲,3,FALSE),"")</f>
        <v/>
      </c>
      <c r="H61" s="40">
        <f>IFERROR(IF(SUMPRODUCT(MAX((案件入力!$D$2:$D$60=$D61)*(案件入力!$R$2:$R$60="完了")*(案件入力!$B$2:$B$60)))=0,VLOOKUP($D61,商品マスタ範囲,5,FALSE),INDEX(案件入力!$I$2:$I$60,MATCH($D61&amp;"|"&amp;TEXT(SUMPRODUCT(MAX((案件入力!$D$2:$D$60=$D61)*(案件入力!$R$2:$R$60="完了")*(案件入力!$B$2:$B$60))),"0"),案件入力!$T$2:$T$60,0))),"")</f>
        <v/>
      </c>
      <c r="I61" s="40" t="n"/>
      <c r="J61" s="11">
        <f>IF(OR($H61="",$I61=""),"",IFERROR(($I61-$H61)/$H61,""))</f>
        <v/>
      </c>
      <c r="K61" s="8" t="n"/>
      <c r="L61" s="40">
        <f>IFERROR(IF(SUMPRODUCT(MAX((案件入力!$D$2:$D$60=$D61)*(案件入力!$R$2:$R$60="完了")*(案件入力!$B$2:$B$60)))=0,VLOOKUP($D61,商品マスタ範囲,6,FALSE),INDEX(案件入力!$M$2:$M$60,MATCH($D61&amp;"|"&amp;TEXT(SUMPRODUCT(MAX((案件入力!$D$2:$D$60=$D61)*(案件入力!$R$2:$R$60="完了")*(案件入力!$B$2:$B$60))),"0"),案件入力!$T$2:$T$60,0))),"")</f>
        <v/>
      </c>
      <c r="M61" s="40" t="n"/>
      <c r="N61" s="11">
        <f>IF(OR($L61="",$M61=""),"",IFERROR(($M61-$L61)/$L61,""))</f>
        <v/>
      </c>
      <c r="O61" s="8" t="n"/>
      <c r="P61" s="9" t="n"/>
      <c r="Q61" s="7" t="n"/>
      <c r="R61" s="7" t="n"/>
      <c r="S61" s="7" t="n"/>
      <c r="T61" s="7">
        <f>IF($R61="完了",$D61&amp;"|"&amp;TEXT($B61,"0"),"")</f>
        <v/>
      </c>
    </row>
    <row r="62">
      <c r="A62" s="7">
        <f>IF($B62="","",TEXT(YEAR($B62),"0000")&amp;"-"&amp;TEXT(SUMPRODUCT((YEAR($B$2:$B62)=YEAR($B62))*($B$2:$B62&lt;&gt;"")),"000"))</f>
        <v/>
      </c>
      <c r="B62" s="8" t="n"/>
      <c r="C62" s="7" t="n"/>
      <c r="D62" s="9" t="n"/>
      <c r="E62" s="7">
        <f>IFERROR(VLOOKUP($D62,商品マスタ範囲,4,FALSE),"")</f>
        <v/>
      </c>
      <c r="F62" s="7">
        <f>IFERROR(VLOOKUP($D62,商品マスタ範囲,2,FALSE),"")</f>
        <v/>
      </c>
      <c r="G62" s="7">
        <f>IFERROR(VLOOKUP($D62,商品マスタ範囲,3,FALSE),"")</f>
        <v/>
      </c>
      <c r="H62" s="40">
        <f>IFERROR(IF(SUMPRODUCT(MAX((案件入力!$D$2:$D$61=$D62)*(案件入力!$R$2:$R$61="完了")*(案件入力!$B$2:$B$61)))=0,VLOOKUP($D62,商品マスタ範囲,5,FALSE),INDEX(案件入力!$I$2:$I$61,MATCH($D62&amp;"|"&amp;TEXT(SUMPRODUCT(MAX((案件入力!$D$2:$D$61=$D62)*(案件入力!$R$2:$R$61="完了")*(案件入力!$B$2:$B$61))),"0"),案件入力!$T$2:$T$61,0))),"")</f>
        <v/>
      </c>
      <c r="I62" s="40" t="n"/>
      <c r="J62" s="11">
        <f>IF(OR($H62="",$I62=""),"",IFERROR(($I62-$H62)/$H62,""))</f>
        <v/>
      </c>
      <c r="K62" s="8" t="n"/>
      <c r="L62" s="40">
        <f>IFERROR(IF(SUMPRODUCT(MAX((案件入力!$D$2:$D$61=$D62)*(案件入力!$R$2:$R$61="完了")*(案件入力!$B$2:$B$61)))=0,VLOOKUP($D62,商品マスタ範囲,6,FALSE),INDEX(案件入力!$M$2:$M$61,MATCH($D62&amp;"|"&amp;TEXT(SUMPRODUCT(MAX((案件入力!$D$2:$D$61=$D62)*(案件入力!$R$2:$R$61="完了")*(案件入力!$B$2:$B$61))),"0"),案件入力!$T$2:$T$61,0))),"")</f>
        <v/>
      </c>
      <c r="M62" s="40" t="n"/>
      <c r="N62" s="11">
        <f>IF(OR($L62="",$M62=""),"",IFERROR(($M62-$L62)/$L62,""))</f>
        <v/>
      </c>
      <c r="O62" s="8" t="n"/>
      <c r="P62" s="9" t="n"/>
      <c r="Q62" s="7" t="n"/>
      <c r="R62" s="7" t="n"/>
      <c r="S62" s="7" t="n"/>
      <c r="T62" s="7">
        <f>IF($R62="完了",$D62&amp;"|"&amp;TEXT($B62,"0"),"")</f>
        <v/>
      </c>
    </row>
    <row r="63">
      <c r="A63" s="7">
        <f>IF($B63="","",TEXT(YEAR($B63),"0000")&amp;"-"&amp;TEXT(SUMPRODUCT((YEAR($B$2:$B63)=YEAR($B63))*($B$2:$B63&lt;&gt;"")),"000"))</f>
        <v/>
      </c>
      <c r="B63" s="8" t="n"/>
      <c r="C63" s="7" t="n"/>
      <c r="D63" s="9" t="n"/>
      <c r="E63" s="7">
        <f>IFERROR(VLOOKUP($D63,商品マスタ範囲,4,FALSE),"")</f>
        <v/>
      </c>
      <c r="F63" s="7">
        <f>IFERROR(VLOOKUP($D63,商品マスタ範囲,2,FALSE),"")</f>
        <v/>
      </c>
      <c r="G63" s="7">
        <f>IFERROR(VLOOKUP($D63,商品マスタ範囲,3,FALSE),"")</f>
        <v/>
      </c>
      <c r="H63" s="40">
        <f>IFERROR(IF(SUMPRODUCT(MAX((案件入力!$D$2:$D$62=$D63)*(案件入力!$R$2:$R$62="完了")*(案件入力!$B$2:$B$62)))=0,VLOOKUP($D63,商品マスタ範囲,5,FALSE),INDEX(案件入力!$I$2:$I$62,MATCH($D63&amp;"|"&amp;TEXT(SUMPRODUCT(MAX((案件入力!$D$2:$D$62=$D63)*(案件入力!$R$2:$R$62="完了")*(案件入力!$B$2:$B$62))),"0"),案件入力!$T$2:$T$62,0))),"")</f>
        <v/>
      </c>
      <c r="I63" s="40" t="n"/>
      <c r="J63" s="11">
        <f>IF(OR($H63="",$I63=""),"",IFERROR(($I63-$H63)/$H63,""))</f>
        <v/>
      </c>
      <c r="K63" s="8" t="n"/>
      <c r="L63" s="40">
        <f>IFERROR(IF(SUMPRODUCT(MAX((案件入力!$D$2:$D$62=$D63)*(案件入力!$R$2:$R$62="完了")*(案件入力!$B$2:$B$62)))=0,VLOOKUP($D63,商品マスタ範囲,6,FALSE),INDEX(案件入力!$M$2:$M$62,MATCH($D63&amp;"|"&amp;TEXT(SUMPRODUCT(MAX((案件入力!$D$2:$D$62=$D63)*(案件入力!$R$2:$R$62="完了")*(案件入力!$B$2:$B$62))),"0"),案件入力!$T$2:$T$62,0))),"")</f>
        <v/>
      </c>
      <c r="M63" s="40" t="n"/>
      <c r="N63" s="11">
        <f>IF(OR($L63="",$M63=""),"",IFERROR(($M63-$L63)/$L63,""))</f>
        <v/>
      </c>
      <c r="O63" s="8" t="n"/>
      <c r="P63" s="9" t="n"/>
      <c r="Q63" s="7" t="n"/>
      <c r="R63" s="7" t="n"/>
      <c r="S63" s="7" t="n"/>
      <c r="T63" s="7">
        <f>IF($R63="完了",$D63&amp;"|"&amp;TEXT($B63,"0"),"")</f>
        <v/>
      </c>
    </row>
    <row r="64">
      <c r="A64" s="7">
        <f>IF($B64="","",TEXT(YEAR($B64),"0000")&amp;"-"&amp;TEXT(SUMPRODUCT((YEAR($B$2:$B64)=YEAR($B64))*($B$2:$B64&lt;&gt;"")),"000"))</f>
        <v/>
      </c>
      <c r="B64" s="8" t="n"/>
      <c r="C64" s="7" t="n"/>
      <c r="D64" s="9" t="n"/>
      <c r="E64" s="7">
        <f>IFERROR(VLOOKUP($D64,商品マスタ範囲,4,FALSE),"")</f>
        <v/>
      </c>
      <c r="F64" s="7">
        <f>IFERROR(VLOOKUP($D64,商品マスタ範囲,2,FALSE),"")</f>
        <v/>
      </c>
      <c r="G64" s="7">
        <f>IFERROR(VLOOKUP($D64,商品マスタ範囲,3,FALSE),"")</f>
        <v/>
      </c>
      <c r="H64" s="40">
        <f>IFERROR(IF(SUMPRODUCT(MAX((案件入力!$D$2:$D$63=$D64)*(案件入力!$R$2:$R$63="完了")*(案件入力!$B$2:$B$63)))=0,VLOOKUP($D64,商品マスタ範囲,5,FALSE),INDEX(案件入力!$I$2:$I$63,MATCH($D64&amp;"|"&amp;TEXT(SUMPRODUCT(MAX((案件入力!$D$2:$D$63=$D64)*(案件入力!$R$2:$R$63="完了")*(案件入力!$B$2:$B$63))),"0"),案件入力!$T$2:$T$63,0))),"")</f>
        <v/>
      </c>
      <c r="I64" s="40" t="n"/>
      <c r="J64" s="11">
        <f>IF(OR($H64="",$I64=""),"",IFERROR(($I64-$H64)/$H64,""))</f>
        <v/>
      </c>
      <c r="K64" s="8" t="n"/>
      <c r="L64" s="40">
        <f>IFERROR(IF(SUMPRODUCT(MAX((案件入力!$D$2:$D$63=$D64)*(案件入力!$R$2:$R$63="完了")*(案件入力!$B$2:$B$63)))=0,VLOOKUP($D64,商品マスタ範囲,6,FALSE),INDEX(案件入力!$M$2:$M$63,MATCH($D64&amp;"|"&amp;TEXT(SUMPRODUCT(MAX((案件入力!$D$2:$D$63=$D64)*(案件入力!$R$2:$R$63="完了")*(案件入力!$B$2:$B$63))),"0"),案件入力!$T$2:$T$63,0))),"")</f>
        <v/>
      </c>
      <c r="M64" s="40" t="n"/>
      <c r="N64" s="11">
        <f>IF(OR($L64="",$M64=""),"",IFERROR(($M64-$L64)/$L64,""))</f>
        <v/>
      </c>
      <c r="O64" s="8" t="n"/>
      <c r="P64" s="9" t="n"/>
      <c r="Q64" s="7" t="n"/>
      <c r="R64" s="7" t="n"/>
      <c r="S64" s="7" t="n"/>
      <c r="T64" s="7">
        <f>IF($R64="完了",$D64&amp;"|"&amp;TEXT($B64,"0"),"")</f>
        <v/>
      </c>
    </row>
    <row r="65">
      <c r="A65" s="7">
        <f>IF($B65="","",TEXT(YEAR($B65),"0000")&amp;"-"&amp;TEXT(SUMPRODUCT((YEAR($B$2:$B65)=YEAR($B65))*($B$2:$B65&lt;&gt;"")),"000"))</f>
        <v/>
      </c>
      <c r="B65" s="8" t="n"/>
      <c r="C65" s="7" t="n"/>
      <c r="D65" s="9" t="n"/>
      <c r="E65" s="7">
        <f>IFERROR(VLOOKUP($D65,商品マスタ範囲,4,FALSE),"")</f>
        <v/>
      </c>
      <c r="F65" s="7">
        <f>IFERROR(VLOOKUP($D65,商品マスタ範囲,2,FALSE),"")</f>
        <v/>
      </c>
      <c r="G65" s="7">
        <f>IFERROR(VLOOKUP($D65,商品マスタ範囲,3,FALSE),"")</f>
        <v/>
      </c>
      <c r="H65" s="40">
        <f>IFERROR(IF(SUMPRODUCT(MAX((案件入力!$D$2:$D$64=$D65)*(案件入力!$R$2:$R$64="完了")*(案件入力!$B$2:$B$64)))=0,VLOOKUP($D65,商品マスタ範囲,5,FALSE),INDEX(案件入力!$I$2:$I$64,MATCH($D65&amp;"|"&amp;TEXT(SUMPRODUCT(MAX((案件入力!$D$2:$D$64=$D65)*(案件入力!$R$2:$R$64="完了")*(案件入力!$B$2:$B$64))),"0"),案件入力!$T$2:$T$64,0))),"")</f>
        <v/>
      </c>
      <c r="I65" s="40" t="n"/>
      <c r="J65" s="11">
        <f>IF(OR($H65="",$I65=""),"",IFERROR(($I65-$H65)/$H65,""))</f>
        <v/>
      </c>
      <c r="K65" s="8" t="n"/>
      <c r="L65" s="40">
        <f>IFERROR(IF(SUMPRODUCT(MAX((案件入力!$D$2:$D$64=$D65)*(案件入力!$R$2:$R$64="完了")*(案件入力!$B$2:$B$64)))=0,VLOOKUP($D65,商品マスタ範囲,6,FALSE),INDEX(案件入力!$M$2:$M$64,MATCH($D65&amp;"|"&amp;TEXT(SUMPRODUCT(MAX((案件入力!$D$2:$D$64=$D65)*(案件入力!$R$2:$R$64="完了")*(案件入力!$B$2:$B$64))),"0"),案件入力!$T$2:$T$64,0))),"")</f>
        <v/>
      </c>
      <c r="M65" s="40" t="n"/>
      <c r="N65" s="11">
        <f>IF(OR($L65="",$M65=""),"",IFERROR(($M65-$L65)/$L65,""))</f>
        <v/>
      </c>
      <c r="O65" s="8" t="n"/>
      <c r="P65" s="9" t="n"/>
      <c r="Q65" s="7" t="n"/>
      <c r="R65" s="7" t="n"/>
      <c r="S65" s="7" t="n"/>
      <c r="T65" s="7">
        <f>IF($R65="完了",$D65&amp;"|"&amp;TEXT($B65,"0"),"")</f>
        <v/>
      </c>
    </row>
    <row r="66">
      <c r="A66" s="7">
        <f>IF($B66="","",TEXT(YEAR($B66),"0000")&amp;"-"&amp;TEXT(SUMPRODUCT((YEAR($B$2:$B66)=YEAR($B66))*($B$2:$B66&lt;&gt;"")),"000"))</f>
        <v/>
      </c>
      <c r="B66" s="8" t="n"/>
      <c r="C66" s="7" t="n"/>
      <c r="D66" s="9" t="n"/>
      <c r="E66" s="7">
        <f>IFERROR(VLOOKUP($D66,商品マスタ範囲,4,FALSE),"")</f>
        <v/>
      </c>
      <c r="F66" s="7">
        <f>IFERROR(VLOOKUP($D66,商品マスタ範囲,2,FALSE),"")</f>
        <v/>
      </c>
      <c r="G66" s="7">
        <f>IFERROR(VLOOKUP($D66,商品マスタ範囲,3,FALSE),"")</f>
        <v/>
      </c>
      <c r="H66" s="40">
        <f>IFERROR(IF(SUMPRODUCT(MAX((案件入力!$D$2:$D$65=$D66)*(案件入力!$R$2:$R$65="完了")*(案件入力!$B$2:$B$65)))=0,VLOOKUP($D66,商品マスタ範囲,5,FALSE),INDEX(案件入力!$I$2:$I$65,MATCH($D66&amp;"|"&amp;TEXT(SUMPRODUCT(MAX((案件入力!$D$2:$D$65=$D66)*(案件入力!$R$2:$R$65="完了")*(案件入力!$B$2:$B$65))),"0"),案件入力!$T$2:$T$65,0))),"")</f>
        <v/>
      </c>
      <c r="I66" s="40" t="n"/>
      <c r="J66" s="11">
        <f>IF(OR($H66="",$I66=""),"",IFERROR(($I66-$H66)/$H66,""))</f>
        <v/>
      </c>
      <c r="K66" s="8" t="n"/>
      <c r="L66" s="40">
        <f>IFERROR(IF(SUMPRODUCT(MAX((案件入力!$D$2:$D$65=$D66)*(案件入力!$R$2:$R$65="完了")*(案件入力!$B$2:$B$65)))=0,VLOOKUP($D66,商品マスタ範囲,6,FALSE),INDEX(案件入力!$M$2:$M$65,MATCH($D66&amp;"|"&amp;TEXT(SUMPRODUCT(MAX((案件入力!$D$2:$D$65=$D66)*(案件入力!$R$2:$R$65="完了")*(案件入力!$B$2:$B$65))),"0"),案件入力!$T$2:$T$65,0))),"")</f>
        <v/>
      </c>
      <c r="M66" s="40" t="n"/>
      <c r="N66" s="11">
        <f>IF(OR($L66="",$M66=""),"",IFERROR(($M66-$L66)/$L66,""))</f>
        <v/>
      </c>
      <c r="O66" s="8" t="n"/>
      <c r="P66" s="9" t="n"/>
      <c r="Q66" s="7" t="n"/>
      <c r="R66" s="7" t="n"/>
      <c r="S66" s="7" t="n"/>
      <c r="T66" s="7">
        <f>IF($R66="完了",$D66&amp;"|"&amp;TEXT($B66,"0"),"")</f>
        <v/>
      </c>
    </row>
    <row r="67">
      <c r="A67" s="7">
        <f>IF($B67="","",TEXT(YEAR($B67),"0000")&amp;"-"&amp;TEXT(SUMPRODUCT((YEAR($B$2:$B67)=YEAR($B67))*($B$2:$B67&lt;&gt;"")),"000"))</f>
        <v/>
      </c>
      <c r="B67" s="8" t="n"/>
      <c r="C67" s="7" t="n"/>
      <c r="D67" s="9" t="n"/>
      <c r="E67" s="7">
        <f>IFERROR(VLOOKUP($D67,商品マスタ範囲,4,FALSE),"")</f>
        <v/>
      </c>
      <c r="F67" s="7">
        <f>IFERROR(VLOOKUP($D67,商品マスタ範囲,2,FALSE),"")</f>
        <v/>
      </c>
      <c r="G67" s="7">
        <f>IFERROR(VLOOKUP($D67,商品マスタ範囲,3,FALSE),"")</f>
        <v/>
      </c>
      <c r="H67" s="40">
        <f>IFERROR(IF(SUMPRODUCT(MAX((案件入力!$D$2:$D$66=$D67)*(案件入力!$R$2:$R$66="完了")*(案件入力!$B$2:$B$66)))=0,VLOOKUP($D67,商品マスタ範囲,5,FALSE),INDEX(案件入力!$I$2:$I$66,MATCH($D67&amp;"|"&amp;TEXT(SUMPRODUCT(MAX((案件入力!$D$2:$D$66=$D67)*(案件入力!$R$2:$R$66="完了")*(案件入力!$B$2:$B$66))),"0"),案件入力!$T$2:$T$66,0))),"")</f>
        <v/>
      </c>
      <c r="I67" s="40" t="n"/>
      <c r="J67" s="11">
        <f>IF(OR($H67="",$I67=""),"",IFERROR(($I67-$H67)/$H67,""))</f>
        <v/>
      </c>
      <c r="K67" s="8" t="n"/>
      <c r="L67" s="40">
        <f>IFERROR(IF(SUMPRODUCT(MAX((案件入力!$D$2:$D$66=$D67)*(案件入力!$R$2:$R$66="完了")*(案件入力!$B$2:$B$66)))=0,VLOOKUP($D67,商品マスタ範囲,6,FALSE),INDEX(案件入力!$M$2:$M$66,MATCH($D67&amp;"|"&amp;TEXT(SUMPRODUCT(MAX((案件入力!$D$2:$D$66=$D67)*(案件入力!$R$2:$R$66="完了")*(案件入力!$B$2:$B$66))),"0"),案件入力!$T$2:$T$66,0))),"")</f>
        <v/>
      </c>
      <c r="M67" s="40" t="n"/>
      <c r="N67" s="11">
        <f>IF(OR($L67="",$M67=""),"",IFERROR(($M67-$L67)/$L67,""))</f>
        <v/>
      </c>
      <c r="O67" s="8" t="n"/>
      <c r="P67" s="9" t="n"/>
      <c r="Q67" s="7" t="n"/>
      <c r="R67" s="7" t="n"/>
      <c r="S67" s="7" t="n"/>
      <c r="T67" s="7">
        <f>IF($R67="完了",$D67&amp;"|"&amp;TEXT($B67,"0"),"")</f>
        <v/>
      </c>
    </row>
    <row r="68">
      <c r="A68" s="7">
        <f>IF($B68="","",TEXT(YEAR($B68),"0000")&amp;"-"&amp;TEXT(SUMPRODUCT((YEAR($B$2:$B68)=YEAR($B68))*($B$2:$B68&lt;&gt;"")),"000"))</f>
        <v/>
      </c>
      <c r="B68" s="8" t="n"/>
      <c r="C68" s="7" t="n"/>
      <c r="D68" s="9" t="n"/>
      <c r="E68" s="7">
        <f>IFERROR(VLOOKUP($D68,商品マスタ範囲,4,FALSE),"")</f>
        <v/>
      </c>
      <c r="F68" s="7">
        <f>IFERROR(VLOOKUP($D68,商品マスタ範囲,2,FALSE),"")</f>
        <v/>
      </c>
      <c r="G68" s="7">
        <f>IFERROR(VLOOKUP($D68,商品マスタ範囲,3,FALSE),"")</f>
        <v/>
      </c>
      <c r="H68" s="40">
        <f>IFERROR(IF(SUMPRODUCT(MAX((案件入力!$D$2:$D$67=$D68)*(案件入力!$R$2:$R$67="完了")*(案件入力!$B$2:$B$67)))=0,VLOOKUP($D68,商品マスタ範囲,5,FALSE),INDEX(案件入力!$I$2:$I$67,MATCH($D68&amp;"|"&amp;TEXT(SUMPRODUCT(MAX((案件入力!$D$2:$D$67=$D68)*(案件入力!$R$2:$R$67="完了")*(案件入力!$B$2:$B$67))),"0"),案件入力!$T$2:$T$67,0))),"")</f>
        <v/>
      </c>
      <c r="I68" s="40" t="n"/>
      <c r="J68" s="11">
        <f>IF(OR($H68="",$I68=""),"",IFERROR(($I68-$H68)/$H68,""))</f>
        <v/>
      </c>
      <c r="K68" s="8" t="n"/>
      <c r="L68" s="40">
        <f>IFERROR(IF(SUMPRODUCT(MAX((案件入力!$D$2:$D$67=$D68)*(案件入力!$R$2:$R$67="完了")*(案件入力!$B$2:$B$67)))=0,VLOOKUP($D68,商品マスタ範囲,6,FALSE),INDEX(案件入力!$M$2:$M$67,MATCH($D68&amp;"|"&amp;TEXT(SUMPRODUCT(MAX((案件入力!$D$2:$D$67=$D68)*(案件入力!$R$2:$R$67="完了")*(案件入力!$B$2:$B$67))),"0"),案件入力!$T$2:$T$67,0))),"")</f>
        <v/>
      </c>
      <c r="M68" s="40" t="n"/>
      <c r="N68" s="11">
        <f>IF(OR($L68="",$M68=""),"",IFERROR(($M68-$L68)/$L68,""))</f>
        <v/>
      </c>
      <c r="O68" s="8" t="n"/>
      <c r="P68" s="9" t="n"/>
      <c r="Q68" s="7" t="n"/>
      <c r="R68" s="7" t="n"/>
      <c r="S68" s="7" t="n"/>
      <c r="T68" s="7">
        <f>IF($R68="完了",$D68&amp;"|"&amp;TEXT($B68,"0"),"")</f>
        <v/>
      </c>
    </row>
    <row r="69">
      <c r="A69" s="7">
        <f>IF($B69="","",TEXT(YEAR($B69),"0000")&amp;"-"&amp;TEXT(SUMPRODUCT((YEAR($B$2:$B69)=YEAR($B69))*($B$2:$B69&lt;&gt;"")),"000"))</f>
        <v/>
      </c>
      <c r="B69" s="8" t="n"/>
      <c r="C69" s="7" t="n"/>
      <c r="D69" s="9" t="n"/>
      <c r="E69" s="7">
        <f>IFERROR(VLOOKUP($D69,商品マスタ範囲,4,FALSE),"")</f>
        <v/>
      </c>
      <c r="F69" s="7">
        <f>IFERROR(VLOOKUP($D69,商品マスタ範囲,2,FALSE),"")</f>
        <v/>
      </c>
      <c r="G69" s="7">
        <f>IFERROR(VLOOKUP($D69,商品マスタ範囲,3,FALSE),"")</f>
        <v/>
      </c>
      <c r="H69" s="40">
        <f>IFERROR(IF(SUMPRODUCT(MAX((案件入力!$D$2:$D$68=$D69)*(案件入力!$R$2:$R$68="完了")*(案件入力!$B$2:$B$68)))=0,VLOOKUP($D69,商品マスタ範囲,5,FALSE),INDEX(案件入力!$I$2:$I$68,MATCH($D69&amp;"|"&amp;TEXT(SUMPRODUCT(MAX((案件入力!$D$2:$D$68=$D69)*(案件入力!$R$2:$R$68="完了")*(案件入力!$B$2:$B$68))),"0"),案件入力!$T$2:$T$68,0))),"")</f>
        <v/>
      </c>
      <c r="I69" s="40" t="n"/>
      <c r="J69" s="11">
        <f>IF(OR($H69="",$I69=""),"",IFERROR(($I69-$H69)/$H69,""))</f>
        <v/>
      </c>
      <c r="K69" s="8" t="n"/>
      <c r="L69" s="40">
        <f>IFERROR(IF(SUMPRODUCT(MAX((案件入力!$D$2:$D$68=$D69)*(案件入力!$R$2:$R$68="完了")*(案件入力!$B$2:$B$68)))=0,VLOOKUP($D69,商品マスタ範囲,6,FALSE),INDEX(案件入力!$M$2:$M$68,MATCH($D69&amp;"|"&amp;TEXT(SUMPRODUCT(MAX((案件入力!$D$2:$D$68=$D69)*(案件入力!$R$2:$R$68="完了")*(案件入力!$B$2:$B$68))),"0"),案件入力!$T$2:$T$68,0))),"")</f>
        <v/>
      </c>
      <c r="M69" s="40" t="n"/>
      <c r="N69" s="11">
        <f>IF(OR($L69="",$M69=""),"",IFERROR(($M69-$L69)/$L69,""))</f>
        <v/>
      </c>
      <c r="O69" s="8" t="n"/>
      <c r="P69" s="9" t="n"/>
      <c r="Q69" s="7" t="n"/>
      <c r="R69" s="7" t="n"/>
      <c r="S69" s="7" t="n"/>
      <c r="T69" s="7">
        <f>IF($R69="完了",$D69&amp;"|"&amp;TEXT($B69,"0"),"")</f>
        <v/>
      </c>
    </row>
    <row r="70">
      <c r="A70" s="7">
        <f>IF($B70="","",TEXT(YEAR($B70),"0000")&amp;"-"&amp;TEXT(SUMPRODUCT((YEAR($B$2:$B70)=YEAR($B70))*($B$2:$B70&lt;&gt;"")),"000"))</f>
        <v/>
      </c>
      <c r="B70" s="8" t="n"/>
      <c r="C70" s="7" t="n"/>
      <c r="D70" s="9" t="n"/>
      <c r="E70" s="7">
        <f>IFERROR(VLOOKUP($D70,商品マスタ範囲,4,FALSE),"")</f>
        <v/>
      </c>
      <c r="F70" s="7">
        <f>IFERROR(VLOOKUP($D70,商品マスタ範囲,2,FALSE),"")</f>
        <v/>
      </c>
      <c r="G70" s="7">
        <f>IFERROR(VLOOKUP($D70,商品マスタ範囲,3,FALSE),"")</f>
        <v/>
      </c>
      <c r="H70" s="40">
        <f>IFERROR(IF(SUMPRODUCT(MAX((案件入力!$D$2:$D$69=$D70)*(案件入力!$R$2:$R$69="完了")*(案件入力!$B$2:$B$69)))=0,VLOOKUP($D70,商品マスタ範囲,5,FALSE),INDEX(案件入力!$I$2:$I$69,MATCH($D70&amp;"|"&amp;TEXT(SUMPRODUCT(MAX((案件入力!$D$2:$D$69=$D70)*(案件入力!$R$2:$R$69="完了")*(案件入力!$B$2:$B$69))),"0"),案件入力!$T$2:$T$69,0))),"")</f>
        <v/>
      </c>
      <c r="I70" s="40" t="n"/>
      <c r="J70" s="11">
        <f>IF(OR($H70="",$I70=""),"",IFERROR(($I70-$H70)/$H70,""))</f>
        <v/>
      </c>
      <c r="K70" s="8" t="n"/>
      <c r="L70" s="40">
        <f>IFERROR(IF(SUMPRODUCT(MAX((案件入力!$D$2:$D$69=$D70)*(案件入力!$R$2:$R$69="完了")*(案件入力!$B$2:$B$69)))=0,VLOOKUP($D70,商品マスタ範囲,6,FALSE),INDEX(案件入力!$M$2:$M$69,MATCH($D70&amp;"|"&amp;TEXT(SUMPRODUCT(MAX((案件入力!$D$2:$D$69=$D70)*(案件入力!$R$2:$R$69="完了")*(案件入力!$B$2:$B$69))),"0"),案件入力!$T$2:$T$69,0))),"")</f>
        <v/>
      </c>
      <c r="M70" s="40" t="n"/>
      <c r="N70" s="11">
        <f>IF(OR($L70="",$M70=""),"",IFERROR(($M70-$L70)/$L70,""))</f>
        <v/>
      </c>
      <c r="O70" s="8" t="n"/>
      <c r="P70" s="9" t="n"/>
      <c r="Q70" s="7" t="n"/>
      <c r="R70" s="7" t="n"/>
      <c r="S70" s="7" t="n"/>
      <c r="T70" s="7">
        <f>IF($R70="完了",$D70&amp;"|"&amp;TEXT($B70,"0"),"")</f>
        <v/>
      </c>
    </row>
    <row r="71">
      <c r="A71" s="7">
        <f>IF($B71="","",TEXT(YEAR($B71),"0000")&amp;"-"&amp;TEXT(SUMPRODUCT((YEAR($B$2:$B71)=YEAR($B71))*($B$2:$B71&lt;&gt;"")),"000"))</f>
        <v/>
      </c>
      <c r="B71" s="8" t="n"/>
      <c r="C71" s="7" t="n"/>
      <c r="D71" s="9" t="n"/>
      <c r="E71" s="7">
        <f>IFERROR(VLOOKUP($D71,商品マスタ範囲,4,FALSE),"")</f>
        <v/>
      </c>
      <c r="F71" s="7">
        <f>IFERROR(VLOOKUP($D71,商品マスタ範囲,2,FALSE),"")</f>
        <v/>
      </c>
      <c r="G71" s="7">
        <f>IFERROR(VLOOKUP($D71,商品マスタ範囲,3,FALSE),"")</f>
        <v/>
      </c>
      <c r="H71" s="40">
        <f>IFERROR(IF(SUMPRODUCT(MAX((案件入力!$D$2:$D$70=$D71)*(案件入力!$R$2:$R$70="完了")*(案件入力!$B$2:$B$70)))=0,VLOOKUP($D71,商品マスタ範囲,5,FALSE),INDEX(案件入力!$I$2:$I$70,MATCH($D71&amp;"|"&amp;TEXT(SUMPRODUCT(MAX((案件入力!$D$2:$D$70=$D71)*(案件入力!$R$2:$R$70="完了")*(案件入力!$B$2:$B$70))),"0"),案件入力!$T$2:$T$70,0))),"")</f>
        <v/>
      </c>
      <c r="I71" s="40" t="n"/>
      <c r="J71" s="11">
        <f>IF(OR($H71="",$I71=""),"",IFERROR(($I71-$H71)/$H71,""))</f>
        <v/>
      </c>
      <c r="K71" s="8" t="n"/>
      <c r="L71" s="40">
        <f>IFERROR(IF(SUMPRODUCT(MAX((案件入力!$D$2:$D$70=$D71)*(案件入力!$R$2:$R$70="完了")*(案件入力!$B$2:$B$70)))=0,VLOOKUP($D71,商品マスタ範囲,6,FALSE),INDEX(案件入力!$M$2:$M$70,MATCH($D71&amp;"|"&amp;TEXT(SUMPRODUCT(MAX((案件入力!$D$2:$D$70=$D71)*(案件入力!$R$2:$R$70="完了")*(案件入力!$B$2:$B$70))),"0"),案件入力!$T$2:$T$70,0))),"")</f>
        <v/>
      </c>
      <c r="M71" s="40" t="n"/>
      <c r="N71" s="11">
        <f>IF(OR($L71="",$M71=""),"",IFERROR(($M71-$L71)/$L71,""))</f>
        <v/>
      </c>
      <c r="O71" s="8" t="n"/>
      <c r="P71" s="9" t="n"/>
      <c r="Q71" s="7" t="n"/>
      <c r="R71" s="7" t="n"/>
      <c r="S71" s="7" t="n"/>
      <c r="T71" s="7">
        <f>IF($R71="完了",$D71&amp;"|"&amp;TEXT($B71,"0"),"")</f>
        <v/>
      </c>
    </row>
    <row r="72">
      <c r="A72" s="7">
        <f>IF($B72="","",TEXT(YEAR($B72),"0000")&amp;"-"&amp;TEXT(SUMPRODUCT((YEAR($B$2:$B72)=YEAR($B72))*($B$2:$B72&lt;&gt;"")),"000"))</f>
        <v/>
      </c>
      <c r="B72" s="8" t="n"/>
      <c r="C72" s="7" t="n"/>
      <c r="D72" s="9" t="n"/>
      <c r="E72" s="7">
        <f>IFERROR(VLOOKUP($D72,商品マスタ範囲,4,FALSE),"")</f>
        <v/>
      </c>
      <c r="F72" s="7">
        <f>IFERROR(VLOOKUP($D72,商品マスタ範囲,2,FALSE),"")</f>
        <v/>
      </c>
      <c r="G72" s="7">
        <f>IFERROR(VLOOKUP($D72,商品マスタ範囲,3,FALSE),"")</f>
        <v/>
      </c>
      <c r="H72" s="40">
        <f>IFERROR(IF(SUMPRODUCT(MAX((案件入力!$D$2:$D$71=$D72)*(案件入力!$R$2:$R$71="完了")*(案件入力!$B$2:$B$71)))=0,VLOOKUP($D72,商品マスタ範囲,5,FALSE),INDEX(案件入力!$I$2:$I$71,MATCH($D72&amp;"|"&amp;TEXT(SUMPRODUCT(MAX((案件入力!$D$2:$D$71=$D72)*(案件入力!$R$2:$R$71="完了")*(案件入力!$B$2:$B$71))),"0"),案件入力!$T$2:$T$71,0))),"")</f>
        <v/>
      </c>
      <c r="I72" s="40" t="n"/>
      <c r="J72" s="11">
        <f>IF(OR($H72="",$I72=""),"",IFERROR(($I72-$H72)/$H72,""))</f>
        <v/>
      </c>
      <c r="K72" s="8" t="n"/>
      <c r="L72" s="40">
        <f>IFERROR(IF(SUMPRODUCT(MAX((案件入力!$D$2:$D$71=$D72)*(案件入力!$R$2:$R$71="完了")*(案件入力!$B$2:$B$71)))=0,VLOOKUP($D72,商品マスタ範囲,6,FALSE),INDEX(案件入力!$M$2:$M$71,MATCH($D72&amp;"|"&amp;TEXT(SUMPRODUCT(MAX((案件入力!$D$2:$D$71=$D72)*(案件入力!$R$2:$R$71="完了")*(案件入力!$B$2:$B$71))),"0"),案件入力!$T$2:$T$71,0))),"")</f>
        <v/>
      </c>
      <c r="M72" s="40" t="n"/>
      <c r="N72" s="11">
        <f>IF(OR($L72="",$M72=""),"",IFERROR(($M72-$L72)/$L72,""))</f>
        <v/>
      </c>
      <c r="O72" s="8" t="n"/>
      <c r="P72" s="9" t="n"/>
      <c r="Q72" s="7" t="n"/>
      <c r="R72" s="7" t="n"/>
      <c r="S72" s="7" t="n"/>
      <c r="T72" s="7">
        <f>IF($R72="完了",$D72&amp;"|"&amp;TEXT($B72,"0"),"")</f>
        <v/>
      </c>
    </row>
    <row r="73">
      <c r="A73" s="7">
        <f>IF($B73="","",TEXT(YEAR($B73),"0000")&amp;"-"&amp;TEXT(SUMPRODUCT((YEAR($B$2:$B73)=YEAR($B73))*($B$2:$B73&lt;&gt;"")),"000"))</f>
        <v/>
      </c>
      <c r="B73" s="8" t="n"/>
      <c r="C73" s="7" t="n"/>
      <c r="D73" s="9" t="n"/>
      <c r="E73" s="7">
        <f>IFERROR(VLOOKUP($D73,商品マスタ範囲,4,FALSE),"")</f>
        <v/>
      </c>
      <c r="F73" s="7">
        <f>IFERROR(VLOOKUP($D73,商品マスタ範囲,2,FALSE),"")</f>
        <v/>
      </c>
      <c r="G73" s="7">
        <f>IFERROR(VLOOKUP($D73,商品マスタ範囲,3,FALSE),"")</f>
        <v/>
      </c>
      <c r="H73" s="40">
        <f>IFERROR(IF(SUMPRODUCT(MAX((案件入力!$D$2:$D$72=$D73)*(案件入力!$R$2:$R$72="完了")*(案件入力!$B$2:$B$72)))=0,VLOOKUP($D73,商品マスタ範囲,5,FALSE),INDEX(案件入力!$I$2:$I$72,MATCH($D73&amp;"|"&amp;TEXT(SUMPRODUCT(MAX((案件入力!$D$2:$D$72=$D73)*(案件入力!$R$2:$R$72="完了")*(案件入力!$B$2:$B$72))),"0"),案件入力!$T$2:$T$72,0))),"")</f>
        <v/>
      </c>
      <c r="I73" s="40" t="n"/>
      <c r="J73" s="11">
        <f>IF(OR($H73="",$I73=""),"",IFERROR(($I73-$H73)/$H73,""))</f>
        <v/>
      </c>
      <c r="K73" s="8" t="n"/>
      <c r="L73" s="40">
        <f>IFERROR(IF(SUMPRODUCT(MAX((案件入力!$D$2:$D$72=$D73)*(案件入力!$R$2:$R$72="完了")*(案件入力!$B$2:$B$72)))=0,VLOOKUP($D73,商品マスタ範囲,6,FALSE),INDEX(案件入力!$M$2:$M$72,MATCH($D73&amp;"|"&amp;TEXT(SUMPRODUCT(MAX((案件入力!$D$2:$D$72=$D73)*(案件入力!$R$2:$R$72="完了")*(案件入力!$B$2:$B$72))),"0"),案件入力!$T$2:$T$72,0))),"")</f>
        <v/>
      </c>
      <c r="M73" s="40" t="n"/>
      <c r="N73" s="11">
        <f>IF(OR($L73="",$M73=""),"",IFERROR(($M73-$L73)/$L73,""))</f>
        <v/>
      </c>
      <c r="O73" s="8" t="n"/>
      <c r="P73" s="9" t="n"/>
      <c r="Q73" s="7" t="n"/>
      <c r="R73" s="7" t="n"/>
      <c r="S73" s="7" t="n"/>
      <c r="T73" s="7">
        <f>IF($R73="完了",$D73&amp;"|"&amp;TEXT($B73,"0"),"")</f>
        <v/>
      </c>
    </row>
    <row r="74">
      <c r="A74" s="7">
        <f>IF($B74="","",TEXT(YEAR($B74),"0000")&amp;"-"&amp;TEXT(SUMPRODUCT((YEAR($B$2:$B74)=YEAR($B74))*($B$2:$B74&lt;&gt;"")),"000"))</f>
        <v/>
      </c>
      <c r="B74" s="8" t="n"/>
      <c r="C74" s="7" t="n"/>
      <c r="D74" s="9" t="n"/>
      <c r="E74" s="7">
        <f>IFERROR(VLOOKUP($D74,商品マスタ範囲,4,FALSE),"")</f>
        <v/>
      </c>
      <c r="F74" s="7">
        <f>IFERROR(VLOOKUP($D74,商品マスタ範囲,2,FALSE),"")</f>
        <v/>
      </c>
      <c r="G74" s="7">
        <f>IFERROR(VLOOKUP($D74,商品マスタ範囲,3,FALSE),"")</f>
        <v/>
      </c>
      <c r="H74" s="40">
        <f>IFERROR(IF(SUMPRODUCT(MAX((案件入力!$D$2:$D$73=$D74)*(案件入力!$R$2:$R$73="完了")*(案件入力!$B$2:$B$73)))=0,VLOOKUP($D74,商品マスタ範囲,5,FALSE),INDEX(案件入力!$I$2:$I$73,MATCH($D74&amp;"|"&amp;TEXT(SUMPRODUCT(MAX((案件入力!$D$2:$D$73=$D74)*(案件入力!$R$2:$R$73="完了")*(案件入力!$B$2:$B$73))),"0"),案件入力!$T$2:$T$73,0))),"")</f>
        <v/>
      </c>
      <c r="I74" s="40" t="n"/>
      <c r="J74" s="11">
        <f>IF(OR($H74="",$I74=""),"",IFERROR(($I74-$H74)/$H74,""))</f>
        <v/>
      </c>
      <c r="K74" s="8" t="n"/>
      <c r="L74" s="40">
        <f>IFERROR(IF(SUMPRODUCT(MAX((案件入力!$D$2:$D$73=$D74)*(案件入力!$R$2:$R$73="完了")*(案件入力!$B$2:$B$73)))=0,VLOOKUP($D74,商品マスタ範囲,6,FALSE),INDEX(案件入力!$M$2:$M$73,MATCH($D74&amp;"|"&amp;TEXT(SUMPRODUCT(MAX((案件入力!$D$2:$D$73=$D74)*(案件入力!$R$2:$R$73="完了")*(案件入力!$B$2:$B$73))),"0"),案件入力!$T$2:$T$73,0))),"")</f>
        <v/>
      </c>
      <c r="M74" s="40" t="n"/>
      <c r="N74" s="11">
        <f>IF(OR($L74="",$M74=""),"",IFERROR(($M74-$L74)/$L74,""))</f>
        <v/>
      </c>
      <c r="O74" s="8" t="n"/>
      <c r="P74" s="9" t="n"/>
      <c r="Q74" s="7" t="n"/>
      <c r="R74" s="7" t="n"/>
      <c r="S74" s="7" t="n"/>
      <c r="T74" s="7">
        <f>IF($R74="完了",$D74&amp;"|"&amp;TEXT($B74,"0"),"")</f>
        <v/>
      </c>
    </row>
    <row r="75">
      <c r="A75" s="7">
        <f>IF($B75="","",TEXT(YEAR($B75),"0000")&amp;"-"&amp;TEXT(SUMPRODUCT((YEAR($B$2:$B75)=YEAR($B75))*($B$2:$B75&lt;&gt;"")),"000"))</f>
        <v/>
      </c>
      <c r="B75" s="8" t="n"/>
      <c r="C75" s="7" t="n"/>
      <c r="D75" s="9" t="n"/>
      <c r="E75" s="7">
        <f>IFERROR(VLOOKUP($D75,商品マスタ範囲,4,FALSE),"")</f>
        <v/>
      </c>
      <c r="F75" s="7">
        <f>IFERROR(VLOOKUP($D75,商品マスタ範囲,2,FALSE),"")</f>
        <v/>
      </c>
      <c r="G75" s="7">
        <f>IFERROR(VLOOKUP($D75,商品マスタ範囲,3,FALSE),"")</f>
        <v/>
      </c>
      <c r="H75" s="40">
        <f>IFERROR(IF(SUMPRODUCT(MAX((案件入力!$D$2:$D$74=$D75)*(案件入力!$R$2:$R$74="完了")*(案件入力!$B$2:$B$74)))=0,VLOOKUP($D75,商品マスタ範囲,5,FALSE),INDEX(案件入力!$I$2:$I$74,MATCH($D75&amp;"|"&amp;TEXT(SUMPRODUCT(MAX((案件入力!$D$2:$D$74=$D75)*(案件入力!$R$2:$R$74="完了")*(案件入力!$B$2:$B$74))),"0"),案件入力!$T$2:$T$74,0))),"")</f>
        <v/>
      </c>
      <c r="I75" s="40" t="n"/>
      <c r="J75" s="11">
        <f>IF(OR($H75="",$I75=""),"",IFERROR(($I75-$H75)/$H75,""))</f>
        <v/>
      </c>
      <c r="K75" s="8" t="n"/>
      <c r="L75" s="40">
        <f>IFERROR(IF(SUMPRODUCT(MAX((案件入力!$D$2:$D$74=$D75)*(案件入力!$R$2:$R$74="完了")*(案件入力!$B$2:$B$74)))=0,VLOOKUP($D75,商品マスタ範囲,6,FALSE),INDEX(案件入力!$M$2:$M$74,MATCH($D75&amp;"|"&amp;TEXT(SUMPRODUCT(MAX((案件入力!$D$2:$D$74=$D75)*(案件入力!$R$2:$R$74="完了")*(案件入力!$B$2:$B$74))),"0"),案件入力!$T$2:$T$74,0))),"")</f>
        <v/>
      </c>
      <c r="M75" s="40" t="n"/>
      <c r="N75" s="11">
        <f>IF(OR($L75="",$M75=""),"",IFERROR(($M75-$L75)/$L75,""))</f>
        <v/>
      </c>
      <c r="O75" s="8" t="n"/>
      <c r="P75" s="9" t="n"/>
      <c r="Q75" s="7" t="n"/>
      <c r="R75" s="7" t="n"/>
      <c r="S75" s="7" t="n"/>
      <c r="T75" s="7">
        <f>IF($R75="完了",$D75&amp;"|"&amp;TEXT($B75,"0"),"")</f>
        <v/>
      </c>
    </row>
    <row r="76">
      <c r="A76" s="7">
        <f>IF($B76="","",TEXT(YEAR($B76),"0000")&amp;"-"&amp;TEXT(SUMPRODUCT((YEAR($B$2:$B76)=YEAR($B76))*($B$2:$B76&lt;&gt;"")),"000"))</f>
        <v/>
      </c>
      <c r="B76" s="8" t="n"/>
      <c r="C76" s="7" t="n"/>
      <c r="D76" s="9" t="n"/>
      <c r="E76" s="7">
        <f>IFERROR(VLOOKUP($D76,商品マスタ範囲,4,FALSE),"")</f>
        <v/>
      </c>
      <c r="F76" s="7">
        <f>IFERROR(VLOOKUP($D76,商品マスタ範囲,2,FALSE),"")</f>
        <v/>
      </c>
      <c r="G76" s="7">
        <f>IFERROR(VLOOKUP($D76,商品マスタ範囲,3,FALSE),"")</f>
        <v/>
      </c>
      <c r="H76" s="40">
        <f>IFERROR(IF(SUMPRODUCT(MAX((案件入力!$D$2:$D$75=$D76)*(案件入力!$R$2:$R$75="完了")*(案件入力!$B$2:$B$75)))=0,VLOOKUP($D76,商品マスタ範囲,5,FALSE),INDEX(案件入力!$I$2:$I$75,MATCH($D76&amp;"|"&amp;TEXT(SUMPRODUCT(MAX((案件入力!$D$2:$D$75=$D76)*(案件入力!$R$2:$R$75="完了")*(案件入力!$B$2:$B$75))),"0"),案件入力!$T$2:$T$75,0))),"")</f>
        <v/>
      </c>
      <c r="I76" s="40" t="n"/>
      <c r="J76" s="11">
        <f>IF(OR($H76="",$I76=""),"",IFERROR(($I76-$H76)/$H76,""))</f>
        <v/>
      </c>
      <c r="K76" s="8" t="n"/>
      <c r="L76" s="40">
        <f>IFERROR(IF(SUMPRODUCT(MAX((案件入力!$D$2:$D$75=$D76)*(案件入力!$R$2:$R$75="完了")*(案件入力!$B$2:$B$75)))=0,VLOOKUP($D76,商品マスタ範囲,6,FALSE),INDEX(案件入力!$M$2:$M$75,MATCH($D76&amp;"|"&amp;TEXT(SUMPRODUCT(MAX((案件入力!$D$2:$D$75=$D76)*(案件入力!$R$2:$R$75="完了")*(案件入力!$B$2:$B$75))),"0"),案件入力!$T$2:$T$75,0))),"")</f>
        <v/>
      </c>
      <c r="M76" s="40" t="n"/>
      <c r="N76" s="11">
        <f>IF(OR($L76="",$M76=""),"",IFERROR(($M76-$L76)/$L76,""))</f>
        <v/>
      </c>
      <c r="O76" s="8" t="n"/>
      <c r="P76" s="9" t="n"/>
      <c r="Q76" s="7" t="n"/>
      <c r="R76" s="7" t="n"/>
      <c r="S76" s="7" t="n"/>
      <c r="T76" s="7">
        <f>IF($R76="完了",$D76&amp;"|"&amp;TEXT($B76,"0"),"")</f>
        <v/>
      </c>
    </row>
    <row r="77">
      <c r="A77" s="7">
        <f>IF($B77="","",TEXT(YEAR($B77),"0000")&amp;"-"&amp;TEXT(SUMPRODUCT((YEAR($B$2:$B77)=YEAR($B77))*($B$2:$B77&lt;&gt;"")),"000"))</f>
        <v/>
      </c>
      <c r="B77" s="8" t="n"/>
      <c r="C77" s="7" t="n"/>
      <c r="D77" s="9" t="n"/>
      <c r="E77" s="7">
        <f>IFERROR(VLOOKUP($D77,商品マスタ範囲,4,FALSE),"")</f>
        <v/>
      </c>
      <c r="F77" s="7">
        <f>IFERROR(VLOOKUP($D77,商品マスタ範囲,2,FALSE),"")</f>
        <v/>
      </c>
      <c r="G77" s="7">
        <f>IFERROR(VLOOKUP($D77,商品マスタ範囲,3,FALSE),"")</f>
        <v/>
      </c>
      <c r="H77" s="40">
        <f>IFERROR(IF(SUMPRODUCT(MAX((案件入力!$D$2:$D$76=$D77)*(案件入力!$R$2:$R$76="完了")*(案件入力!$B$2:$B$76)))=0,VLOOKUP($D77,商品マスタ範囲,5,FALSE),INDEX(案件入力!$I$2:$I$76,MATCH($D77&amp;"|"&amp;TEXT(SUMPRODUCT(MAX((案件入力!$D$2:$D$76=$D77)*(案件入力!$R$2:$R$76="完了")*(案件入力!$B$2:$B$76))),"0"),案件入力!$T$2:$T$76,0))),"")</f>
        <v/>
      </c>
      <c r="I77" s="40" t="n"/>
      <c r="J77" s="11">
        <f>IF(OR($H77="",$I77=""),"",IFERROR(($I77-$H77)/$H77,""))</f>
        <v/>
      </c>
      <c r="K77" s="8" t="n"/>
      <c r="L77" s="40">
        <f>IFERROR(IF(SUMPRODUCT(MAX((案件入力!$D$2:$D$76=$D77)*(案件入力!$R$2:$R$76="完了")*(案件入力!$B$2:$B$76)))=0,VLOOKUP($D77,商品マスタ範囲,6,FALSE),INDEX(案件入力!$M$2:$M$76,MATCH($D77&amp;"|"&amp;TEXT(SUMPRODUCT(MAX((案件入力!$D$2:$D$76=$D77)*(案件入力!$R$2:$R$76="完了")*(案件入力!$B$2:$B$76))),"0"),案件入力!$T$2:$T$76,0))),"")</f>
        <v/>
      </c>
      <c r="M77" s="40" t="n"/>
      <c r="N77" s="11">
        <f>IF(OR($L77="",$M77=""),"",IFERROR(($M77-$L77)/$L77,""))</f>
        <v/>
      </c>
      <c r="O77" s="8" t="n"/>
      <c r="P77" s="9" t="n"/>
      <c r="Q77" s="7" t="n"/>
      <c r="R77" s="7" t="n"/>
      <c r="S77" s="7" t="n"/>
      <c r="T77" s="7">
        <f>IF($R77="完了",$D77&amp;"|"&amp;TEXT($B77,"0"),"")</f>
        <v/>
      </c>
    </row>
    <row r="78">
      <c r="A78" s="7">
        <f>IF($B78="","",TEXT(YEAR($B78),"0000")&amp;"-"&amp;TEXT(SUMPRODUCT((YEAR($B$2:$B78)=YEAR($B78))*($B$2:$B78&lt;&gt;"")),"000"))</f>
        <v/>
      </c>
      <c r="B78" s="8" t="n"/>
      <c r="C78" s="7" t="n"/>
      <c r="D78" s="9" t="n"/>
      <c r="E78" s="7">
        <f>IFERROR(VLOOKUP($D78,商品マスタ範囲,4,FALSE),"")</f>
        <v/>
      </c>
      <c r="F78" s="7">
        <f>IFERROR(VLOOKUP($D78,商品マスタ範囲,2,FALSE),"")</f>
        <v/>
      </c>
      <c r="G78" s="7">
        <f>IFERROR(VLOOKUP($D78,商品マスタ範囲,3,FALSE),"")</f>
        <v/>
      </c>
      <c r="H78" s="40">
        <f>IFERROR(IF(SUMPRODUCT(MAX((案件入力!$D$2:$D$77=$D78)*(案件入力!$R$2:$R$77="完了")*(案件入力!$B$2:$B$77)))=0,VLOOKUP($D78,商品マスタ範囲,5,FALSE),INDEX(案件入力!$I$2:$I$77,MATCH($D78&amp;"|"&amp;TEXT(SUMPRODUCT(MAX((案件入力!$D$2:$D$77=$D78)*(案件入力!$R$2:$R$77="完了")*(案件入力!$B$2:$B$77))),"0"),案件入力!$T$2:$T$77,0))),"")</f>
        <v/>
      </c>
      <c r="I78" s="40" t="n"/>
      <c r="J78" s="11">
        <f>IF(OR($H78="",$I78=""),"",IFERROR(($I78-$H78)/$H78,""))</f>
        <v/>
      </c>
      <c r="K78" s="8" t="n"/>
      <c r="L78" s="40">
        <f>IFERROR(IF(SUMPRODUCT(MAX((案件入力!$D$2:$D$77=$D78)*(案件入力!$R$2:$R$77="完了")*(案件入力!$B$2:$B$77)))=0,VLOOKUP($D78,商品マスタ範囲,6,FALSE),INDEX(案件入力!$M$2:$M$77,MATCH($D78&amp;"|"&amp;TEXT(SUMPRODUCT(MAX((案件入力!$D$2:$D$77=$D78)*(案件入力!$R$2:$R$77="完了")*(案件入力!$B$2:$B$77))),"0"),案件入力!$T$2:$T$77,0))),"")</f>
        <v/>
      </c>
      <c r="M78" s="40" t="n"/>
      <c r="N78" s="11">
        <f>IF(OR($L78="",$M78=""),"",IFERROR(($M78-$L78)/$L78,""))</f>
        <v/>
      </c>
      <c r="O78" s="8" t="n"/>
      <c r="P78" s="9" t="n"/>
      <c r="Q78" s="7" t="n"/>
      <c r="R78" s="7" t="n"/>
      <c r="S78" s="7" t="n"/>
      <c r="T78" s="7">
        <f>IF($R78="完了",$D78&amp;"|"&amp;TEXT($B78,"0"),"")</f>
        <v/>
      </c>
    </row>
    <row r="79">
      <c r="A79" s="7">
        <f>IF($B79="","",TEXT(YEAR($B79),"0000")&amp;"-"&amp;TEXT(SUMPRODUCT((YEAR($B$2:$B79)=YEAR($B79))*($B$2:$B79&lt;&gt;"")),"000"))</f>
        <v/>
      </c>
      <c r="B79" s="8" t="n"/>
      <c r="C79" s="7" t="n"/>
      <c r="D79" s="9" t="n"/>
      <c r="E79" s="7">
        <f>IFERROR(VLOOKUP($D79,商品マスタ範囲,4,FALSE),"")</f>
        <v/>
      </c>
      <c r="F79" s="7">
        <f>IFERROR(VLOOKUP($D79,商品マスタ範囲,2,FALSE),"")</f>
        <v/>
      </c>
      <c r="G79" s="7">
        <f>IFERROR(VLOOKUP($D79,商品マスタ範囲,3,FALSE),"")</f>
        <v/>
      </c>
      <c r="H79" s="40">
        <f>IFERROR(IF(SUMPRODUCT(MAX((案件入力!$D$2:$D$78=$D79)*(案件入力!$R$2:$R$78="完了")*(案件入力!$B$2:$B$78)))=0,VLOOKUP($D79,商品マスタ範囲,5,FALSE),INDEX(案件入力!$I$2:$I$78,MATCH($D79&amp;"|"&amp;TEXT(SUMPRODUCT(MAX((案件入力!$D$2:$D$78=$D79)*(案件入力!$R$2:$R$78="完了")*(案件入力!$B$2:$B$78))),"0"),案件入力!$T$2:$T$78,0))),"")</f>
        <v/>
      </c>
      <c r="I79" s="40" t="n"/>
      <c r="J79" s="11">
        <f>IF(OR($H79="",$I79=""),"",IFERROR(($I79-$H79)/$H79,""))</f>
        <v/>
      </c>
      <c r="K79" s="8" t="n"/>
      <c r="L79" s="40">
        <f>IFERROR(IF(SUMPRODUCT(MAX((案件入力!$D$2:$D$78=$D79)*(案件入力!$R$2:$R$78="完了")*(案件入力!$B$2:$B$78)))=0,VLOOKUP($D79,商品マスタ範囲,6,FALSE),INDEX(案件入力!$M$2:$M$78,MATCH($D79&amp;"|"&amp;TEXT(SUMPRODUCT(MAX((案件入力!$D$2:$D$78=$D79)*(案件入力!$R$2:$R$78="完了")*(案件入力!$B$2:$B$78))),"0"),案件入力!$T$2:$T$78,0))),"")</f>
        <v/>
      </c>
      <c r="M79" s="40" t="n"/>
      <c r="N79" s="11">
        <f>IF(OR($L79="",$M79=""),"",IFERROR(($M79-$L79)/$L79,""))</f>
        <v/>
      </c>
      <c r="O79" s="8" t="n"/>
      <c r="P79" s="9" t="n"/>
      <c r="Q79" s="7" t="n"/>
      <c r="R79" s="7" t="n"/>
      <c r="S79" s="7" t="n"/>
      <c r="T79" s="7">
        <f>IF($R79="完了",$D79&amp;"|"&amp;TEXT($B79,"0"),"")</f>
        <v/>
      </c>
    </row>
    <row r="80">
      <c r="A80" s="7">
        <f>IF($B80="","",TEXT(YEAR($B80),"0000")&amp;"-"&amp;TEXT(SUMPRODUCT((YEAR($B$2:$B80)=YEAR($B80))*($B$2:$B80&lt;&gt;"")),"000"))</f>
        <v/>
      </c>
      <c r="B80" s="8" t="n"/>
      <c r="C80" s="7" t="n"/>
      <c r="D80" s="9" t="n"/>
      <c r="E80" s="7">
        <f>IFERROR(VLOOKUP($D80,商品マスタ範囲,4,FALSE),"")</f>
        <v/>
      </c>
      <c r="F80" s="7">
        <f>IFERROR(VLOOKUP($D80,商品マスタ範囲,2,FALSE),"")</f>
        <v/>
      </c>
      <c r="G80" s="7">
        <f>IFERROR(VLOOKUP($D80,商品マスタ範囲,3,FALSE),"")</f>
        <v/>
      </c>
      <c r="H80" s="40">
        <f>IFERROR(IF(SUMPRODUCT(MAX((案件入力!$D$2:$D$79=$D80)*(案件入力!$R$2:$R$79="完了")*(案件入力!$B$2:$B$79)))=0,VLOOKUP($D80,商品マスタ範囲,5,FALSE),INDEX(案件入力!$I$2:$I$79,MATCH($D80&amp;"|"&amp;TEXT(SUMPRODUCT(MAX((案件入力!$D$2:$D$79=$D80)*(案件入力!$R$2:$R$79="完了")*(案件入力!$B$2:$B$79))),"0"),案件入力!$T$2:$T$79,0))),"")</f>
        <v/>
      </c>
      <c r="I80" s="40" t="n"/>
      <c r="J80" s="11">
        <f>IF(OR($H80="",$I80=""),"",IFERROR(($I80-$H80)/$H80,""))</f>
        <v/>
      </c>
      <c r="K80" s="8" t="n"/>
      <c r="L80" s="40">
        <f>IFERROR(IF(SUMPRODUCT(MAX((案件入力!$D$2:$D$79=$D80)*(案件入力!$R$2:$R$79="完了")*(案件入力!$B$2:$B$79)))=0,VLOOKUP($D80,商品マスタ範囲,6,FALSE),INDEX(案件入力!$M$2:$M$79,MATCH($D80&amp;"|"&amp;TEXT(SUMPRODUCT(MAX((案件入力!$D$2:$D$79=$D80)*(案件入力!$R$2:$R$79="完了")*(案件入力!$B$2:$B$79))),"0"),案件入力!$T$2:$T$79,0))),"")</f>
        <v/>
      </c>
      <c r="M80" s="40" t="n"/>
      <c r="N80" s="11">
        <f>IF(OR($L80="",$M80=""),"",IFERROR(($M80-$L80)/$L80,""))</f>
        <v/>
      </c>
      <c r="O80" s="8" t="n"/>
      <c r="P80" s="9" t="n"/>
      <c r="Q80" s="7" t="n"/>
      <c r="R80" s="7" t="n"/>
      <c r="S80" s="7" t="n"/>
      <c r="T80" s="7">
        <f>IF($R80="完了",$D80&amp;"|"&amp;TEXT($B80,"0"),"")</f>
        <v/>
      </c>
    </row>
    <row r="81">
      <c r="A81" s="7">
        <f>IF($B81="","",TEXT(YEAR($B81),"0000")&amp;"-"&amp;TEXT(SUMPRODUCT((YEAR($B$2:$B81)=YEAR($B81))*($B$2:$B81&lt;&gt;"")),"000"))</f>
        <v/>
      </c>
      <c r="B81" s="8" t="n"/>
      <c r="C81" s="7" t="n"/>
      <c r="D81" s="9" t="n"/>
      <c r="E81" s="7">
        <f>IFERROR(VLOOKUP($D81,商品マスタ範囲,4,FALSE),"")</f>
        <v/>
      </c>
      <c r="F81" s="7">
        <f>IFERROR(VLOOKUP($D81,商品マスタ範囲,2,FALSE),"")</f>
        <v/>
      </c>
      <c r="G81" s="7">
        <f>IFERROR(VLOOKUP($D81,商品マスタ範囲,3,FALSE),"")</f>
        <v/>
      </c>
      <c r="H81" s="40">
        <f>IFERROR(IF(SUMPRODUCT(MAX((案件入力!$D$2:$D$80=$D81)*(案件入力!$R$2:$R$80="完了")*(案件入力!$B$2:$B$80)))=0,VLOOKUP($D81,商品マスタ範囲,5,FALSE),INDEX(案件入力!$I$2:$I$80,MATCH($D81&amp;"|"&amp;TEXT(SUMPRODUCT(MAX((案件入力!$D$2:$D$80=$D81)*(案件入力!$R$2:$R$80="完了")*(案件入力!$B$2:$B$80))),"0"),案件入力!$T$2:$T$80,0))),"")</f>
        <v/>
      </c>
      <c r="I81" s="40" t="n"/>
      <c r="J81" s="11">
        <f>IF(OR($H81="",$I81=""),"",IFERROR(($I81-$H81)/$H81,""))</f>
        <v/>
      </c>
      <c r="K81" s="8" t="n"/>
      <c r="L81" s="40">
        <f>IFERROR(IF(SUMPRODUCT(MAX((案件入力!$D$2:$D$80=$D81)*(案件入力!$R$2:$R$80="完了")*(案件入力!$B$2:$B$80)))=0,VLOOKUP($D81,商品マスタ範囲,6,FALSE),INDEX(案件入力!$M$2:$M$80,MATCH($D81&amp;"|"&amp;TEXT(SUMPRODUCT(MAX((案件入力!$D$2:$D$80=$D81)*(案件入力!$R$2:$R$80="完了")*(案件入力!$B$2:$B$80))),"0"),案件入力!$T$2:$T$80,0))),"")</f>
        <v/>
      </c>
      <c r="M81" s="40" t="n"/>
      <c r="N81" s="11">
        <f>IF(OR($L81="",$M81=""),"",IFERROR(($M81-$L81)/$L81,""))</f>
        <v/>
      </c>
      <c r="O81" s="8" t="n"/>
      <c r="P81" s="9" t="n"/>
      <c r="Q81" s="7" t="n"/>
      <c r="R81" s="7" t="n"/>
      <c r="S81" s="7" t="n"/>
      <c r="T81" s="7">
        <f>IF($R81="完了",$D81&amp;"|"&amp;TEXT($B81,"0"),"")</f>
        <v/>
      </c>
    </row>
    <row r="82">
      <c r="A82" s="7">
        <f>IF($B82="","",TEXT(YEAR($B82),"0000")&amp;"-"&amp;TEXT(SUMPRODUCT((YEAR($B$2:$B82)=YEAR($B82))*($B$2:$B82&lt;&gt;"")),"000"))</f>
        <v/>
      </c>
      <c r="B82" s="8" t="n"/>
      <c r="C82" s="7" t="n"/>
      <c r="D82" s="9" t="n"/>
      <c r="E82" s="7">
        <f>IFERROR(VLOOKUP($D82,商品マスタ範囲,4,FALSE),"")</f>
        <v/>
      </c>
      <c r="F82" s="7">
        <f>IFERROR(VLOOKUP($D82,商品マスタ範囲,2,FALSE),"")</f>
        <v/>
      </c>
      <c r="G82" s="7">
        <f>IFERROR(VLOOKUP($D82,商品マスタ範囲,3,FALSE),"")</f>
        <v/>
      </c>
      <c r="H82" s="40">
        <f>IFERROR(IF(SUMPRODUCT(MAX((案件入力!$D$2:$D$81=$D82)*(案件入力!$R$2:$R$81="完了")*(案件入力!$B$2:$B$81)))=0,VLOOKUP($D82,商品マスタ範囲,5,FALSE),INDEX(案件入力!$I$2:$I$81,MATCH($D82&amp;"|"&amp;TEXT(SUMPRODUCT(MAX((案件入力!$D$2:$D$81=$D82)*(案件入力!$R$2:$R$81="完了")*(案件入力!$B$2:$B$81))),"0"),案件入力!$T$2:$T$81,0))),"")</f>
        <v/>
      </c>
      <c r="I82" s="40" t="n"/>
      <c r="J82" s="11">
        <f>IF(OR($H82="",$I82=""),"",IFERROR(($I82-$H82)/$H82,""))</f>
        <v/>
      </c>
      <c r="K82" s="8" t="n"/>
      <c r="L82" s="40">
        <f>IFERROR(IF(SUMPRODUCT(MAX((案件入力!$D$2:$D$81=$D82)*(案件入力!$R$2:$R$81="完了")*(案件入力!$B$2:$B$81)))=0,VLOOKUP($D82,商品マスタ範囲,6,FALSE),INDEX(案件入力!$M$2:$M$81,MATCH($D82&amp;"|"&amp;TEXT(SUMPRODUCT(MAX((案件入力!$D$2:$D$81=$D82)*(案件入力!$R$2:$R$81="完了")*(案件入力!$B$2:$B$81))),"0"),案件入力!$T$2:$T$81,0))),"")</f>
        <v/>
      </c>
      <c r="M82" s="40" t="n"/>
      <c r="N82" s="11">
        <f>IF(OR($L82="",$M82=""),"",IFERROR(($M82-$L82)/$L82,""))</f>
        <v/>
      </c>
      <c r="O82" s="8" t="n"/>
      <c r="P82" s="9" t="n"/>
      <c r="Q82" s="7" t="n"/>
      <c r="R82" s="7" t="n"/>
      <c r="S82" s="7" t="n"/>
      <c r="T82" s="7">
        <f>IF($R82="完了",$D82&amp;"|"&amp;TEXT($B82,"0"),"")</f>
        <v/>
      </c>
    </row>
    <row r="83">
      <c r="A83" s="7">
        <f>IF($B83="","",TEXT(YEAR($B83),"0000")&amp;"-"&amp;TEXT(SUMPRODUCT((YEAR($B$2:$B83)=YEAR($B83))*($B$2:$B83&lt;&gt;"")),"000"))</f>
        <v/>
      </c>
      <c r="B83" s="8" t="n"/>
      <c r="C83" s="7" t="n"/>
      <c r="D83" s="9" t="n"/>
      <c r="E83" s="7">
        <f>IFERROR(VLOOKUP($D83,商品マスタ範囲,4,FALSE),"")</f>
        <v/>
      </c>
      <c r="F83" s="7">
        <f>IFERROR(VLOOKUP($D83,商品マスタ範囲,2,FALSE),"")</f>
        <v/>
      </c>
      <c r="G83" s="7">
        <f>IFERROR(VLOOKUP($D83,商品マスタ範囲,3,FALSE),"")</f>
        <v/>
      </c>
      <c r="H83" s="40">
        <f>IFERROR(IF(SUMPRODUCT(MAX((案件入力!$D$2:$D$82=$D83)*(案件入力!$R$2:$R$82="完了")*(案件入力!$B$2:$B$82)))=0,VLOOKUP($D83,商品マスタ範囲,5,FALSE),INDEX(案件入力!$I$2:$I$82,MATCH($D83&amp;"|"&amp;TEXT(SUMPRODUCT(MAX((案件入力!$D$2:$D$82=$D83)*(案件入力!$R$2:$R$82="完了")*(案件入力!$B$2:$B$82))),"0"),案件入力!$T$2:$T$82,0))),"")</f>
        <v/>
      </c>
      <c r="I83" s="40" t="n"/>
      <c r="J83" s="11">
        <f>IF(OR($H83="",$I83=""),"",IFERROR(($I83-$H83)/$H83,""))</f>
        <v/>
      </c>
      <c r="K83" s="8" t="n"/>
      <c r="L83" s="40">
        <f>IFERROR(IF(SUMPRODUCT(MAX((案件入力!$D$2:$D$82=$D83)*(案件入力!$R$2:$R$82="完了")*(案件入力!$B$2:$B$82)))=0,VLOOKUP($D83,商品マスタ範囲,6,FALSE),INDEX(案件入力!$M$2:$M$82,MATCH($D83&amp;"|"&amp;TEXT(SUMPRODUCT(MAX((案件入力!$D$2:$D$82=$D83)*(案件入力!$R$2:$R$82="完了")*(案件入力!$B$2:$B$82))),"0"),案件入力!$T$2:$T$82,0))),"")</f>
        <v/>
      </c>
      <c r="M83" s="40" t="n"/>
      <c r="N83" s="11">
        <f>IF(OR($L83="",$M83=""),"",IFERROR(($M83-$L83)/$L83,""))</f>
        <v/>
      </c>
      <c r="O83" s="8" t="n"/>
      <c r="P83" s="9" t="n"/>
      <c r="Q83" s="7" t="n"/>
      <c r="R83" s="7" t="n"/>
      <c r="S83" s="7" t="n"/>
      <c r="T83" s="7">
        <f>IF($R83="完了",$D83&amp;"|"&amp;TEXT($B83,"0"),"")</f>
        <v/>
      </c>
    </row>
    <row r="84">
      <c r="A84" s="7">
        <f>IF($B84="","",TEXT(YEAR($B84),"0000")&amp;"-"&amp;TEXT(SUMPRODUCT((YEAR($B$2:$B84)=YEAR($B84))*($B$2:$B84&lt;&gt;"")),"000"))</f>
        <v/>
      </c>
      <c r="B84" s="8" t="n"/>
      <c r="C84" s="7" t="n"/>
      <c r="D84" s="9" t="n"/>
      <c r="E84" s="7">
        <f>IFERROR(VLOOKUP($D84,商品マスタ範囲,4,FALSE),"")</f>
        <v/>
      </c>
      <c r="F84" s="7">
        <f>IFERROR(VLOOKUP($D84,商品マスタ範囲,2,FALSE),"")</f>
        <v/>
      </c>
      <c r="G84" s="7">
        <f>IFERROR(VLOOKUP($D84,商品マスタ範囲,3,FALSE),"")</f>
        <v/>
      </c>
      <c r="H84" s="40">
        <f>IFERROR(IF(SUMPRODUCT(MAX((案件入力!$D$2:$D$83=$D84)*(案件入力!$R$2:$R$83="完了")*(案件入力!$B$2:$B$83)))=0,VLOOKUP($D84,商品マスタ範囲,5,FALSE),INDEX(案件入力!$I$2:$I$83,MATCH($D84&amp;"|"&amp;TEXT(SUMPRODUCT(MAX((案件入力!$D$2:$D$83=$D84)*(案件入力!$R$2:$R$83="完了")*(案件入力!$B$2:$B$83))),"0"),案件入力!$T$2:$T$83,0))),"")</f>
        <v/>
      </c>
      <c r="I84" s="40" t="n"/>
      <c r="J84" s="11">
        <f>IF(OR($H84="",$I84=""),"",IFERROR(($I84-$H84)/$H84,""))</f>
        <v/>
      </c>
      <c r="K84" s="8" t="n"/>
      <c r="L84" s="40">
        <f>IFERROR(IF(SUMPRODUCT(MAX((案件入力!$D$2:$D$83=$D84)*(案件入力!$R$2:$R$83="完了")*(案件入力!$B$2:$B$83)))=0,VLOOKUP($D84,商品マスタ範囲,6,FALSE),INDEX(案件入力!$M$2:$M$83,MATCH($D84&amp;"|"&amp;TEXT(SUMPRODUCT(MAX((案件入力!$D$2:$D$83=$D84)*(案件入力!$R$2:$R$83="完了")*(案件入力!$B$2:$B$83))),"0"),案件入力!$T$2:$T$83,0))),"")</f>
        <v/>
      </c>
      <c r="M84" s="40" t="n"/>
      <c r="N84" s="11">
        <f>IF(OR($L84="",$M84=""),"",IFERROR(($M84-$L84)/$L84,""))</f>
        <v/>
      </c>
      <c r="O84" s="8" t="n"/>
      <c r="P84" s="9" t="n"/>
      <c r="Q84" s="7" t="n"/>
      <c r="R84" s="7" t="n"/>
      <c r="S84" s="7" t="n"/>
      <c r="T84" s="7">
        <f>IF($R84="完了",$D84&amp;"|"&amp;TEXT($B84,"0"),"")</f>
        <v/>
      </c>
    </row>
    <row r="85">
      <c r="A85" s="7">
        <f>IF($B85="","",TEXT(YEAR($B85),"0000")&amp;"-"&amp;TEXT(SUMPRODUCT((YEAR($B$2:$B85)=YEAR($B85))*($B$2:$B85&lt;&gt;"")),"000"))</f>
        <v/>
      </c>
      <c r="B85" s="8" t="n"/>
      <c r="C85" s="7" t="n"/>
      <c r="D85" s="9" t="n"/>
      <c r="E85" s="7">
        <f>IFERROR(VLOOKUP($D85,商品マスタ範囲,4,FALSE),"")</f>
        <v/>
      </c>
      <c r="F85" s="7">
        <f>IFERROR(VLOOKUP($D85,商品マスタ範囲,2,FALSE),"")</f>
        <v/>
      </c>
      <c r="G85" s="7">
        <f>IFERROR(VLOOKUP($D85,商品マスタ範囲,3,FALSE),"")</f>
        <v/>
      </c>
      <c r="H85" s="40">
        <f>IFERROR(IF(SUMPRODUCT(MAX((案件入力!$D$2:$D$84=$D85)*(案件入力!$R$2:$R$84="完了")*(案件入力!$B$2:$B$84)))=0,VLOOKUP($D85,商品マスタ範囲,5,FALSE),INDEX(案件入力!$I$2:$I$84,MATCH($D85&amp;"|"&amp;TEXT(SUMPRODUCT(MAX((案件入力!$D$2:$D$84=$D85)*(案件入力!$R$2:$R$84="完了")*(案件入力!$B$2:$B$84))),"0"),案件入力!$T$2:$T$84,0))),"")</f>
        <v/>
      </c>
      <c r="I85" s="40" t="n"/>
      <c r="J85" s="11">
        <f>IF(OR($H85="",$I85=""),"",IFERROR(($I85-$H85)/$H85,""))</f>
        <v/>
      </c>
      <c r="K85" s="8" t="n"/>
      <c r="L85" s="40">
        <f>IFERROR(IF(SUMPRODUCT(MAX((案件入力!$D$2:$D$84=$D85)*(案件入力!$R$2:$R$84="完了")*(案件入力!$B$2:$B$84)))=0,VLOOKUP($D85,商品マスタ範囲,6,FALSE),INDEX(案件入力!$M$2:$M$84,MATCH($D85&amp;"|"&amp;TEXT(SUMPRODUCT(MAX((案件入力!$D$2:$D$84=$D85)*(案件入力!$R$2:$R$84="完了")*(案件入力!$B$2:$B$84))),"0"),案件入力!$T$2:$T$84,0))),"")</f>
        <v/>
      </c>
      <c r="M85" s="40" t="n"/>
      <c r="N85" s="11">
        <f>IF(OR($L85="",$M85=""),"",IFERROR(($M85-$L85)/$L85,""))</f>
        <v/>
      </c>
      <c r="O85" s="8" t="n"/>
      <c r="P85" s="9" t="n"/>
      <c r="Q85" s="7" t="n"/>
      <c r="R85" s="7" t="n"/>
      <c r="S85" s="7" t="n"/>
      <c r="T85" s="7">
        <f>IF($R85="完了",$D85&amp;"|"&amp;TEXT($B85,"0"),"")</f>
        <v/>
      </c>
    </row>
    <row r="86">
      <c r="A86" s="7">
        <f>IF($B86="","",TEXT(YEAR($B86),"0000")&amp;"-"&amp;TEXT(SUMPRODUCT((YEAR($B$2:$B86)=YEAR($B86))*($B$2:$B86&lt;&gt;"")),"000"))</f>
        <v/>
      </c>
      <c r="B86" s="8" t="n"/>
      <c r="C86" s="7" t="n"/>
      <c r="D86" s="9" t="n"/>
      <c r="E86" s="7">
        <f>IFERROR(VLOOKUP($D86,商品マスタ範囲,4,FALSE),"")</f>
        <v/>
      </c>
      <c r="F86" s="7">
        <f>IFERROR(VLOOKUP($D86,商品マスタ範囲,2,FALSE),"")</f>
        <v/>
      </c>
      <c r="G86" s="7">
        <f>IFERROR(VLOOKUP($D86,商品マスタ範囲,3,FALSE),"")</f>
        <v/>
      </c>
      <c r="H86" s="40">
        <f>IFERROR(IF(SUMPRODUCT(MAX((案件入力!$D$2:$D$85=$D86)*(案件入力!$R$2:$R$85="完了")*(案件入力!$B$2:$B$85)))=0,VLOOKUP($D86,商品マスタ範囲,5,FALSE),INDEX(案件入力!$I$2:$I$85,MATCH($D86&amp;"|"&amp;TEXT(SUMPRODUCT(MAX((案件入力!$D$2:$D$85=$D86)*(案件入力!$R$2:$R$85="完了")*(案件入力!$B$2:$B$85))),"0"),案件入力!$T$2:$T$85,0))),"")</f>
        <v/>
      </c>
      <c r="I86" s="40" t="n"/>
      <c r="J86" s="11">
        <f>IF(OR($H86="",$I86=""),"",IFERROR(($I86-$H86)/$H86,""))</f>
        <v/>
      </c>
      <c r="K86" s="8" t="n"/>
      <c r="L86" s="40">
        <f>IFERROR(IF(SUMPRODUCT(MAX((案件入力!$D$2:$D$85=$D86)*(案件入力!$R$2:$R$85="完了")*(案件入力!$B$2:$B$85)))=0,VLOOKUP($D86,商品マスタ範囲,6,FALSE),INDEX(案件入力!$M$2:$M$85,MATCH($D86&amp;"|"&amp;TEXT(SUMPRODUCT(MAX((案件入力!$D$2:$D$85=$D86)*(案件入力!$R$2:$R$85="完了")*(案件入力!$B$2:$B$85))),"0"),案件入力!$T$2:$T$85,0))),"")</f>
        <v/>
      </c>
      <c r="M86" s="40" t="n"/>
      <c r="N86" s="11">
        <f>IF(OR($L86="",$M86=""),"",IFERROR(($M86-$L86)/$L86,""))</f>
        <v/>
      </c>
      <c r="O86" s="8" t="n"/>
      <c r="P86" s="9" t="n"/>
      <c r="Q86" s="7" t="n"/>
      <c r="R86" s="7" t="n"/>
      <c r="S86" s="7" t="n"/>
      <c r="T86" s="7">
        <f>IF($R86="完了",$D86&amp;"|"&amp;TEXT($B86,"0"),"")</f>
        <v/>
      </c>
    </row>
    <row r="87">
      <c r="A87" s="7">
        <f>IF($B87="","",TEXT(YEAR($B87),"0000")&amp;"-"&amp;TEXT(SUMPRODUCT((YEAR($B$2:$B87)=YEAR($B87))*($B$2:$B87&lt;&gt;"")),"000"))</f>
        <v/>
      </c>
      <c r="B87" s="8" t="n"/>
      <c r="C87" s="7" t="n"/>
      <c r="D87" s="9" t="n"/>
      <c r="E87" s="7">
        <f>IFERROR(VLOOKUP($D87,商品マスタ範囲,4,FALSE),"")</f>
        <v/>
      </c>
      <c r="F87" s="7">
        <f>IFERROR(VLOOKUP($D87,商品マスタ範囲,2,FALSE),"")</f>
        <v/>
      </c>
      <c r="G87" s="7">
        <f>IFERROR(VLOOKUP($D87,商品マスタ範囲,3,FALSE),"")</f>
        <v/>
      </c>
      <c r="H87" s="40">
        <f>IFERROR(IF(SUMPRODUCT(MAX((案件入力!$D$2:$D$86=$D87)*(案件入力!$R$2:$R$86="完了")*(案件入力!$B$2:$B$86)))=0,VLOOKUP($D87,商品マスタ範囲,5,FALSE),INDEX(案件入力!$I$2:$I$86,MATCH($D87&amp;"|"&amp;TEXT(SUMPRODUCT(MAX((案件入力!$D$2:$D$86=$D87)*(案件入力!$R$2:$R$86="完了")*(案件入力!$B$2:$B$86))),"0"),案件入力!$T$2:$T$86,0))),"")</f>
        <v/>
      </c>
      <c r="I87" s="40" t="n"/>
      <c r="J87" s="11">
        <f>IF(OR($H87="",$I87=""),"",IFERROR(($I87-$H87)/$H87,""))</f>
        <v/>
      </c>
      <c r="K87" s="8" t="n"/>
      <c r="L87" s="40">
        <f>IFERROR(IF(SUMPRODUCT(MAX((案件入力!$D$2:$D$86=$D87)*(案件入力!$R$2:$R$86="完了")*(案件入力!$B$2:$B$86)))=0,VLOOKUP($D87,商品マスタ範囲,6,FALSE),INDEX(案件入力!$M$2:$M$86,MATCH($D87&amp;"|"&amp;TEXT(SUMPRODUCT(MAX((案件入力!$D$2:$D$86=$D87)*(案件入力!$R$2:$R$86="完了")*(案件入力!$B$2:$B$86))),"0"),案件入力!$T$2:$T$86,0))),"")</f>
        <v/>
      </c>
      <c r="M87" s="40" t="n"/>
      <c r="N87" s="11">
        <f>IF(OR($L87="",$M87=""),"",IFERROR(($M87-$L87)/$L87,""))</f>
        <v/>
      </c>
      <c r="O87" s="8" t="n"/>
      <c r="P87" s="9" t="n"/>
      <c r="Q87" s="7" t="n"/>
      <c r="R87" s="7" t="n"/>
      <c r="S87" s="7" t="n"/>
      <c r="T87" s="7">
        <f>IF($R87="完了",$D87&amp;"|"&amp;TEXT($B87,"0"),"")</f>
        <v/>
      </c>
    </row>
    <row r="88">
      <c r="A88" s="7">
        <f>IF($B88="","",TEXT(YEAR($B88),"0000")&amp;"-"&amp;TEXT(SUMPRODUCT((YEAR($B$2:$B88)=YEAR($B88))*($B$2:$B88&lt;&gt;"")),"000"))</f>
        <v/>
      </c>
      <c r="B88" s="8" t="n"/>
      <c r="C88" s="7" t="n"/>
      <c r="D88" s="9" t="n"/>
      <c r="E88" s="7">
        <f>IFERROR(VLOOKUP($D88,商品マスタ範囲,4,FALSE),"")</f>
        <v/>
      </c>
      <c r="F88" s="7">
        <f>IFERROR(VLOOKUP($D88,商品マスタ範囲,2,FALSE),"")</f>
        <v/>
      </c>
      <c r="G88" s="7">
        <f>IFERROR(VLOOKUP($D88,商品マスタ範囲,3,FALSE),"")</f>
        <v/>
      </c>
      <c r="H88" s="40">
        <f>IFERROR(IF(SUMPRODUCT(MAX((案件入力!$D$2:$D$87=$D88)*(案件入力!$R$2:$R$87="完了")*(案件入力!$B$2:$B$87)))=0,VLOOKUP($D88,商品マスタ範囲,5,FALSE),INDEX(案件入力!$I$2:$I$87,MATCH($D88&amp;"|"&amp;TEXT(SUMPRODUCT(MAX((案件入力!$D$2:$D$87=$D88)*(案件入力!$R$2:$R$87="完了")*(案件入力!$B$2:$B$87))),"0"),案件入力!$T$2:$T$87,0))),"")</f>
        <v/>
      </c>
      <c r="I88" s="40" t="n"/>
      <c r="J88" s="11">
        <f>IF(OR($H88="",$I88=""),"",IFERROR(($I88-$H88)/$H88,""))</f>
        <v/>
      </c>
      <c r="K88" s="8" t="n"/>
      <c r="L88" s="40">
        <f>IFERROR(IF(SUMPRODUCT(MAX((案件入力!$D$2:$D$87=$D88)*(案件入力!$R$2:$R$87="完了")*(案件入力!$B$2:$B$87)))=0,VLOOKUP($D88,商品マスタ範囲,6,FALSE),INDEX(案件入力!$M$2:$M$87,MATCH($D88&amp;"|"&amp;TEXT(SUMPRODUCT(MAX((案件入力!$D$2:$D$87=$D88)*(案件入力!$R$2:$R$87="完了")*(案件入力!$B$2:$B$87))),"0"),案件入力!$T$2:$T$87,0))),"")</f>
        <v/>
      </c>
      <c r="M88" s="40" t="n"/>
      <c r="N88" s="11">
        <f>IF(OR($L88="",$M88=""),"",IFERROR(($M88-$L88)/$L88,""))</f>
        <v/>
      </c>
      <c r="O88" s="8" t="n"/>
      <c r="P88" s="9" t="n"/>
      <c r="Q88" s="7" t="n"/>
      <c r="R88" s="7" t="n"/>
      <c r="S88" s="7" t="n"/>
      <c r="T88" s="7">
        <f>IF($R88="完了",$D88&amp;"|"&amp;TEXT($B88,"0"),"")</f>
        <v/>
      </c>
    </row>
    <row r="89">
      <c r="A89" s="7">
        <f>IF($B89="","",TEXT(YEAR($B89),"0000")&amp;"-"&amp;TEXT(SUMPRODUCT((YEAR($B$2:$B89)=YEAR($B89))*($B$2:$B89&lt;&gt;"")),"000"))</f>
        <v/>
      </c>
      <c r="B89" s="8" t="n"/>
      <c r="C89" s="7" t="n"/>
      <c r="D89" s="9" t="n"/>
      <c r="E89" s="7">
        <f>IFERROR(VLOOKUP($D89,商品マスタ範囲,4,FALSE),"")</f>
        <v/>
      </c>
      <c r="F89" s="7">
        <f>IFERROR(VLOOKUP($D89,商品マスタ範囲,2,FALSE),"")</f>
        <v/>
      </c>
      <c r="G89" s="7">
        <f>IFERROR(VLOOKUP($D89,商品マスタ範囲,3,FALSE),"")</f>
        <v/>
      </c>
      <c r="H89" s="40">
        <f>IFERROR(IF(SUMPRODUCT(MAX((案件入力!$D$2:$D$88=$D89)*(案件入力!$R$2:$R$88="完了")*(案件入力!$B$2:$B$88)))=0,VLOOKUP($D89,商品マスタ範囲,5,FALSE),INDEX(案件入力!$I$2:$I$88,MATCH($D89&amp;"|"&amp;TEXT(SUMPRODUCT(MAX((案件入力!$D$2:$D$88=$D89)*(案件入力!$R$2:$R$88="完了")*(案件入力!$B$2:$B$88))),"0"),案件入力!$T$2:$T$88,0))),"")</f>
        <v/>
      </c>
      <c r="I89" s="40" t="n"/>
      <c r="J89" s="11">
        <f>IF(OR($H89="",$I89=""),"",IFERROR(($I89-$H89)/$H89,""))</f>
        <v/>
      </c>
      <c r="K89" s="8" t="n"/>
      <c r="L89" s="40">
        <f>IFERROR(IF(SUMPRODUCT(MAX((案件入力!$D$2:$D$88=$D89)*(案件入力!$R$2:$R$88="完了")*(案件入力!$B$2:$B$88)))=0,VLOOKUP($D89,商品マスタ範囲,6,FALSE),INDEX(案件入力!$M$2:$M$88,MATCH($D89&amp;"|"&amp;TEXT(SUMPRODUCT(MAX((案件入力!$D$2:$D$88=$D89)*(案件入力!$R$2:$R$88="完了")*(案件入力!$B$2:$B$88))),"0"),案件入力!$T$2:$T$88,0))),"")</f>
        <v/>
      </c>
      <c r="M89" s="40" t="n"/>
      <c r="N89" s="11">
        <f>IF(OR($L89="",$M89=""),"",IFERROR(($M89-$L89)/$L89,""))</f>
        <v/>
      </c>
      <c r="O89" s="8" t="n"/>
      <c r="P89" s="9" t="n"/>
      <c r="Q89" s="7" t="n"/>
      <c r="R89" s="7" t="n"/>
      <c r="S89" s="7" t="n"/>
      <c r="T89" s="7">
        <f>IF($R89="完了",$D89&amp;"|"&amp;TEXT($B89,"0"),"")</f>
        <v/>
      </c>
    </row>
    <row r="90">
      <c r="A90" s="7">
        <f>IF($B90="","",TEXT(YEAR($B90),"0000")&amp;"-"&amp;TEXT(SUMPRODUCT((YEAR($B$2:$B90)=YEAR($B90))*($B$2:$B90&lt;&gt;"")),"000"))</f>
        <v/>
      </c>
      <c r="B90" s="8" t="n"/>
      <c r="C90" s="7" t="n"/>
      <c r="D90" s="9" t="n"/>
      <c r="E90" s="7">
        <f>IFERROR(VLOOKUP($D90,商品マスタ範囲,4,FALSE),"")</f>
        <v/>
      </c>
      <c r="F90" s="7">
        <f>IFERROR(VLOOKUP($D90,商品マスタ範囲,2,FALSE),"")</f>
        <v/>
      </c>
      <c r="G90" s="7">
        <f>IFERROR(VLOOKUP($D90,商品マスタ範囲,3,FALSE),"")</f>
        <v/>
      </c>
      <c r="H90" s="40">
        <f>IFERROR(IF(SUMPRODUCT(MAX((案件入力!$D$2:$D$89=$D90)*(案件入力!$R$2:$R$89="完了")*(案件入力!$B$2:$B$89)))=0,VLOOKUP($D90,商品マスタ範囲,5,FALSE),INDEX(案件入力!$I$2:$I$89,MATCH($D90&amp;"|"&amp;TEXT(SUMPRODUCT(MAX((案件入力!$D$2:$D$89=$D90)*(案件入力!$R$2:$R$89="完了")*(案件入力!$B$2:$B$89))),"0"),案件入力!$T$2:$T$89,0))),"")</f>
        <v/>
      </c>
      <c r="I90" s="40" t="n"/>
      <c r="J90" s="11">
        <f>IF(OR($H90="",$I90=""),"",IFERROR(($I90-$H90)/$H90,""))</f>
        <v/>
      </c>
      <c r="K90" s="8" t="n"/>
      <c r="L90" s="40">
        <f>IFERROR(IF(SUMPRODUCT(MAX((案件入力!$D$2:$D$89=$D90)*(案件入力!$R$2:$R$89="完了")*(案件入力!$B$2:$B$89)))=0,VLOOKUP($D90,商品マスタ範囲,6,FALSE),INDEX(案件入力!$M$2:$M$89,MATCH($D90&amp;"|"&amp;TEXT(SUMPRODUCT(MAX((案件入力!$D$2:$D$89=$D90)*(案件入力!$R$2:$R$89="完了")*(案件入力!$B$2:$B$89))),"0"),案件入力!$T$2:$T$89,0))),"")</f>
        <v/>
      </c>
      <c r="M90" s="40" t="n"/>
      <c r="N90" s="11">
        <f>IF(OR($L90="",$M90=""),"",IFERROR(($M90-$L90)/$L90,""))</f>
        <v/>
      </c>
      <c r="O90" s="8" t="n"/>
      <c r="P90" s="9" t="n"/>
      <c r="Q90" s="7" t="n"/>
      <c r="R90" s="7" t="n"/>
      <c r="S90" s="7" t="n"/>
      <c r="T90" s="7">
        <f>IF($R90="完了",$D90&amp;"|"&amp;TEXT($B90,"0"),"")</f>
        <v/>
      </c>
    </row>
    <row r="91">
      <c r="A91" s="7">
        <f>IF($B91="","",TEXT(YEAR($B91),"0000")&amp;"-"&amp;TEXT(SUMPRODUCT((YEAR($B$2:$B91)=YEAR($B91))*($B$2:$B91&lt;&gt;"")),"000"))</f>
        <v/>
      </c>
      <c r="B91" s="8" t="n"/>
      <c r="C91" s="7" t="n"/>
      <c r="D91" s="9" t="n"/>
      <c r="E91" s="7">
        <f>IFERROR(VLOOKUP($D91,商品マスタ範囲,4,FALSE),"")</f>
        <v/>
      </c>
      <c r="F91" s="7">
        <f>IFERROR(VLOOKUP($D91,商品マスタ範囲,2,FALSE),"")</f>
        <v/>
      </c>
      <c r="G91" s="7">
        <f>IFERROR(VLOOKUP($D91,商品マスタ範囲,3,FALSE),"")</f>
        <v/>
      </c>
      <c r="H91" s="40">
        <f>IFERROR(IF(SUMPRODUCT(MAX((案件入力!$D$2:$D$90=$D91)*(案件入力!$R$2:$R$90="完了")*(案件入力!$B$2:$B$90)))=0,VLOOKUP($D91,商品マスタ範囲,5,FALSE),INDEX(案件入力!$I$2:$I$90,MATCH($D91&amp;"|"&amp;TEXT(SUMPRODUCT(MAX((案件入力!$D$2:$D$90=$D91)*(案件入力!$R$2:$R$90="完了")*(案件入力!$B$2:$B$90))),"0"),案件入力!$T$2:$T$90,0))),"")</f>
        <v/>
      </c>
      <c r="I91" s="40" t="n"/>
      <c r="J91" s="11">
        <f>IF(OR($H91="",$I91=""),"",IFERROR(($I91-$H91)/$H91,""))</f>
        <v/>
      </c>
      <c r="K91" s="8" t="n"/>
      <c r="L91" s="40">
        <f>IFERROR(IF(SUMPRODUCT(MAX((案件入力!$D$2:$D$90=$D91)*(案件入力!$R$2:$R$90="完了")*(案件入力!$B$2:$B$90)))=0,VLOOKUP($D91,商品マスタ範囲,6,FALSE),INDEX(案件入力!$M$2:$M$90,MATCH($D91&amp;"|"&amp;TEXT(SUMPRODUCT(MAX((案件入力!$D$2:$D$90=$D91)*(案件入力!$R$2:$R$90="完了")*(案件入力!$B$2:$B$90))),"0"),案件入力!$T$2:$T$90,0))),"")</f>
        <v/>
      </c>
      <c r="M91" s="40" t="n"/>
      <c r="N91" s="11">
        <f>IF(OR($L91="",$M91=""),"",IFERROR(($M91-$L91)/$L91,""))</f>
        <v/>
      </c>
      <c r="O91" s="8" t="n"/>
      <c r="P91" s="9" t="n"/>
      <c r="Q91" s="7" t="n"/>
      <c r="R91" s="7" t="n"/>
      <c r="S91" s="7" t="n"/>
      <c r="T91" s="7">
        <f>IF($R91="完了",$D91&amp;"|"&amp;TEXT($B91,"0"),"")</f>
        <v/>
      </c>
    </row>
    <row r="92">
      <c r="A92" s="7">
        <f>IF($B92="","",TEXT(YEAR($B92),"0000")&amp;"-"&amp;TEXT(SUMPRODUCT((YEAR($B$2:$B92)=YEAR($B92))*($B$2:$B92&lt;&gt;"")),"000"))</f>
        <v/>
      </c>
      <c r="B92" s="8" t="n"/>
      <c r="C92" s="7" t="n"/>
      <c r="D92" s="9" t="n"/>
      <c r="E92" s="7">
        <f>IFERROR(VLOOKUP($D92,商品マスタ範囲,4,FALSE),"")</f>
        <v/>
      </c>
      <c r="F92" s="7">
        <f>IFERROR(VLOOKUP($D92,商品マスタ範囲,2,FALSE),"")</f>
        <v/>
      </c>
      <c r="G92" s="7">
        <f>IFERROR(VLOOKUP($D92,商品マスタ範囲,3,FALSE),"")</f>
        <v/>
      </c>
      <c r="H92" s="40">
        <f>IFERROR(IF(SUMPRODUCT(MAX((案件入力!$D$2:$D$91=$D92)*(案件入力!$R$2:$R$91="完了")*(案件入力!$B$2:$B$91)))=0,VLOOKUP($D92,商品マスタ範囲,5,FALSE),INDEX(案件入力!$I$2:$I$91,MATCH($D92&amp;"|"&amp;TEXT(SUMPRODUCT(MAX((案件入力!$D$2:$D$91=$D92)*(案件入力!$R$2:$R$91="完了")*(案件入力!$B$2:$B$91))),"0"),案件入力!$T$2:$T$91,0))),"")</f>
        <v/>
      </c>
      <c r="I92" s="40" t="n"/>
      <c r="J92" s="11">
        <f>IF(OR($H92="",$I92=""),"",IFERROR(($I92-$H92)/$H92,""))</f>
        <v/>
      </c>
      <c r="K92" s="8" t="n"/>
      <c r="L92" s="40">
        <f>IFERROR(IF(SUMPRODUCT(MAX((案件入力!$D$2:$D$91=$D92)*(案件入力!$R$2:$R$91="完了")*(案件入力!$B$2:$B$91)))=0,VLOOKUP($D92,商品マスタ範囲,6,FALSE),INDEX(案件入力!$M$2:$M$91,MATCH($D92&amp;"|"&amp;TEXT(SUMPRODUCT(MAX((案件入力!$D$2:$D$91=$D92)*(案件入力!$R$2:$R$91="完了")*(案件入力!$B$2:$B$91))),"0"),案件入力!$T$2:$T$91,0))),"")</f>
        <v/>
      </c>
      <c r="M92" s="40" t="n"/>
      <c r="N92" s="11">
        <f>IF(OR($L92="",$M92=""),"",IFERROR(($M92-$L92)/$L92,""))</f>
        <v/>
      </c>
      <c r="O92" s="8" t="n"/>
      <c r="P92" s="9" t="n"/>
      <c r="Q92" s="7" t="n"/>
      <c r="R92" s="7" t="n"/>
      <c r="S92" s="7" t="n"/>
      <c r="T92" s="7">
        <f>IF($R92="完了",$D92&amp;"|"&amp;TEXT($B92,"0"),"")</f>
        <v/>
      </c>
    </row>
    <row r="93">
      <c r="A93" s="7">
        <f>IF($B93="","",TEXT(YEAR($B93),"0000")&amp;"-"&amp;TEXT(SUMPRODUCT((YEAR($B$2:$B93)=YEAR($B93))*($B$2:$B93&lt;&gt;"")),"000"))</f>
        <v/>
      </c>
      <c r="B93" s="8" t="n"/>
      <c r="C93" s="7" t="n"/>
      <c r="D93" s="9" t="n"/>
      <c r="E93" s="7">
        <f>IFERROR(VLOOKUP($D93,商品マスタ範囲,4,FALSE),"")</f>
        <v/>
      </c>
      <c r="F93" s="7">
        <f>IFERROR(VLOOKUP($D93,商品マスタ範囲,2,FALSE),"")</f>
        <v/>
      </c>
      <c r="G93" s="7">
        <f>IFERROR(VLOOKUP($D93,商品マスタ範囲,3,FALSE),"")</f>
        <v/>
      </c>
      <c r="H93" s="40">
        <f>IFERROR(IF(SUMPRODUCT(MAX((案件入力!$D$2:$D$92=$D93)*(案件入力!$R$2:$R$92="完了")*(案件入力!$B$2:$B$92)))=0,VLOOKUP($D93,商品マスタ範囲,5,FALSE),INDEX(案件入力!$I$2:$I$92,MATCH($D93&amp;"|"&amp;TEXT(SUMPRODUCT(MAX((案件入力!$D$2:$D$92=$D93)*(案件入力!$R$2:$R$92="完了")*(案件入力!$B$2:$B$92))),"0"),案件入力!$T$2:$T$92,0))),"")</f>
        <v/>
      </c>
      <c r="I93" s="40" t="n"/>
      <c r="J93" s="11">
        <f>IF(OR($H93="",$I93=""),"",IFERROR(($I93-$H93)/$H93,""))</f>
        <v/>
      </c>
      <c r="K93" s="8" t="n"/>
      <c r="L93" s="40">
        <f>IFERROR(IF(SUMPRODUCT(MAX((案件入力!$D$2:$D$92=$D93)*(案件入力!$R$2:$R$92="完了")*(案件入力!$B$2:$B$92)))=0,VLOOKUP($D93,商品マスタ範囲,6,FALSE),INDEX(案件入力!$M$2:$M$92,MATCH($D93&amp;"|"&amp;TEXT(SUMPRODUCT(MAX((案件入力!$D$2:$D$92=$D93)*(案件入力!$R$2:$R$92="完了")*(案件入力!$B$2:$B$92))),"0"),案件入力!$T$2:$T$92,0))),"")</f>
        <v/>
      </c>
      <c r="M93" s="40" t="n"/>
      <c r="N93" s="11">
        <f>IF(OR($L93="",$M93=""),"",IFERROR(($M93-$L93)/$L93,""))</f>
        <v/>
      </c>
      <c r="O93" s="8" t="n"/>
      <c r="P93" s="9" t="n"/>
      <c r="Q93" s="7" t="n"/>
      <c r="R93" s="7" t="n"/>
      <c r="S93" s="7" t="n"/>
      <c r="T93" s="7">
        <f>IF($R93="完了",$D93&amp;"|"&amp;TEXT($B93,"0"),"")</f>
        <v/>
      </c>
    </row>
    <row r="94">
      <c r="A94" s="7">
        <f>IF($B94="","",TEXT(YEAR($B94),"0000")&amp;"-"&amp;TEXT(SUMPRODUCT((YEAR($B$2:$B94)=YEAR($B94))*($B$2:$B94&lt;&gt;"")),"000"))</f>
        <v/>
      </c>
      <c r="B94" s="8" t="n"/>
      <c r="C94" s="7" t="n"/>
      <c r="D94" s="9" t="n"/>
      <c r="E94" s="7">
        <f>IFERROR(VLOOKUP($D94,商品マスタ範囲,4,FALSE),"")</f>
        <v/>
      </c>
      <c r="F94" s="7">
        <f>IFERROR(VLOOKUP($D94,商品マスタ範囲,2,FALSE),"")</f>
        <v/>
      </c>
      <c r="G94" s="7">
        <f>IFERROR(VLOOKUP($D94,商品マスタ範囲,3,FALSE),"")</f>
        <v/>
      </c>
      <c r="H94" s="40">
        <f>IFERROR(IF(SUMPRODUCT(MAX((案件入力!$D$2:$D$93=$D94)*(案件入力!$R$2:$R$93="完了")*(案件入力!$B$2:$B$93)))=0,VLOOKUP($D94,商品マスタ範囲,5,FALSE),INDEX(案件入力!$I$2:$I$93,MATCH($D94&amp;"|"&amp;TEXT(SUMPRODUCT(MAX((案件入力!$D$2:$D$93=$D94)*(案件入力!$R$2:$R$93="完了")*(案件入力!$B$2:$B$93))),"0"),案件入力!$T$2:$T$93,0))),"")</f>
        <v/>
      </c>
      <c r="I94" s="40" t="n"/>
      <c r="J94" s="11">
        <f>IF(OR($H94="",$I94=""),"",IFERROR(($I94-$H94)/$H94,""))</f>
        <v/>
      </c>
      <c r="K94" s="8" t="n"/>
      <c r="L94" s="40">
        <f>IFERROR(IF(SUMPRODUCT(MAX((案件入力!$D$2:$D$93=$D94)*(案件入力!$R$2:$R$93="完了")*(案件入力!$B$2:$B$93)))=0,VLOOKUP($D94,商品マスタ範囲,6,FALSE),INDEX(案件入力!$M$2:$M$93,MATCH($D94&amp;"|"&amp;TEXT(SUMPRODUCT(MAX((案件入力!$D$2:$D$93=$D94)*(案件入力!$R$2:$R$93="完了")*(案件入力!$B$2:$B$93))),"0"),案件入力!$T$2:$T$93,0))),"")</f>
        <v/>
      </c>
      <c r="M94" s="40" t="n"/>
      <c r="N94" s="11">
        <f>IF(OR($L94="",$M94=""),"",IFERROR(($M94-$L94)/$L94,""))</f>
        <v/>
      </c>
      <c r="O94" s="8" t="n"/>
      <c r="P94" s="9" t="n"/>
      <c r="Q94" s="7" t="n"/>
      <c r="R94" s="7" t="n"/>
      <c r="S94" s="7" t="n"/>
      <c r="T94" s="7">
        <f>IF($R94="完了",$D94&amp;"|"&amp;TEXT($B94,"0"),"")</f>
        <v/>
      </c>
    </row>
    <row r="95">
      <c r="A95" s="7">
        <f>IF($B95="","",TEXT(YEAR($B95),"0000")&amp;"-"&amp;TEXT(SUMPRODUCT((YEAR($B$2:$B95)=YEAR($B95))*($B$2:$B95&lt;&gt;"")),"000"))</f>
        <v/>
      </c>
      <c r="B95" s="8" t="n"/>
      <c r="C95" s="7" t="n"/>
      <c r="D95" s="9" t="n"/>
      <c r="E95" s="7">
        <f>IFERROR(VLOOKUP($D95,商品マスタ範囲,4,FALSE),"")</f>
        <v/>
      </c>
      <c r="F95" s="7">
        <f>IFERROR(VLOOKUP($D95,商品マスタ範囲,2,FALSE),"")</f>
        <v/>
      </c>
      <c r="G95" s="7">
        <f>IFERROR(VLOOKUP($D95,商品マスタ範囲,3,FALSE),"")</f>
        <v/>
      </c>
      <c r="H95" s="40">
        <f>IFERROR(IF(SUMPRODUCT(MAX((案件入力!$D$2:$D$94=$D95)*(案件入力!$R$2:$R$94="完了")*(案件入力!$B$2:$B$94)))=0,VLOOKUP($D95,商品マスタ範囲,5,FALSE),INDEX(案件入力!$I$2:$I$94,MATCH($D95&amp;"|"&amp;TEXT(SUMPRODUCT(MAX((案件入力!$D$2:$D$94=$D95)*(案件入力!$R$2:$R$94="完了")*(案件入力!$B$2:$B$94))),"0"),案件入力!$T$2:$T$94,0))),"")</f>
        <v/>
      </c>
      <c r="I95" s="40" t="n"/>
      <c r="J95" s="11">
        <f>IF(OR($H95="",$I95=""),"",IFERROR(($I95-$H95)/$H95,""))</f>
        <v/>
      </c>
      <c r="K95" s="8" t="n"/>
      <c r="L95" s="40">
        <f>IFERROR(IF(SUMPRODUCT(MAX((案件入力!$D$2:$D$94=$D95)*(案件入力!$R$2:$R$94="完了")*(案件入力!$B$2:$B$94)))=0,VLOOKUP($D95,商品マスタ範囲,6,FALSE),INDEX(案件入力!$M$2:$M$94,MATCH($D95&amp;"|"&amp;TEXT(SUMPRODUCT(MAX((案件入力!$D$2:$D$94=$D95)*(案件入力!$R$2:$R$94="完了")*(案件入力!$B$2:$B$94))),"0"),案件入力!$T$2:$T$94,0))),"")</f>
        <v/>
      </c>
      <c r="M95" s="40" t="n"/>
      <c r="N95" s="11">
        <f>IF(OR($L95="",$M95=""),"",IFERROR(($M95-$L95)/$L95,""))</f>
        <v/>
      </c>
      <c r="O95" s="8" t="n"/>
      <c r="P95" s="9" t="n"/>
      <c r="Q95" s="7" t="n"/>
      <c r="R95" s="7" t="n"/>
      <c r="S95" s="7" t="n"/>
      <c r="T95" s="7">
        <f>IF($R95="完了",$D95&amp;"|"&amp;TEXT($B95,"0"),"")</f>
        <v/>
      </c>
    </row>
    <row r="96">
      <c r="A96" s="7">
        <f>IF($B96="","",TEXT(YEAR($B96),"0000")&amp;"-"&amp;TEXT(SUMPRODUCT((YEAR($B$2:$B96)=YEAR($B96))*($B$2:$B96&lt;&gt;"")),"000"))</f>
        <v/>
      </c>
      <c r="B96" s="8" t="n"/>
      <c r="C96" s="7" t="n"/>
      <c r="D96" s="9" t="n"/>
      <c r="E96" s="7">
        <f>IFERROR(VLOOKUP($D96,商品マスタ範囲,4,FALSE),"")</f>
        <v/>
      </c>
      <c r="F96" s="7">
        <f>IFERROR(VLOOKUP($D96,商品マスタ範囲,2,FALSE),"")</f>
        <v/>
      </c>
      <c r="G96" s="7">
        <f>IFERROR(VLOOKUP($D96,商品マスタ範囲,3,FALSE),"")</f>
        <v/>
      </c>
      <c r="H96" s="40">
        <f>IFERROR(IF(SUMPRODUCT(MAX((案件入力!$D$2:$D$95=$D96)*(案件入力!$R$2:$R$95="完了")*(案件入力!$B$2:$B$95)))=0,VLOOKUP($D96,商品マスタ範囲,5,FALSE),INDEX(案件入力!$I$2:$I$95,MATCH($D96&amp;"|"&amp;TEXT(SUMPRODUCT(MAX((案件入力!$D$2:$D$95=$D96)*(案件入力!$R$2:$R$95="完了")*(案件入力!$B$2:$B$95))),"0"),案件入力!$T$2:$T$95,0))),"")</f>
        <v/>
      </c>
      <c r="I96" s="40" t="n"/>
      <c r="J96" s="11">
        <f>IF(OR($H96="",$I96=""),"",IFERROR(($I96-$H96)/$H96,""))</f>
        <v/>
      </c>
      <c r="K96" s="8" t="n"/>
      <c r="L96" s="40">
        <f>IFERROR(IF(SUMPRODUCT(MAX((案件入力!$D$2:$D$95=$D96)*(案件入力!$R$2:$R$95="完了")*(案件入力!$B$2:$B$95)))=0,VLOOKUP($D96,商品マスタ範囲,6,FALSE),INDEX(案件入力!$M$2:$M$95,MATCH($D96&amp;"|"&amp;TEXT(SUMPRODUCT(MAX((案件入力!$D$2:$D$95=$D96)*(案件入力!$R$2:$R$95="完了")*(案件入力!$B$2:$B$95))),"0"),案件入力!$T$2:$T$95,0))),"")</f>
        <v/>
      </c>
      <c r="M96" s="40" t="n"/>
      <c r="N96" s="11">
        <f>IF(OR($L96="",$M96=""),"",IFERROR(($M96-$L96)/$L96,""))</f>
        <v/>
      </c>
      <c r="O96" s="8" t="n"/>
      <c r="P96" s="9" t="n"/>
      <c r="Q96" s="7" t="n"/>
      <c r="R96" s="7" t="n"/>
      <c r="S96" s="7" t="n"/>
      <c r="T96" s="7">
        <f>IF($R96="完了",$D96&amp;"|"&amp;TEXT($B96,"0"),"")</f>
        <v/>
      </c>
    </row>
    <row r="97">
      <c r="A97" s="7">
        <f>IF($B97="","",TEXT(YEAR($B97),"0000")&amp;"-"&amp;TEXT(SUMPRODUCT((YEAR($B$2:$B97)=YEAR($B97))*($B$2:$B97&lt;&gt;"")),"000"))</f>
        <v/>
      </c>
      <c r="B97" s="8" t="n"/>
      <c r="C97" s="7" t="n"/>
      <c r="D97" s="9" t="n"/>
      <c r="E97" s="7">
        <f>IFERROR(VLOOKUP($D97,商品マスタ範囲,4,FALSE),"")</f>
        <v/>
      </c>
      <c r="F97" s="7">
        <f>IFERROR(VLOOKUP($D97,商品マスタ範囲,2,FALSE),"")</f>
        <v/>
      </c>
      <c r="G97" s="7">
        <f>IFERROR(VLOOKUP($D97,商品マスタ範囲,3,FALSE),"")</f>
        <v/>
      </c>
      <c r="H97" s="40">
        <f>IFERROR(IF(SUMPRODUCT(MAX((案件入力!$D$2:$D$96=$D97)*(案件入力!$R$2:$R$96="完了")*(案件入力!$B$2:$B$96)))=0,VLOOKUP($D97,商品マスタ範囲,5,FALSE),INDEX(案件入力!$I$2:$I$96,MATCH($D97&amp;"|"&amp;TEXT(SUMPRODUCT(MAX((案件入力!$D$2:$D$96=$D97)*(案件入力!$R$2:$R$96="完了")*(案件入力!$B$2:$B$96))),"0"),案件入力!$T$2:$T$96,0))),"")</f>
        <v/>
      </c>
      <c r="I97" s="40" t="n"/>
      <c r="J97" s="11">
        <f>IF(OR($H97="",$I97=""),"",IFERROR(($I97-$H97)/$H97,""))</f>
        <v/>
      </c>
      <c r="K97" s="8" t="n"/>
      <c r="L97" s="40">
        <f>IFERROR(IF(SUMPRODUCT(MAX((案件入力!$D$2:$D$96=$D97)*(案件入力!$R$2:$R$96="完了")*(案件入力!$B$2:$B$96)))=0,VLOOKUP($D97,商品マスタ範囲,6,FALSE),INDEX(案件入力!$M$2:$M$96,MATCH($D97&amp;"|"&amp;TEXT(SUMPRODUCT(MAX((案件入力!$D$2:$D$96=$D97)*(案件入力!$R$2:$R$96="完了")*(案件入力!$B$2:$B$96))),"0"),案件入力!$T$2:$T$96,0))),"")</f>
        <v/>
      </c>
      <c r="M97" s="40" t="n"/>
      <c r="N97" s="11">
        <f>IF(OR($L97="",$M97=""),"",IFERROR(($M97-$L97)/$L97,""))</f>
        <v/>
      </c>
      <c r="O97" s="8" t="n"/>
      <c r="P97" s="9" t="n"/>
      <c r="Q97" s="7" t="n"/>
      <c r="R97" s="7" t="n"/>
      <c r="S97" s="7" t="n"/>
      <c r="T97" s="7">
        <f>IF($R97="完了",$D97&amp;"|"&amp;TEXT($B97,"0"),"")</f>
        <v/>
      </c>
    </row>
    <row r="98">
      <c r="A98" s="7">
        <f>IF($B98="","",TEXT(YEAR($B98),"0000")&amp;"-"&amp;TEXT(SUMPRODUCT((YEAR($B$2:$B98)=YEAR($B98))*($B$2:$B98&lt;&gt;"")),"000"))</f>
        <v/>
      </c>
      <c r="B98" s="8" t="n"/>
      <c r="C98" s="7" t="n"/>
      <c r="D98" s="9" t="n"/>
      <c r="E98" s="7">
        <f>IFERROR(VLOOKUP($D98,商品マスタ範囲,4,FALSE),"")</f>
        <v/>
      </c>
      <c r="F98" s="7">
        <f>IFERROR(VLOOKUP($D98,商品マスタ範囲,2,FALSE),"")</f>
        <v/>
      </c>
      <c r="G98" s="7">
        <f>IFERROR(VLOOKUP($D98,商品マスタ範囲,3,FALSE),"")</f>
        <v/>
      </c>
      <c r="H98" s="40">
        <f>IFERROR(IF(SUMPRODUCT(MAX((案件入力!$D$2:$D$97=$D98)*(案件入力!$R$2:$R$97="完了")*(案件入力!$B$2:$B$97)))=0,VLOOKUP($D98,商品マスタ範囲,5,FALSE),INDEX(案件入力!$I$2:$I$97,MATCH($D98&amp;"|"&amp;TEXT(SUMPRODUCT(MAX((案件入力!$D$2:$D$97=$D98)*(案件入力!$R$2:$R$97="完了")*(案件入力!$B$2:$B$97))),"0"),案件入力!$T$2:$T$97,0))),"")</f>
        <v/>
      </c>
      <c r="I98" s="40" t="n"/>
      <c r="J98" s="11">
        <f>IF(OR($H98="",$I98=""),"",IFERROR(($I98-$H98)/$H98,""))</f>
        <v/>
      </c>
      <c r="K98" s="8" t="n"/>
      <c r="L98" s="40">
        <f>IFERROR(IF(SUMPRODUCT(MAX((案件入力!$D$2:$D$97=$D98)*(案件入力!$R$2:$R$97="完了")*(案件入力!$B$2:$B$97)))=0,VLOOKUP($D98,商品マスタ範囲,6,FALSE),INDEX(案件入力!$M$2:$M$97,MATCH($D98&amp;"|"&amp;TEXT(SUMPRODUCT(MAX((案件入力!$D$2:$D$97=$D98)*(案件入力!$R$2:$R$97="完了")*(案件入力!$B$2:$B$97))),"0"),案件入力!$T$2:$T$97,0))),"")</f>
        <v/>
      </c>
      <c r="M98" s="40" t="n"/>
      <c r="N98" s="11">
        <f>IF(OR($L98="",$M98=""),"",IFERROR(($M98-$L98)/$L98,""))</f>
        <v/>
      </c>
      <c r="O98" s="8" t="n"/>
      <c r="P98" s="9" t="n"/>
      <c r="Q98" s="7" t="n"/>
      <c r="R98" s="7" t="n"/>
      <c r="S98" s="7" t="n"/>
      <c r="T98" s="7">
        <f>IF($R98="完了",$D98&amp;"|"&amp;TEXT($B98,"0"),"")</f>
        <v/>
      </c>
    </row>
    <row r="99">
      <c r="A99" s="7">
        <f>IF($B99="","",TEXT(YEAR($B99),"0000")&amp;"-"&amp;TEXT(SUMPRODUCT((YEAR($B$2:$B99)=YEAR($B99))*($B$2:$B99&lt;&gt;"")),"000"))</f>
        <v/>
      </c>
      <c r="B99" s="8" t="n"/>
      <c r="C99" s="7" t="n"/>
      <c r="D99" s="9" t="n"/>
      <c r="E99" s="7">
        <f>IFERROR(VLOOKUP($D99,商品マスタ範囲,4,FALSE),"")</f>
        <v/>
      </c>
      <c r="F99" s="7">
        <f>IFERROR(VLOOKUP($D99,商品マスタ範囲,2,FALSE),"")</f>
        <v/>
      </c>
      <c r="G99" s="7">
        <f>IFERROR(VLOOKUP($D99,商品マスタ範囲,3,FALSE),"")</f>
        <v/>
      </c>
      <c r="H99" s="40">
        <f>IFERROR(IF(SUMPRODUCT(MAX((案件入力!$D$2:$D$98=$D99)*(案件入力!$R$2:$R$98="完了")*(案件入力!$B$2:$B$98)))=0,VLOOKUP($D99,商品マスタ範囲,5,FALSE),INDEX(案件入力!$I$2:$I$98,MATCH($D99&amp;"|"&amp;TEXT(SUMPRODUCT(MAX((案件入力!$D$2:$D$98=$D99)*(案件入力!$R$2:$R$98="完了")*(案件入力!$B$2:$B$98))),"0"),案件入力!$T$2:$T$98,0))),"")</f>
        <v/>
      </c>
      <c r="I99" s="40" t="n"/>
      <c r="J99" s="11">
        <f>IF(OR($H99="",$I99=""),"",IFERROR(($I99-$H99)/$H99,""))</f>
        <v/>
      </c>
      <c r="K99" s="8" t="n"/>
      <c r="L99" s="40">
        <f>IFERROR(IF(SUMPRODUCT(MAX((案件入力!$D$2:$D$98=$D99)*(案件入力!$R$2:$R$98="完了")*(案件入力!$B$2:$B$98)))=0,VLOOKUP($D99,商品マスタ範囲,6,FALSE),INDEX(案件入力!$M$2:$M$98,MATCH($D99&amp;"|"&amp;TEXT(SUMPRODUCT(MAX((案件入力!$D$2:$D$98=$D99)*(案件入力!$R$2:$R$98="完了")*(案件入力!$B$2:$B$98))),"0"),案件入力!$T$2:$T$98,0))),"")</f>
        <v/>
      </c>
      <c r="M99" s="40" t="n"/>
      <c r="N99" s="11">
        <f>IF(OR($L99="",$M99=""),"",IFERROR(($M99-$L99)/$L99,""))</f>
        <v/>
      </c>
      <c r="O99" s="8" t="n"/>
      <c r="P99" s="9" t="n"/>
      <c r="Q99" s="7" t="n"/>
      <c r="R99" s="7" t="n"/>
      <c r="S99" s="7" t="n"/>
      <c r="T99" s="7">
        <f>IF($R99="完了",$D99&amp;"|"&amp;TEXT($B99,"0"),"")</f>
        <v/>
      </c>
    </row>
    <row r="100">
      <c r="A100" s="7">
        <f>IF($B100="","",TEXT(YEAR($B100),"0000")&amp;"-"&amp;TEXT(SUMPRODUCT((YEAR($B$2:$B100)=YEAR($B100))*($B$2:$B100&lt;&gt;"")),"000"))</f>
        <v/>
      </c>
      <c r="B100" s="8" t="n"/>
      <c r="C100" s="7" t="n"/>
      <c r="D100" s="9" t="n"/>
      <c r="E100" s="7">
        <f>IFERROR(VLOOKUP($D100,商品マスタ範囲,4,FALSE),"")</f>
        <v/>
      </c>
      <c r="F100" s="7">
        <f>IFERROR(VLOOKUP($D100,商品マスタ範囲,2,FALSE),"")</f>
        <v/>
      </c>
      <c r="G100" s="7">
        <f>IFERROR(VLOOKUP($D100,商品マスタ範囲,3,FALSE),"")</f>
        <v/>
      </c>
      <c r="H100" s="40">
        <f>IFERROR(IF(SUMPRODUCT(MAX((案件入力!$D$2:$D$99=$D100)*(案件入力!$R$2:$R$99="完了")*(案件入力!$B$2:$B$99)))=0,VLOOKUP($D100,商品マスタ範囲,5,FALSE),INDEX(案件入力!$I$2:$I$99,MATCH($D100&amp;"|"&amp;TEXT(SUMPRODUCT(MAX((案件入力!$D$2:$D$99=$D100)*(案件入力!$R$2:$R$99="完了")*(案件入力!$B$2:$B$99))),"0"),案件入力!$T$2:$T$99,0))),"")</f>
        <v/>
      </c>
      <c r="I100" s="40" t="n"/>
      <c r="J100" s="11">
        <f>IF(OR($H100="",$I100=""),"",IFERROR(($I100-$H100)/$H100,""))</f>
        <v/>
      </c>
      <c r="K100" s="8" t="n"/>
      <c r="L100" s="40">
        <f>IFERROR(IF(SUMPRODUCT(MAX((案件入力!$D$2:$D$99=$D100)*(案件入力!$R$2:$R$99="完了")*(案件入力!$B$2:$B$99)))=0,VLOOKUP($D100,商品マスタ範囲,6,FALSE),INDEX(案件入力!$M$2:$M$99,MATCH($D100&amp;"|"&amp;TEXT(SUMPRODUCT(MAX((案件入力!$D$2:$D$99=$D100)*(案件入力!$R$2:$R$99="完了")*(案件入力!$B$2:$B$99))),"0"),案件入力!$T$2:$T$99,0))),"")</f>
        <v/>
      </c>
      <c r="M100" s="40" t="n"/>
      <c r="N100" s="11">
        <f>IF(OR($L100="",$M100=""),"",IFERROR(($M100-$L100)/$L100,""))</f>
        <v/>
      </c>
      <c r="O100" s="8" t="n"/>
      <c r="P100" s="9" t="n"/>
      <c r="Q100" s="7" t="n"/>
      <c r="R100" s="7" t="n"/>
      <c r="S100" s="7" t="n"/>
      <c r="T100" s="7">
        <f>IF($R100="完了",$D100&amp;"|"&amp;TEXT($B100,"0"),"")</f>
        <v/>
      </c>
    </row>
    <row r="101">
      <c r="A101" s="7">
        <f>IF($B101="","",TEXT(YEAR($B101),"0000")&amp;"-"&amp;TEXT(SUMPRODUCT((YEAR($B$2:$B101)=YEAR($B101))*($B$2:$B101&lt;&gt;"")),"000"))</f>
        <v/>
      </c>
      <c r="B101" s="8" t="n"/>
      <c r="C101" s="7" t="n"/>
      <c r="D101" s="9" t="n"/>
      <c r="E101" s="7">
        <f>IFERROR(VLOOKUP($D101,商品マスタ範囲,4,FALSE),"")</f>
        <v/>
      </c>
      <c r="F101" s="7">
        <f>IFERROR(VLOOKUP($D101,商品マスタ範囲,2,FALSE),"")</f>
        <v/>
      </c>
      <c r="G101" s="7">
        <f>IFERROR(VLOOKUP($D101,商品マスタ範囲,3,FALSE),"")</f>
        <v/>
      </c>
      <c r="H101" s="40">
        <f>IFERROR(IF(SUMPRODUCT(MAX((案件入力!$D$2:$D$100=$D101)*(案件入力!$R$2:$R$100="完了")*(案件入力!$B$2:$B$100)))=0,VLOOKUP($D101,商品マスタ範囲,5,FALSE),INDEX(案件入力!$I$2:$I$100,MATCH($D101&amp;"|"&amp;TEXT(SUMPRODUCT(MAX((案件入力!$D$2:$D$100=$D101)*(案件入力!$R$2:$R$100="完了")*(案件入力!$B$2:$B$100))),"0"),案件入力!$T$2:$T$100,0))),"")</f>
        <v/>
      </c>
      <c r="I101" s="40" t="n"/>
      <c r="J101" s="11">
        <f>IF(OR($H101="",$I101=""),"",IFERROR(($I101-$H101)/$H101,""))</f>
        <v/>
      </c>
      <c r="K101" s="8" t="n"/>
      <c r="L101" s="40">
        <f>IFERROR(IF(SUMPRODUCT(MAX((案件入力!$D$2:$D$100=$D101)*(案件入力!$R$2:$R$100="完了")*(案件入力!$B$2:$B$100)))=0,VLOOKUP($D101,商品マスタ範囲,6,FALSE),INDEX(案件入力!$M$2:$M$100,MATCH($D101&amp;"|"&amp;TEXT(SUMPRODUCT(MAX((案件入力!$D$2:$D$100=$D101)*(案件入力!$R$2:$R$100="完了")*(案件入力!$B$2:$B$100))),"0"),案件入力!$T$2:$T$100,0))),"")</f>
        <v/>
      </c>
      <c r="M101" s="40" t="n"/>
      <c r="N101" s="11">
        <f>IF(OR($L101="",$M101=""),"",IFERROR(($M101-$L101)/$L101,""))</f>
        <v/>
      </c>
      <c r="O101" s="8" t="n"/>
      <c r="P101" s="9" t="n"/>
      <c r="Q101" s="7" t="n"/>
      <c r="R101" s="7" t="n"/>
      <c r="S101" s="7" t="n"/>
      <c r="T101" s="7">
        <f>IF($R101="完了",$D101&amp;"|"&amp;TEXT($B101,"0"),"")</f>
        <v/>
      </c>
    </row>
    <row r="102">
      <c r="A102" s="7">
        <f>IF($B102="","",TEXT(YEAR($B102),"0000")&amp;"-"&amp;TEXT(SUMPRODUCT((YEAR($B$2:$B102)=YEAR($B102))*($B$2:$B102&lt;&gt;"")),"000"))</f>
        <v/>
      </c>
      <c r="B102" s="8" t="n"/>
      <c r="C102" s="7" t="n"/>
      <c r="D102" s="9" t="n"/>
      <c r="E102" s="7">
        <f>IFERROR(VLOOKUP($D102,商品マスタ範囲,4,FALSE),"")</f>
        <v/>
      </c>
      <c r="F102" s="7">
        <f>IFERROR(VLOOKUP($D102,商品マスタ範囲,2,FALSE),"")</f>
        <v/>
      </c>
      <c r="G102" s="7">
        <f>IFERROR(VLOOKUP($D102,商品マスタ範囲,3,FALSE),"")</f>
        <v/>
      </c>
      <c r="H102" s="40">
        <f>IFERROR(IF(SUMPRODUCT(MAX((案件入力!$D$2:$D$101=$D102)*(案件入力!$R$2:$R$101="完了")*(案件入力!$B$2:$B$101)))=0,VLOOKUP($D102,商品マスタ範囲,5,FALSE),INDEX(案件入力!$I$2:$I$101,MATCH($D102&amp;"|"&amp;TEXT(SUMPRODUCT(MAX((案件入力!$D$2:$D$101=$D102)*(案件入力!$R$2:$R$101="完了")*(案件入力!$B$2:$B$101))),"0"),案件入力!$T$2:$T$101,0))),"")</f>
        <v/>
      </c>
      <c r="I102" s="40" t="n"/>
      <c r="J102" s="11">
        <f>IF(OR($H102="",$I102=""),"",IFERROR(($I102-$H102)/$H102,""))</f>
        <v/>
      </c>
      <c r="K102" s="8" t="n"/>
      <c r="L102" s="40">
        <f>IFERROR(IF(SUMPRODUCT(MAX((案件入力!$D$2:$D$101=$D102)*(案件入力!$R$2:$R$101="完了")*(案件入力!$B$2:$B$101)))=0,VLOOKUP($D102,商品マスタ範囲,6,FALSE),INDEX(案件入力!$M$2:$M$101,MATCH($D102&amp;"|"&amp;TEXT(SUMPRODUCT(MAX((案件入力!$D$2:$D$101=$D102)*(案件入力!$R$2:$R$101="完了")*(案件入力!$B$2:$B$101))),"0"),案件入力!$T$2:$T$101,0))),"")</f>
        <v/>
      </c>
      <c r="M102" s="40" t="n"/>
      <c r="N102" s="11">
        <f>IF(OR($L102="",$M102=""),"",IFERROR(($M102-$L102)/$L102,""))</f>
        <v/>
      </c>
      <c r="O102" s="8" t="n"/>
      <c r="P102" s="9" t="n"/>
      <c r="Q102" s="7" t="n"/>
      <c r="R102" s="7" t="n"/>
      <c r="S102" s="7" t="n"/>
      <c r="T102" s="7">
        <f>IF($R102="完了",$D102&amp;"|"&amp;TEXT($B102,"0"),"")</f>
        <v/>
      </c>
    </row>
    <row r="103">
      <c r="A103" s="7">
        <f>IF($B103="","",TEXT(YEAR($B103),"0000")&amp;"-"&amp;TEXT(SUMPRODUCT((YEAR($B$2:$B103)=YEAR($B103))*($B$2:$B103&lt;&gt;"")),"000"))</f>
        <v/>
      </c>
      <c r="B103" s="8" t="n"/>
      <c r="C103" s="7" t="n"/>
      <c r="D103" s="9" t="n"/>
      <c r="E103" s="7">
        <f>IFERROR(VLOOKUP($D103,商品マスタ範囲,4,FALSE),"")</f>
        <v/>
      </c>
      <c r="F103" s="7">
        <f>IFERROR(VLOOKUP($D103,商品マスタ範囲,2,FALSE),"")</f>
        <v/>
      </c>
      <c r="G103" s="7">
        <f>IFERROR(VLOOKUP($D103,商品マスタ範囲,3,FALSE),"")</f>
        <v/>
      </c>
      <c r="H103" s="40">
        <f>IFERROR(IF(SUMPRODUCT(MAX((案件入力!$D$2:$D$102=$D103)*(案件入力!$R$2:$R$102="完了")*(案件入力!$B$2:$B$102)))=0,VLOOKUP($D103,商品マスタ範囲,5,FALSE),INDEX(案件入力!$I$2:$I$102,MATCH($D103&amp;"|"&amp;TEXT(SUMPRODUCT(MAX((案件入力!$D$2:$D$102=$D103)*(案件入力!$R$2:$R$102="完了")*(案件入力!$B$2:$B$102))),"0"),案件入力!$T$2:$T$102,0))),"")</f>
        <v/>
      </c>
      <c r="I103" s="40" t="n"/>
      <c r="J103" s="11">
        <f>IF(OR($H103="",$I103=""),"",IFERROR(($I103-$H103)/$H103,""))</f>
        <v/>
      </c>
      <c r="K103" s="8" t="n"/>
      <c r="L103" s="40">
        <f>IFERROR(IF(SUMPRODUCT(MAX((案件入力!$D$2:$D$102=$D103)*(案件入力!$R$2:$R$102="完了")*(案件入力!$B$2:$B$102)))=0,VLOOKUP($D103,商品マスタ範囲,6,FALSE),INDEX(案件入力!$M$2:$M$102,MATCH($D103&amp;"|"&amp;TEXT(SUMPRODUCT(MAX((案件入力!$D$2:$D$102=$D103)*(案件入力!$R$2:$R$102="完了")*(案件入力!$B$2:$B$102))),"0"),案件入力!$T$2:$T$102,0))),"")</f>
        <v/>
      </c>
      <c r="M103" s="40" t="n"/>
      <c r="N103" s="11">
        <f>IF(OR($L103="",$M103=""),"",IFERROR(($M103-$L103)/$L103,""))</f>
        <v/>
      </c>
      <c r="O103" s="8" t="n"/>
      <c r="P103" s="9" t="n"/>
      <c r="Q103" s="7" t="n"/>
      <c r="R103" s="7" t="n"/>
      <c r="S103" s="7" t="n"/>
      <c r="T103" s="7">
        <f>IF($R103="完了",$D103&amp;"|"&amp;TEXT($B103,"0"),"")</f>
        <v/>
      </c>
    </row>
    <row r="104">
      <c r="A104" s="7">
        <f>IF($B104="","",TEXT(YEAR($B104),"0000")&amp;"-"&amp;TEXT(SUMPRODUCT((YEAR($B$2:$B104)=YEAR($B104))*($B$2:$B104&lt;&gt;"")),"000"))</f>
        <v/>
      </c>
      <c r="B104" s="8" t="n"/>
      <c r="C104" s="7" t="n"/>
      <c r="D104" s="9" t="n"/>
      <c r="E104" s="7">
        <f>IFERROR(VLOOKUP($D104,商品マスタ範囲,4,FALSE),"")</f>
        <v/>
      </c>
      <c r="F104" s="7">
        <f>IFERROR(VLOOKUP($D104,商品マスタ範囲,2,FALSE),"")</f>
        <v/>
      </c>
      <c r="G104" s="7">
        <f>IFERROR(VLOOKUP($D104,商品マスタ範囲,3,FALSE),"")</f>
        <v/>
      </c>
      <c r="H104" s="40">
        <f>IFERROR(IF(SUMPRODUCT(MAX((案件入力!$D$2:$D$103=$D104)*(案件入力!$R$2:$R$103="完了")*(案件入力!$B$2:$B$103)))=0,VLOOKUP($D104,商品マスタ範囲,5,FALSE),INDEX(案件入力!$I$2:$I$103,MATCH($D104&amp;"|"&amp;TEXT(SUMPRODUCT(MAX((案件入力!$D$2:$D$103=$D104)*(案件入力!$R$2:$R$103="完了")*(案件入力!$B$2:$B$103))),"0"),案件入力!$T$2:$T$103,0))),"")</f>
        <v/>
      </c>
      <c r="I104" s="40" t="n"/>
      <c r="J104" s="11">
        <f>IF(OR($H104="",$I104=""),"",IFERROR(($I104-$H104)/$H104,""))</f>
        <v/>
      </c>
      <c r="K104" s="8" t="n"/>
      <c r="L104" s="40">
        <f>IFERROR(IF(SUMPRODUCT(MAX((案件入力!$D$2:$D$103=$D104)*(案件入力!$R$2:$R$103="完了")*(案件入力!$B$2:$B$103)))=0,VLOOKUP($D104,商品マスタ範囲,6,FALSE),INDEX(案件入力!$M$2:$M$103,MATCH($D104&amp;"|"&amp;TEXT(SUMPRODUCT(MAX((案件入力!$D$2:$D$103=$D104)*(案件入力!$R$2:$R$103="完了")*(案件入力!$B$2:$B$103))),"0"),案件入力!$T$2:$T$103,0))),"")</f>
        <v/>
      </c>
      <c r="M104" s="40" t="n"/>
      <c r="N104" s="11">
        <f>IF(OR($L104="",$M104=""),"",IFERROR(($M104-$L104)/$L104,""))</f>
        <v/>
      </c>
      <c r="O104" s="8" t="n"/>
      <c r="P104" s="9" t="n"/>
      <c r="Q104" s="7" t="n"/>
      <c r="R104" s="7" t="n"/>
      <c r="S104" s="7" t="n"/>
      <c r="T104" s="7">
        <f>IF($R104="完了",$D104&amp;"|"&amp;TEXT($B104,"0"),"")</f>
        <v/>
      </c>
    </row>
    <row r="105">
      <c r="A105" s="7">
        <f>IF($B105="","",TEXT(YEAR($B105),"0000")&amp;"-"&amp;TEXT(SUMPRODUCT((YEAR($B$2:$B105)=YEAR($B105))*($B$2:$B105&lt;&gt;"")),"000"))</f>
        <v/>
      </c>
      <c r="B105" s="8" t="n"/>
      <c r="C105" s="7" t="n"/>
      <c r="D105" s="9" t="n"/>
      <c r="E105" s="7">
        <f>IFERROR(VLOOKUP($D105,商品マスタ範囲,4,FALSE),"")</f>
        <v/>
      </c>
      <c r="F105" s="7">
        <f>IFERROR(VLOOKUP($D105,商品マスタ範囲,2,FALSE),"")</f>
        <v/>
      </c>
      <c r="G105" s="7">
        <f>IFERROR(VLOOKUP($D105,商品マスタ範囲,3,FALSE),"")</f>
        <v/>
      </c>
      <c r="H105" s="40">
        <f>IFERROR(IF(SUMPRODUCT(MAX((案件入力!$D$2:$D$104=$D105)*(案件入力!$R$2:$R$104="完了")*(案件入力!$B$2:$B$104)))=0,VLOOKUP($D105,商品マスタ範囲,5,FALSE),INDEX(案件入力!$I$2:$I$104,MATCH($D105&amp;"|"&amp;TEXT(SUMPRODUCT(MAX((案件入力!$D$2:$D$104=$D105)*(案件入力!$R$2:$R$104="完了")*(案件入力!$B$2:$B$104))),"0"),案件入力!$T$2:$T$104,0))),"")</f>
        <v/>
      </c>
      <c r="I105" s="40" t="n"/>
      <c r="J105" s="11">
        <f>IF(OR($H105="",$I105=""),"",IFERROR(($I105-$H105)/$H105,""))</f>
        <v/>
      </c>
      <c r="K105" s="8" t="n"/>
      <c r="L105" s="40">
        <f>IFERROR(IF(SUMPRODUCT(MAX((案件入力!$D$2:$D$104=$D105)*(案件入力!$R$2:$R$104="完了")*(案件入力!$B$2:$B$104)))=0,VLOOKUP($D105,商品マスタ範囲,6,FALSE),INDEX(案件入力!$M$2:$M$104,MATCH($D105&amp;"|"&amp;TEXT(SUMPRODUCT(MAX((案件入力!$D$2:$D$104=$D105)*(案件入力!$R$2:$R$104="完了")*(案件入力!$B$2:$B$104))),"0"),案件入力!$T$2:$T$104,0))),"")</f>
        <v/>
      </c>
      <c r="M105" s="40" t="n"/>
      <c r="N105" s="11">
        <f>IF(OR($L105="",$M105=""),"",IFERROR(($M105-$L105)/$L105,""))</f>
        <v/>
      </c>
      <c r="O105" s="8" t="n"/>
      <c r="P105" s="9" t="n"/>
      <c r="Q105" s="7" t="n"/>
      <c r="R105" s="7" t="n"/>
      <c r="S105" s="7" t="n"/>
      <c r="T105" s="7">
        <f>IF($R105="完了",$D105&amp;"|"&amp;TEXT($B105,"0"),"")</f>
        <v/>
      </c>
    </row>
    <row r="106">
      <c r="A106" s="7">
        <f>IF($B106="","",TEXT(YEAR($B106),"0000")&amp;"-"&amp;TEXT(SUMPRODUCT((YEAR($B$2:$B106)=YEAR($B106))*($B$2:$B106&lt;&gt;"")),"000"))</f>
        <v/>
      </c>
      <c r="B106" s="8" t="n"/>
      <c r="C106" s="7" t="n"/>
      <c r="D106" s="9" t="n"/>
      <c r="E106" s="7">
        <f>IFERROR(VLOOKUP($D106,商品マスタ範囲,4,FALSE),"")</f>
        <v/>
      </c>
      <c r="F106" s="7">
        <f>IFERROR(VLOOKUP($D106,商品マスタ範囲,2,FALSE),"")</f>
        <v/>
      </c>
      <c r="G106" s="7">
        <f>IFERROR(VLOOKUP($D106,商品マスタ範囲,3,FALSE),"")</f>
        <v/>
      </c>
      <c r="H106" s="40">
        <f>IFERROR(IF(SUMPRODUCT(MAX((案件入力!$D$2:$D$105=$D106)*(案件入力!$R$2:$R$105="完了")*(案件入力!$B$2:$B$105)))=0,VLOOKUP($D106,商品マスタ範囲,5,FALSE),INDEX(案件入力!$I$2:$I$105,MATCH($D106&amp;"|"&amp;TEXT(SUMPRODUCT(MAX((案件入力!$D$2:$D$105=$D106)*(案件入力!$R$2:$R$105="完了")*(案件入力!$B$2:$B$105))),"0"),案件入力!$T$2:$T$105,0))),"")</f>
        <v/>
      </c>
      <c r="I106" s="40" t="n"/>
      <c r="J106" s="11">
        <f>IF(OR($H106="",$I106=""),"",IFERROR(($I106-$H106)/$H106,""))</f>
        <v/>
      </c>
      <c r="K106" s="8" t="n"/>
      <c r="L106" s="40">
        <f>IFERROR(IF(SUMPRODUCT(MAX((案件入力!$D$2:$D$105=$D106)*(案件入力!$R$2:$R$105="完了")*(案件入力!$B$2:$B$105)))=0,VLOOKUP($D106,商品マスタ範囲,6,FALSE),INDEX(案件入力!$M$2:$M$105,MATCH($D106&amp;"|"&amp;TEXT(SUMPRODUCT(MAX((案件入力!$D$2:$D$105=$D106)*(案件入力!$R$2:$R$105="完了")*(案件入力!$B$2:$B$105))),"0"),案件入力!$T$2:$T$105,0))),"")</f>
        <v/>
      </c>
      <c r="M106" s="40" t="n"/>
      <c r="N106" s="11">
        <f>IF(OR($L106="",$M106=""),"",IFERROR(($M106-$L106)/$L106,""))</f>
        <v/>
      </c>
      <c r="O106" s="8" t="n"/>
      <c r="P106" s="9" t="n"/>
      <c r="Q106" s="7" t="n"/>
      <c r="R106" s="7" t="n"/>
      <c r="S106" s="7" t="n"/>
      <c r="T106" s="7">
        <f>IF($R106="完了",$D106&amp;"|"&amp;TEXT($B106,"0"),"")</f>
        <v/>
      </c>
    </row>
    <row r="107">
      <c r="A107" s="7">
        <f>IF($B107="","",TEXT(YEAR($B107),"0000")&amp;"-"&amp;TEXT(SUMPRODUCT((YEAR($B$2:$B107)=YEAR($B107))*($B$2:$B107&lt;&gt;"")),"000"))</f>
        <v/>
      </c>
      <c r="B107" s="8" t="n"/>
      <c r="C107" s="7" t="n"/>
      <c r="D107" s="9" t="n"/>
      <c r="E107" s="7">
        <f>IFERROR(VLOOKUP($D107,商品マスタ範囲,4,FALSE),"")</f>
        <v/>
      </c>
      <c r="F107" s="7">
        <f>IFERROR(VLOOKUP($D107,商品マスタ範囲,2,FALSE),"")</f>
        <v/>
      </c>
      <c r="G107" s="7">
        <f>IFERROR(VLOOKUP($D107,商品マスタ範囲,3,FALSE),"")</f>
        <v/>
      </c>
      <c r="H107" s="40">
        <f>IFERROR(IF(SUMPRODUCT(MAX((案件入力!$D$2:$D$106=$D107)*(案件入力!$R$2:$R$106="完了")*(案件入力!$B$2:$B$106)))=0,VLOOKUP($D107,商品マスタ範囲,5,FALSE),INDEX(案件入力!$I$2:$I$106,MATCH($D107&amp;"|"&amp;TEXT(SUMPRODUCT(MAX((案件入力!$D$2:$D$106=$D107)*(案件入力!$R$2:$R$106="完了")*(案件入力!$B$2:$B$106))),"0"),案件入力!$T$2:$T$106,0))),"")</f>
        <v/>
      </c>
      <c r="I107" s="40" t="n"/>
      <c r="J107" s="11">
        <f>IF(OR($H107="",$I107=""),"",IFERROR(($I107-$H107)/$H107,""))</f>
        <v/>
      </c>
      <c r="K107" s="8" t="n"/>
      <c r="L107" s="40">
        <f>IFERROR(IF(SUMPRODUCT(MAX((案件入力!$D$2:$D$106=$D107)*(案件入力!$R$2:$R$106="完了")*(案件入力!$B$2:$B$106)))=0,VLOOKUP($D107,商品マスタ範囲,6,FALSE),INDEX(案件入力!$M$2:$M$106,MATCH($D107&amp;"|"&amp;TEXT(SUMPRODUCT(MAX((案件入力!$D$2:$D$106=$D107)*(案件入力!$R$2:$R$106="完了")*(案件入力!$B$2:$B$106))),"0"),案件入力!$T$2:$T$106,0))),"")</f>
        <v/>
      </c>
      <c r="M107" s="40" t="n"/>
      <c r="N107" s="11">
        <f>IF(OR($L107="",$M107=""),"",IFERROR(($M107-$L107)/$L107,""))</f>
        <v/>
      </c>
      <c r="O107" s="8" t="n"/>
      <c r="P107" s="9" t="n"/>
      <c r="Q107" s="7" t="n"/>
      <c r="R107" s="7" t="n"/>
      <c r="S107" s="7" t="n"/>
      <c r="T107" s="7">
        <f>IF($R107="完了",$D107&amp;"|"&amp;TEXT($B107,"0"),"")</f>
        <v/>
      </c>
    </row>
    <row r="108">
      <c r="A108" s="7">
        <f>IF($B108="","",TEXT(YEAR($B108),"0000")&amp;"-"&amp;TEXT(SUMPRODUCT((YEAR($B$2:$B108)=YEAR($B108))*($B$2:$B108&lt;&gt;"")),"000"))</f>
        <v/>
      </c>
      <c r="B108" s="8" t="n"/>
      <c r="C108" s="7" t="n"/>
      <c r="D108" s="9" t="n"/>
      <c r="E108" s="7">
        <f>IFERROR(VLOOKUP($D108,商品マスタ範囲,4,FALSE),"")</f>
        <v/>
      </c>
      <c r="F108" s="7">
        <f>IFERROR(VLOOKUP($D108,商品マスタ範囲,2,FALSE),"")</f>
        <v/>
      </c>
      <c r="G108" s="7">
        <f>IFERROR(VLOOKUP($D108,商品マスタ範囲,3,FALSE),"")</f>
        <v/>
      </c>
      <c r="H108" s="40">
        <f>IFERROR(IF(SUMPRODUCT(MAX((案件入力!$D$2:$D$107=$D108)*(案件入力!$R$2:$R$107="完了")*(案件入力!$B$2:$B$107)))=0,VLOOKUP($D108,商品マスタ範囲,5,FALSE),INDEX(案件入力!$I$2:$I$107,MATCH($D108&amp;"|"&amp;TEXT(SUMPRODUCT(MAX((案件入力!$D$2:$D$107=$D108)*(案件入力!$R$2:$R$107="完了")*(案件入力!$B$2:$B$107))),"0"),案件入力!$T$2:$T$107,0))),"")</f>
        <v/>
      </c>
      <c r="I108" s="40" t="n"/>
      <c r="J108" s="11">
        <f>IF(OR($H108="",$I108=""),"",IFERROR(($I108-$H108)/$H108,""))</f>
        <v/>
      </c>
      <c r="K108" s="8" t="n"/>
      <c r="L108" s="40">
        <f>IFERROR(IF(SUMPRODUCT(MAX((案件入力!$D$2:$D$107=$D108)*(案件入力!$R$2:$R$107="完了")*(案件入力!$B$2:$B$107)))=0,VLOOKUP($D108,商品マスタ範囲,6,FALSE),INDEX(案件入力!$M$2:$M$107,MATCH($D108&amp;"|"&amp;TEXT(SUMPRODUCT(MAX((案件入力!$D$2:$D$107=$D108)*(案件入力!$R$2:$R$107="完了")*(案件入力!$B$2:$B$107))),"0"),案件入力!$T$2:$T$107,0))),"")</f>
        <v/>
      </c>
      <c r="M108" s="40" t="n"/>
      <c r="N108" s="11">
        <f>IF(OR($L108="",$M108=""),"",IFERROR(($M108-$L108)/$L108,""))</f>
        <v/>
      </c>
      <c r="O108" s="8" t="n"/>
      <c r="P108" s="9" t="n"/>
      <c r="Q108" s="7" t="n"/>
      <c r="R108" s="7" t="n"/>
      <c r="S108" s="7" t="n"/>
      <c r="T108" s="7">
        <f>IF($R108="完了",$D108&amp;"|"&amp;TEXT($B108,"0"),"")</f>
        <v/>
      </c>
    </row>
    <row r="109">
      <c r="A109" s="7">
        <f>IF($B109="","",TEXT(YEAR($B109),"0000")&amp;"-"&amp;TEXT(SUMPRODUCT((YEAR($B$2:$B109)=YEAR($B109))*($B$2:$B109&lt;&gt;"")),"000"))</f>
        <v/>
      </c>
      <c r="B109" s="8" t="n"/>
      <c r="C109" s="7" t="n"/>
      <c r="D109" s="9" t="n"/>
      <c r="E109" s="7">
        <f>IFERROR(VLOOKUP($D109,商品マスタ範囲,4,FALSE),"")</f>
        <v/>
      </c>
      <c r="F109" s="7">
        <f>IFERROR(VLOOKUP($D109,商品マスタ範囲,2,FALSE),"")</f>
        <v/>
      </c>
      <c r="G109" s="7">
        <f>IFERROR(VLOOKUP($D109,商品マスタ範囲,3,FALSE),"")</f>
        <v/>
      </c>
      <c r="H109" s="40">
        <f>IFERROR(IF(SUMPRODUCT(MAX((案件入力!$D$2:$D$108=$D109)*(案件入力!$R$2:$R$108="完了")*(案件入力!$B$2:$B$108)))=0,VLOOKUP($D109,商品マスタ範囲,5,FALSE),INDEX(案件入力!$I$2:$I$108,MATCH($D109&amp;"|"&amp;TEXT(SUMPRODUCT(MAX((案件入力!$D$2:$D$108=$D109)*(案件入力!$R$2:$R$108="完了")*(案件入力!$B$2:$B$108))),"0"),案件入力!$T$2:$T$108,0))),"")</f>
        <v/>
      </c>
      <c r="I109" s="40" t="n"/>
      <c r="J109" s="11">
        <f>IF(OR($H109="",$I109=""),"",IFERROR(($I109-$H109)/$H109,""))</f>
        <v/>
      </c>
      <c r="K109" s="8" t="n"/>
      <c r="L109" s="40">
        <f>IFERROR(IF(SUMPRODUCT(MAX((案件入力!$D$2:$D$108=$D109)*(案件入力!$R$2:$R$108="完了")*(案件入力!$B$2:$B$108)))=0,VLOOKUP($D109,商品マスタ範囲,6,FALSE),INDEX(案件入力!$M$2:$M$108,MATCH($D109&amp;"|"&amp;TEXT(SUMPRODUCT(MAX((案件入力!$D$2:$D$108=$D109)*(案件入力!$R$2:$R$108="完了")*(案件入力!$B$2:$B$108))),"0"),案件入力!$T$2:$T$108,0))),"")</f>
        <v/>
      </c>
      <c r="M109" s="40" t="n"/>
      <c r="N109" s="11">
        <f>IF(OR($L109="",$M109=""),"",IFERROR(($M109-$L109)/$L109,""))</f>
        <v/>
      </c>
      <c r="O109" s="8" t="n"/>
      <c r="P109" s="9" t="n"/>
      <c r="Q109" s="7" t="n"/>
      <c r="R109" s="7" t="n"/>
      <c r="S109" s="7" t="n"/>
      <c r="T109" s="7">
        <f>IF($R109="完了",$D109&amp;"|"&amp;TEXT($B109,"0"),"")</f>
        <v/>
      </c>
    </row>
    <row r="110">
      <c r="A110" s="7">
        <f>IF($B110="","",TEXT(YEAR($B110),"0000")&amp;"-"&amp;TEXT(SUMPRODUCT((YEAR($B$2:$B110)=YEAR($B110))*($B$2:$B110&lt;&gt;"")),"000"))</f>
        <v/>
      </c>
      <c r="B110" s="8" t="n"/>
      <c r="C110" s="7" t="n"/>
      <c r="D110" s="9" t="n"/>
      <c r="E110" s="7">
        <f>IFERROR(VLOOKUP($D110,商品マスタ範囲,4,FALSE),"")</f>
        <v/>
      </c>
      <c r="F110" s="7">
        <f>IFERROR(VLOOKUP($D110,商品マスタ範囲,2,FALSE),"")</f>
        <v/>
      </c>
      <c r="G110" s="7">
        <f>IFERROR(VLOOKUP($D110,商品マスタ範囲,3,FALSE),"")</f>
        <v/>
      </c>
      <c r="H110" s="40">
        <f>IFERROR(IF(SUMPRODUCT(MAX((案件入力!$D$2:$D$109=$D110)*(案件入力!$R$2:$R$109="完了")*(案件入力!$B$2:$B$109)))=0,VLOOKUP($D110,商品マスタ範囲,5,FALSE),INDEX(案件入力!$I$2:$I$109,MATCH($D110&amp;"|"&amp;TEXT(SUMPRODUCT(MAX((案件入力!$D$2:$D$109=$D110)*(案件入力!$R$2:$R$109="完了")*(案件入力!$B$2:$B$109))),"0"),案件入力!$T$2:$T$109,0))),"")</f>
        <v/>
      </c>
      <c r="I110" s="40" t="n"/>
      <c r="J110" s="11">
        <f>IF(OR($H110="",$I110=""),"",IFERROR(($I110-$H110)/$H110,""))</f>
        <v/>
      </c>
      <c r="K110" s="8" t="n"/>
      <c r="L110" s="40">
        <f>IFERROR(IF(SUMPRODUCT(MAX((案件入力!$D$2:$D$109=$D110)*(案件入力!$R$2:$R$109="完了")*(案件入力!$B$2:$B$109)))=0,VLOOKUP($D110,商品マスタ範囲,6,FALSE),INDEX(案件入力!$M$2:$M$109,MATCH($D110&amp;"|"&amp;TEXT(SUMPRODUCT(MAX((案件入力!$D$2:$D$109=$D110)*(案件入力!$R$2:$R$109="完了")*(案件入力!$B$2:$B$109))),"0"),案件入力!$T$2:$T$109,0))),"")</f>
        <v/>
      </c>
      <c r="M110" s="40" t="n"/>
      <c r="N110" s="11">
        <f>IF(OR($L110="",$M110=""),"",IFERROR(($M110-$L110)/$L110,""))</f>
        <v/>
      </c>
      <c r="O110" s="8" t="n"/>
      <c r="P110" s="9" t="n"/>
      <c r="Q110" s="7" t="n"/>
      <c r="R110" s="7" t="n"/>
      <c r="S110" s="7" t="n"/>
      <c r="T110" s="7">
        <f>IF($R110="完了",$D110&amp;"|"&amp;TEXT($B110,"0"),"")</f>
        <v/>
      </c>
    </row>
    <row r="111">
      <c r="A111" s="7">
        <f>IF($B111="","",TEXT(YEAR($B111),"0000")&amp;"-"&amp;TEXT(SUMPRODUCT((YEAR($B$2:$B111)=YEAR($B111))*($B$2:$B111&lt;&gt;"")),"000"))</f>
        <v/>
      </c>
      <c r="B111" s="8" t="n"/>
      <c r="C111" s="7" t="n"/>
      <c r="D111" s="9" t="n"/>
      <c r="E111" s="7">
        <f>IFERROR(VLOOKUP($D111,商品マスタ範囲,4,FALSE),"")</f>
        <v/>
      </c>
      <c r="F111" s="7">
        <f>IFERROR(VLOOKUP($D111,商品マスタ範囲,2,FALSE),"")</f>
        <v/>
      </c>
      <c r="G111" s="7">
        <f>IFERROR(VLOOKUP($D111,商品マスタ範囲,3,FALSE),"")</f>
        <v/>
      </c>
      <c r="H111" s="40">
        <f>IFERROR(IF(SUMPRODUCT(MAX((案件入力!$D$2:$D$110=$D111)*(案件入力!$R$2:$R$110="完了")*(案件入力!$B$2:$B$110)))=0,VLOOKUP($D111,商品マスタ範囲,5,FALSE),INDEX(案件入力!$I$2:$I$110,MATCH($D111&amp;"|"&amp;TEXT(SUMPRODUCT(MAX((案件入力!$D$2:$D$110=$D111)*(案件入力!$R$2:$R$110="完了")*(案件入力!$B$2:$B$110))),"0"),案件入力!$T$2:$T$110,0))),"")</f>
        <v/>
      </c>
      <c r="I111" s="40" t="n"/>
      <c r="J111" s="11">
        <f>IF(OR($H111="",$I111=""),"",IFERROR(($I111-$H111)/$H111,""))</f>
        <v/>
      </c>
      <c r="K111" s="8" t="n"/>
      <c r="L111" s="40">
        <f>IFERROR(IF(SUMPRODUCT(MAX((案件入力!$D$2:$D$110=$D111)*(案件入力!$R$2:$R$110="完了")*(案件入力!$B$2:$B$110)))=0,VLOOKUP($D111,商品マスタ範囲,6,FALSE),INDEX(案件入力!$M$2:$M$110,MATCH($D111&amp;"|"&amp;TEXT(SUMPRODUCT(MAX((案件入力!$D$2:$D$110=$D111)*(案件入力!$R$2:$R$110="完了")*(案件入力!$B$2:$B$110))),"0"),案件入力!$T$2:$T$110,0))),"")</f>
        <v/>
      </c>
      <c r="M111" s="40" t="n"/>
      <c r="N111" s="11">
        <f>IF(OR($L111="",$M111=""),"",IFERROR(($M111-$L111)/$L111,""))</f>
        <v/>
      </c>
      <c r="O111" s="8" t="n"/>
      <c r="P111" s="9" t="n"/>
      <c r="Q111" s="7" t="n"/>
      <c r="R111" s="7" t="n"/>
      <c r="S111" s="7" t="n"/>
      <c r="T111" s="7">
        <f>IF($R111="完了",$D111&amp;"|"&amp;TEXT($B111,"0"),"")</f>
        <v/>
      </c>
    </row>
    <row r="112">
      <c r="A112" s="7">
        <f>IF($B112="","",TEXT(YEAR($B112),"0000")&amp;"-"&amp;TEXT(SUMPRODUCT((YEAR($B$2:$B112)=YEAR($B112))*($B$2:$B112&lt;&gt;"")),"000"))</f>
        <v/>
      </c>
      <c r="B112" s="8" t="n"/>
      <c r="C112" s="7" t="n"/>
      <c r="D112" s="9" t="n"/>
      <c r="E112" s="7">
        <f>IFERROR(VLOOKUP($D112,商品マスタ範囲,4,FALSE),"")</f>
        <v/>
      </c>
      <c r="F112" s="7">
        <f>IFERROR(VLOOKUP($D112,商品マスタ範囲,2,FALSE),"")</f>
        <v/>
      </c>
      <c r="G112" s="7">
        <f>IFERROR(VLOOKUP($D112,商品マスタ範囲,3,FALSE),"")</f>
        <v/>
      </c>
      <c r="H112" s="40">
        <f>IFERROR(IF(SUMPRODUCT(MAX((案件入力!$D$2:$D$111=$D112)*(案件入力!$R$2:$R$111="完了")*(案件入力!$B$2:$B$111)))=0,VLOOKUP($D112,商品マスタ範囲,5,FALSE),INDEX(案件入力!$I$2:$I$111,MATCH($D112&amp;"|"&amp;TEXT(SUMPRODUCT(MAX((案件入力!$D$2:$D$111=$D112)*(案件入力!$R$2:$R$111="完了")*(案件入力!$B$2:$B$111))),"0"),案件入力!$T$2:$T$111,0))),"")</f>
        <v/>
      </c>
      <c r="I112" s="40" t="n"/>
      <c r="J112" s="11">
        <f>IF(OR($H112="",$I112=""),"",IFERROR(($I112-$H112)/$H112,""))</f>
        <v/>
      </c>
      <c r="K112" s="8" t="n"/>
      <c r="L112" s="40">
        <f>IFERROR(IF(SUMPRODUCT(MAX((案件入力!$D$2:$D$111=$D112)*(案件入力!$R$2:$R$111="完了")*(案件入力!$B$2:$B$111)))=0,VLOOKUP($D112,商品マスタ範囲,6,FALSE),INDEX(案件入力!$M$2:$M$111,MATCH($D112&amp;"|"&amp;TEXT(SUMPRODUCT(MAX((案件入力!$D$2:$D$111=$D112)*(案件入力!$R$2:$R$111="完了")*(案件入力!$B$2:$B$111))),"0"),案件入力!$T$2:$T$111,0))),"")</f>
        <v/>
      </c>
      <c r="M112" s="40" t="n"/>
      <c r="N112" s="11">
        <f>IF(OR($L112="",$M112=""),"",IFERROR(($M112-$L112)/$L112,""))</f>
        <v/>
      </c>
      <c r="O112" s="8" t="n"/>
      <c r="P112" s="9" t="n"/>
      <c r="Q112" s="7" t="n"/>
      <c r="R112" s="7" t="n"/>
      <c r="S112" s="7" t="n"/>
      <c r="T112" s="7">
        <f>IF($R112="完了",$D112&amp;"|"&amp;TEXT($B112,"0"),"")</f>
        <v/>
      </c>
    </row>
    <row r="113">
      <c r="A113" s="7">
        <f>IF($B113="","",TEXT(YEAR($B113),"0000")&amp;"-"&amp;TEXT(SUMPRODUCT((YEAR($B$2:$B113)=YEAR($B113))*($B$2:$B113&lt;&gt;"")),"000"))</f>
        <v/>
      </c>
      <c r="B113" s="8" t="n"/>
      <c r="C113" s="7" t="n"/>
      <c r="D113" s="9" t="n"/>
      <c r="E113" s="7">
        <f>IFERROR(VLOOKUP($D113,商品マスタ範囲,4,FALSE),"")</f>
        <v/>
      </c>
      <c r="F113" s="7">
        <f>IFERROR(VLOOKUP($D113,商品マスタ範囲,2,FALSE),"")</f>
        <v/>
      </c>
      <c r="G113" s="7">
        <f>IFERROR(VLOOKUP($D113,商品マスタ範囲,3,FALSE),"")</f>
        <v/>
      </c>
      <c r="H113" s="40">
        <f>IFERROR(IF(SUMPRODUCT(MAX((案件入力!$D$2:$D$112=$D113)*(案件入力!$R$2:$R$112="完了")*(案件入力!$B$2:$B$112)))=0,VLOOKUP($D113,商品マスタ範囲,5,FALSE),INDEX(案件入力!$I$2:$I$112,MATCH($D113&amp;"|"&amp;TEXT(SUMPRODUCT(MAX((案件入力!$D$2:$D$112=$D113)*(案件入力!$R$2:$R$112="完了")*(案件入力!$B$2:$B$112))),"0"),案件入力!$T$2:$T$112,0))),"")</f>
        <v/>
      </c>
      <c r="I113" s="40" t="n"/>
      <c r="J113" s="11">
        <f>IF(OR($H113="",$I113=""),"",IFERROR(($I113-$H113)/$H113,""))</f>
        <v/>
      </c>
      <c r="K113" s="8" t="n"/>
      <c r="L113" s="40">
        <f>IFERROR(IF(SUMPRODUCT(MAX((案件入力!$D$2:$D$112=$D113)*(案件入力!$R$2:$R$112="完了")*(案件入力!$B$2:$B$112)))=0,VLOOKUP($D113,商品マスタ範囲,6,FALSE),INDEX(案件入力!$M$2:$M$112,MATCH($D113&amp;"|"&amp;TEXT(SUMPRODUCT(MAX((案件入力!$D$2:$D$112=$D113)*(案件入力!$R$2:$R$112="完了")*(案件入力!$B$2:$B$112))),"0"),案件入力!$T$2:$T$112,0))),"")</f>
        <v/>
      </c>
      <c r="M113" s="40" t="n"/>
      <c r="N113" s="11">
        <f>IF(OR($L113="",$M113=""),"",IFERROR(($M113-$L113)/$L113,""))</f>
        <v/>
      </c>
      <c r="O113" s="8" t="n"/>
      <c r="P113" s="9" t="n"/>
      <c r="Q113" s="7" t="n"/>
      <c r="R113" s="7" t="n"/>
      <c r="S113" s="7" t="n"/>
      <c r="T113" s="7">
        <f>IF($R113="完了",$D113&amp;"|"&amp;TEXT($B113,"0"),"")</f>
        <v/>
      </c>
    </row>
    <row r="114">
      <c r="A114" s="7">
        <f>IF($B114="","",TEXT(YEAR($B114),"0000")&amp;"-"&amp;TEXT(SUMPRODUCT((YEAR($B$2:$B114)=YEAR($B114))*($B$2:$B114&lt;&gt;"")),"000"))</f>
        <v/>
      </c>
      <c r="B114" s="8" t="n"/>
      <c r="C114" s="7" t="n"/>
      <c r="D114" s="9" t="n"/>
      <c r="E114" s="7">
        <f>IFERROR(VLOOKUP($D114,商品マスタ範囲,4,FALSE),"")</f>
        <v/>
      </c>
      <c r="F114" s="7">
        <f>IFERROR(VLOOKUP($D114,商品マスタ範囲,2,FALSE),"")</f>
        <v/>
      </c>
      <c r="G114" s="7">
        <f>IFERROR(VLOOKUP($D114,商品マスタ範囲,3,FALSE),"")</f>
        <v/>
      </c>
      <c r="H114" s="40">
        <f>IFERROR(IF(SUMPRODUCT(MAX((案件入力!$D$2:$D$113=$D114)*(案件入力!$R$2:$R$113="完了")*(案件入力!$B$2:$B$113)))=0,VLOOKUP($D114,商品マスタ範囲,5,FALSE),INDEX(案件入力!$I$2:$I$113,MATCH($D114&amp;"|"&amp;TEXT(SUMPRODUCT(MAX((案件入力!$D$2:$D$113=$D114)*(案件入力!$R$2:$R$113="完了")*(案件入力!$B$2:$B$113))),"0"),案件入力!$T$2:$T$113,0))),"")</f>
        <v/>
      </c>
      <c r="I114" s="40" t="n"/>
      <c r="J114" s="11">
        <f>IF(OR($H114="",$I114=""),"",IFERROR(($I114-$H114)/$H114,""))</f>
        <v/>
      </c>
      <c r="K114" s="8" t="n"/>
      <c r="L114" s="40">
        <f>IFERROR(IF(SUMPRODUCT(MAX((案件入力!$D$2:$D$113=$D114)*(案件入力!$R$2:$R$113="完了")*(案件入力!$B$2:$B$113)))=0,VLOOKUP($D114,商品マスタ範囲,6,FALSE),INDEX(案件入力!$M$2:$M$113,MATCH($D114&amp;"|"&amp;TEXT(SUMPRODUCT(MAX((案件入力!$D$2:$D$113=$D114)*(案件入力!$R$2:$R$113="完了")*(案件入力!$B$2:$B$113))),"0"),案件入力!$T$2:$T$113,0))),"")</f>
        <v/>
      </c>
      <c r="M114" s="40" t="n"/>
      <c r="N114" s="11">
        <f>IF(OR($L114="",$M114=""),"",IFERROR(($M114-$L114)/$L114,""))</f>
        <v/>
      </c>
      <c r="O114" s="8" t="n"/>
      <c r="P114" s="9" t="n"/>
      <c r="Q114" s="7" t="n"/>
      <c r="R114" s="7" t="n"/>
      <c r="S114" s="7" t="n"/>
      <c r="T114" s="7">
        <f>IF($R114="完了",$D114&amp;"|"&amp;TEXT($B114,"0"),"")</f>
        <v/>
      </c>
    </row>
    <row r="115">
      <c r="A115" s="7">
        <f>IF($B115="","",TEXT(YEAR($B115),"0000")&amp;"-"&amp;TEXT(SUMPRODUCT((YEAR($B$2:$B115)=YEAR($B115))*($B$2:$B115&lt;&gt;"")),"000"))</f>
        <v/>
      </c>
      <c r="B115" s="8" t="n"/>
      <c r="C115" s="7" t="n"/>
      <c r="D115" s="9" t="n"/>
      <c r="E115" s="7">
        <f>IFERROR(VLOOKUP($D115,商品マスタ範囲,4,FALSE),"")</f>
        <v/>
      </c>
      <c r="F115" s="7">
        <f>IFERROR(VLOOKUP($D115,商品マスタ範囲,2,FALSE),"")</f>
        <v/>
      </c>
      <c r="G115" s="7">
        <f>IFERROR(VLOOKUP($D115,商品マスタ範囲,3,FALSE),"")</f>
        <v/>
      </c>
      <c r="H115" s="40">
        <f>IFERROR(IF(SUMPRODUCT(MAX((案件入力!$D$2:$D$114=$D115)*(案件入力!$R$2:$R$114="完了")*(案件入力!$B$2:$B$114)))=0,VLOOKUP($D115,商品マスタ範囲,5,FALSE),INDEX(案件入力!$I$2:$I$114,MATCH($D115&amp;"|"&amp;TEXT(SUMPRODUCT(MAX((案件入力!$D$2:$D$114=$D115)*(案件入力!$R$2:$R$114="完了")*(案件入力!$B$2:$B$114))),"0"),案件入力!$T$2:$T$114,0))),"")</f>
        <v/>
      </c>
      <c r="I115" s="40" t="n"/>
      <c r="J115" s="11">
        <f>IF(OR($H115="",$I115=""),"",IFERROR(($I115-$H115)/$H115,""))</f>
        <v/>
      </c>
      <c r="K115" s="8" t="n"/>
      <c r="L115" s="40">
        <f>IFERROR(IF(SUMPRODUCT(MAX((案件入力!$D$2:$D$114=$D115)*(案件入力!$R$2:$R$114="完了")*(案件入力!$B$2:$B$114)))=0,VLOOKUP($D115,商品マスタ範囲,6,FALSE),INDEX(案件入力!$M$2:$M$114,MATCH($D115&amp;"|"&amp;TEXT(SUMPRODUCT(MAX((案件入力!$D$2:$D$114=$D115)*(案件入力!$R$2:$R$114="完了")*(案件入力!$B$2:$B$114))),"0"),案件入力!$T$2:$T$114,0))),"")</f>
        <v/>
      </c>
      <c r="M115" s="40" t="n"/>
      <c r="N115" s="11">
        <f>IF(OR($L115="",$M115=""),"",IFERROR(($M115-$L115)/$L115,""))</f>
        <v/>
      </c>
      <c r="O115" s="8" t="n"/>
      <c r="P115" s="9" t="n"/>
      <c r="Q115" s="7" t="n"/>
      <c r="R115" s="7" t="n"/>
      <c r="S115" s="7" t="n"/>
      <c r="T115" s="7">
        <f>IF($R115="完了",$D115&amp;"|"&amp;TEXT($B115,"0"),"")</f>
        <v/>
      </c>
    </row>
    <row r="116">
      <c r="A116" s="7">
        <f>IF($B116="","",TEXT(YEAR($B116),"0000")&amp;"-"&amp;TEXT(SUMPRODUCT((YEAR($B$2:$B116)=YEAR($B116))*($B$2:$B116&lt;&gt;"")),"000"))</f>
        <v/>
      </c>
      <c r="B116" s="8" t="n"/>
      <c r="C116" s="7" t="n"/>
      <c r="D116" s="9" t="n"/>
      <c r="E116" s="7">
        <f>IFERROR(VLOOKUP($D116,商品マスタ範囲,4,FALSE),"")</f>
        <v/>
      </c>
      <c r="F116" s="7">
        <f>IFERROR(VLOOKUP($D116,商品マスタ範囲,2,FALSE),"")</f>
        <v/>
      </c>
      <c r="G116" s="7">
        <f>IFERROR(VLOOKUP($D116,商品マスタ範囲,3,FALSE),"")</f>
        <v/>
      </c>
      <c r="H116" s="40">
        <f>IFERROR(IF(SUMPRODUCT(MAX((案件入力!$D$2:$D$115=$D116)*(案件入力!$R$2:$R$115="完了")*(案件入力!$B$2:$B$115)))=0,VLOOKUP($D116,商品マスタ範囲,5,FALSE),INDEX(案件入力!$I$2:$I$115,MATCH($D116&amp;"|"&amp;TEXT(SUMPRODUCT(MAX((案件入力!$D$2:$D$115=$D116)*(案件入力!$R$2:$R$115="完了")*(案件入力!$B$2:$B$115))),"0"),案件入力!$T$2:$T$115,0))),"")</f>
        <v/>
      </c>
      <c r="I116" s="40" t="n"/>
      <c r="J116" s="11">
        <f>IF(OR($H116="",$I116=""),"",IFERROR(($I116-$H116)/$H116,""))</f>
        <v/>
      </c>
      <c r="K116" s="8" t="n"/>
      <c r="L116" s="40">
        <f>IFERROR(IF(SUMPRODUCT(MAX((案件入力!$D$2:$D$115=$D116)*(案件入力!$R$2:$R$115="完了")*(案件入力!$B$2:$B$115)))=0,VLOOKUP($D116,商品マスタ範囲,6,FALSE),INDEX(案件入力!$M$2:$M$115,MATCH($D116&amp;"|"&amp;TEXT(SUMPRODUCT(MAX((案件入力!$D$2:$D$115=$D116)*(案件入力!$R$2:$R$115="完了")*(案件入力!$B$2:$B$115))),"0"),案件入力!$T$2:$T$115,0))),"")</f>
        <v/>
      </c>
      <c r="M116" s="40" t="n"/>
      <c r="N116" s="11">
        <f>IF(OR($L116="",$M116=""),"",IFERROR(($M116-$L116)/$L116,""))</f>
        <v/>
      </c>
      <c r="O116" s="8" t="n"/>
      <c r="P116" s="9" t="n"/>
      <c r="Q116" s="7" t="n"/>
      <c r="R116" s="7" t="n"/>
      <c r="S116" s="7" t="n"/>
      <c r="T116" s="7">
        <f>IF($R116="完了",$D116&amp;"|"&amp;TEXT($B116,"0"),"")</f>
        <v/>
      </c>
    </row>
    <row r="117">
      <c r="A117" s="7">
        <f>IF($B117="","",TEXT(YEAR($B117),"0000")&amp;"-"&amp;TEXT(SUMPRODUCT((YEAR($B$2:$B117)=YEAR($B117))*($B$2:$B117&lt;&gt;"")),"000"))</f>
        <v/>
      </c>
      <c r="B117" s="8" t="n"/>
      <c r="C117" s="7" t="n"/>
      <c r="D117" s="9" t="n"/>
      <c r="E117" s="7">
        <f>IFERROR(VLOOKUP($D117,商品マスタ範囲,4,FALSE),"")</f>
        <v/>
      </c>
      <c r="F117" s="7">
        <f>IFERROR(VLOOKUP($D117,商品マスタ範囲,2,FALSE),"")</f>
        <v/>
      </c>
      <c r="G117" s="7">
        <f>IFERROR(VLOOKUP($D117,商品マスタ範囲,3,FALSE),"")</f>
        <v/>
      </c>
      <c r="H117" s="40">
        <f>IFERROR(IF(SUMPRODUCT(MAX((案件入力!$D$2:$D$116=$D117)*(案件入力!$R$2:$R$116="完了")*(案件入力!$B$2:$B$116)))=0,VLOOKUP($D117,商品マスタ範囲,5,FALSE),INDEX(案件入力!$I$2:$I$116,MATCH($D117&amp;"|"&amp;TEXT(SUMPRODUCT(MAX((案件入力!$D$2:$D$116=$D117)*(案件入力!$R$2:$R$116="完了")*(案件入力!$B$2:$B$116))),"0"),案件入力!$T$2:$T$116,0))),"")</f>
        <v/>
      </c>
      <c r="I117" s="40" t="n"/>
      <c r="J117" s="11">
        <f>IF(OR($H117="",$I117=""),"",IFERROR(($I117-$H117)/$H117,""))</f>
        <v/>
      </c>
      <c r="K117" s="8" t="n"/>
      <c r="L117" s="40">
        <f>IFERROR(IF(SUMPRODUCT(MAX((案件入力!$D$2:$D$116=$D117)*(案件入力!$R$2:$R$116="完了")*(案件入力!$B$2:$B$116)))=0,VLOOKUP($D117,商品マスタ範囲,6,FALSE),INDEX(案件入力!$M$2:$M$116,MATCH($D117&amp;"|"&amp;TEXT(SUMPRODUCT(MAX((案件入力!$D$2:$D$116=$D117)*(案件入力!$R$2:$R$116="完了")*(案件入力!$B$2:$B$116))),"0"),案件入力!$T$2:$T$116,0))),"")</f>
        <v/>
      </c>
      <c r="M117" s="40" t="n"/>
      <c r="N117" s="11">
        <f>IF(OR($L117="",$M117=""),"",IFERROR(($M117-$L117)/$L117,""))</f>
        <v/>
      </c>
      <c r="O117" s="8" t="n"/>
      <c r="P117" s="9" t="n"/>
      <c r="Q117" s="7" t="n"/>
      <c r="R117" s="7" t="n"/>
      <c r="S117" s="7" t="n"/>
      <c r="T117" s="7">
        <f>IF($R117="完了",$D117&amp;"|"&amp;TEXT($B117,"0"),"")</f>
        <v/>
      </c>
    </row>
    <row r="118">
      <c r="A118" s="7">
        <f>IF($B118="","",TEXT(YEAR($B118),"0000")&amp;"-"&amp;TEXT(SUMPRODUCT((YEAR($B$2:$B118)=YEAR($B118))*($B$2:$B118&lt;&gt;"")),"000"))</f>
        <v/>
      </c>
      <c r="B118" s="8" t="n"/>
      <c r="C118" s="7" t="n"/>
      <c r="D118" s="9" t="n"/>
      <c r="E118" s="7">
        <f>IFERROR(VLOOKUP($D118,商品マスタ範囲,4,FALSE),"")</f>
        <v/>
      </c>
      <c r="F118" s="7">
        <f>IFERROR(VLOOKUP($D118,商品マスタ範囲,2,FALSE),"")</f>
        <v/>
      </c>
      <c r="G118" s="7">
        <f>IFERROR(VLOOKUP($D118,商品マスタ範囲,3,FALSE),"")</f>
        <v/>
      </c>
      <c r="H118" s="40">
        <f>IFERROR(IF(SUMPRODUCT(MAX((案件入力!$D$2:$D$117=$D118)*(案件入力!$R$2:$R$117="完了")*(案件入力!$B$2:$B$117)))=0,VLOOKUP($D118,商品マスタ範囲,5,FALSE),INDEX(案件入力!$I$2:$I$117,MATCH($D118&amp;"|"&amp;TEXT(SUMPRODUCT(MAX((案件入力!$D$2:$D$117=$D118)*(案件入力!$R$2:$R$117="完了")*(案件入力!$B$2:$B$117))),"0"),案件入力!$T$2:$T$117,0))),"")</f>
        <v/>
      </c>
      <c r="I118" s="40" t="n"/>
      <c r="J118" s="11">
        <f>IF(OR($H118="",$I118=""),"",IFERROR(($I118-$H118)/$H118,""))</f>
        <v/>
      </c>
      <c r="K118" s="8" t="n"/>
      <c r="L118" s="40">
        <f>IFERROR(IF(SUMPRODUCT(MAX((案件入力!$D$2:$D$117=$D118)*(案件入力!$R$2:$R$117="完了")*(案件入力!$B$2:$B$117)))=0,VLOOKUP($D118,商品マスタ範囲,6,FALSE),INDEX(案件入力!$M$2:$M$117,MATCH($D118&amp;"|"&amp;TEXT(SUMPRODUCT(MAX((案件入力!$D$2:$D$117=$D118)*(案件入力!$R$2:$R$117="完了")*(案件入力!$B$2:$B$117))),"0"),案件入力!$T$2:$T$117,0))),"")</f>
        <v/>
      </c>
      <c r="M118" s="40" t="n"/>
      <c r="N118" s="11">
        <f>IF(OR($L118="",$M118=""),"",IFERROR(($M118-$L118)/$L118,""))</f>
        <v/>
      </c>
      <c r="O118" s="8" t="n"/>
      <c r="P118" s="9" t="n"/>
      <c r="Q118" s="7" t="n"/>
      <c r="R118" s="7" t="n"/>
      <c r="S118" s="7" t="n"/>
      <c r="T118" s="7">
        <f>IF($R118="完了",$D118&amp;"|"&amp;TEXT($B118,"0"),"")</f>
        <v/>
      </c>
    </row>
    <row r="119">
      <c r="A119" s="7">
        <f>IF($B119="","",TEXT(YEAR($B119),"0000")&amp;"-"&amp;TEXT(SUMPRODUCT((YEAR($B$2:$B119)=YEAR($B119))*($B$2:$B119&lt;&gt;"")),"000"))</f>
        <v/>
      </c>
      <c r="B119" s="8" t="n"/>
      <c r="C119" s="7" t="n"/>
      <c r="D119" s="9" t="n"/>
      <c r="E119" s="7">
        <f>IFERROR(VLOOKUP($D119,商品マスタ範囲,4,FALSE),"")</f>
        <v/>
      </c>
      <c r="F119" s="7">
        <f>IFERROR(VLOOKUP($D119,商品マスタ範囲,2,FALSE),"")</f>
        <v/>
      </c>
      <c r="G119" s="7">
        <f>IFERROR(VLOOKUP($D119,商品マスタ範囲,3,FALSE),"")</f>
        <v/>
      </c>
      <c r="H119" s="40">
        <f>IFERROR(IF(SUMPRODUCT(MAX((案件入力!$D$2:$D$118=$D119)*(案件入力!$R$2:$R$118="完了")*(案件入力!$B$2:$B$118)))=0,VLOOKUP($D119,商品マスタ範囲,5,FALSE),INDEX(案件入力!$I$2:$I$118,MATCH($D119&amp;"|"&amp;TEXT(SUMPRODUCT(MAX((案件入力!$D$2:$D$118=$D119)*(案件入力!$R$2:$R$118="完了")*(案件入力!$B$2:$B$118))),"0"),案件入力!$T$2:$T$118,0))),"")</f>
        <v/>
      </c>
      <c r="I119" s="40" t="n"/>
      <c r="J119" s="11">
        <f>IF(OR($H119="",$I119=""),"",IFERROR(($I119-$H119)/$H119,""))</f>
        <v/>
      </c>
      <c r="K119" s="8" t="n"/>
      <c r="L119" s="40">
        <f>IFERROR(IF(SUMPRODUCT(MAX((案件入力!$D$2:$D$118=$D119)*(案件入力!$R$2:$R$118="完了")*(案件入力!$B$2:$B$118)))=0,VLOOKUP($D119,商品マスタ範囲,6,FALSE),INDEX(案件入力!$M$2:$M$118,MATCH($D119&amp;"|"&amp;TEXT(SUMPRODUCT(MAX((案件入力!$D$2:$D$118=$D119)*(案件入力!$R$2:$R$118="完了")*(案件入力!$B$2:$B$118))),"0"),案件入力!$T$2:$T$118,0))),"")</f>
        <v/>
      </c>
      <c r="M119" s="40" t="n"/>
      <c r="N119" s="11">
        <f>IF(OR($L119="",$M119=""),"",IFERROR(($M119-$L119)/$L119,""))</f>
        <v/>
      </c>
      <c r="O119" s="8" t="n"/>
      <c r="P119" s="9" t="n"/>
      <c r="Q119" s="7" t="n"/>
      <c r="R119" s="7" t="n"/>
      <c r="S119" s="7" t="n"/>
      <c r="T119" s="7">
        <f>IF($R119="完了",$D119&amp;"|"&amp;TEXT($B119,"0"),"")</f>
        <v/>
      </c>
    </row>
    <row r="120">
      <c r="A120" s="7">
        <f>IF($B120="","",TEXT(YEAR($B120),"0000")&amp;"-"&amp;TEXT(SUMPRODUCT((YEAR($B$2:$B120)=YEAR($B120))*($B$2:$B120&lt;&gt;"")),"000"))</f>
        <v/>
      </c>
      <c r="B120" s="8" t="n"/>
      <c r="C120" s="7" t="n"/>
      <c r="D120" s="9" t="n"/>
      <c r="E120" s="7">
        <f>IFERROR(VLOOKUP($D120,商品マスタ範囲,4,FALSE),"")</f>
        <v/>
      </c>
      <c r="F120" s="7">
        <f>IFERROR(VLOOKUP($D120,商品マスタ範囲,2,FALSE),"")</f>
        <v/>
      </c>
      <c r="G120" s="7">
        <f>IFERROR(VLOOKUP($D120,商品マスタ範囲,3,FALSE),"")</f>
        <v/>
      </c>
      <c r="H120" s="40">
        <f>IFERROR(IF(SUMPRODUCT(MAX((案件入力!$D$2:$D$119=$D120)*(案件入力!$R$2:$R$119="完了")*(案件入力!$B$2:$B$119)))=0,VLOOKUP($D120,商品マスタ範囲,5,FALSE),INDEX(案件入力!$I$2:$I$119,MATCH($D120&amp;"|"&amp;TEXT(SUMPRODUCT(MAX((案件入力!$D$2:$D$119=$D120)*(案件入力!$R$2:$R$119="完了")*(案件入力!$B$2:$B$119))),"0"),案件入力!$T$2:$T$119,0))),"")</f>
        <v/>
      </c>
      <c r="I120" s="40" t="n"/>
      <c r="J120" s="11">
        <f>IF(OR($H120="",$I120=""),"",IFERROR(($I120-$H120)/$H120,""))</f>
        <v/>
      </c>
      <c r="K120" s="8" t="n"/>
      <c r="L120" s="40">
        <f>IFERROR(IF(SUMPRODUCT(MAX((案件入力!$D$2:$D$119=$D120)*(案件入力!$R$2:$R$119="完了")*(案件入力!$B$2:$B$119)))=0,VLOOKUP($D120,商品マスタ範囲,6,FALSE),INDEX(案件入力!$M$2:$M$119,MATCH($D120&amp;"|"&amp;TEXT(SUMPRODUCT(MAX((案件入力!$D$2:$D$119=$D120)*(案件入力!$R$2:$R$119="完了")*(案件入力!$B$2:$B$119))),"0"),案件入力!$T$2:$T$119,0))),"")</f>
        <v/>
      </c>
      <c r="M120" s="40" t="n"/>
      <c r="N120" s="11">
        <f>IF(OR($L120="",$M120=""),"",IFERROR(($M120-$L120)/$L120,""))</f>
        <v/>
      </c>
      <c r="O120" s="8" t="n"/>
      <c r="P120" s="9" t="n"/>
      <c r="Q120" s="7" t="n"/>
      <c r="R120" s="7" t="n"/>
      <c r="S120" s="7" t="n"/>
      <c r="T120" s="7">
        <f>IF($R120="完了",$D120&amp;"|"&amp;TEXT($B120,"0"),"")</f>
        <v/>
      </c>
    </row>
    <row r="121">
      <c r="A121" s="7">
        <f>IF($B121="","",TEXT(YEAR($B121),"0000")&amp;"-"&amp;TEXT(SUMPRODUCT((YEAR($B$2:$B121)=YEAR($B121))*($B$2:$B121&lt;&gt;"")),"000"))</f>
        <v/>
      </c>
      <c r="B121" s="8" t="n"/>
      <c r="C121" s="7" t="n"/>
      <c r="D121" s="9" t="n"/>
      <c r="E121" s="7">
        <f>IFERROR(VLOOKUP($D121,商品マスタ範囲,4,FALSE),"")</f>
        <v/>
      </c>
      <c r="F121" s="7">
        <f>IFERROR(VLOOKUP($D121,商品マスタ範囲,2,FALSE),"")</f>
        <v/>
      </c>
      <c r="G121" s="7">
        <f>IFERROR(VLOOKUP($D121,商品マスタ範囲,3,FALSE),"")</f>
        <v/>
      </c>
      <c r="H121" s="40">
        <f>IFERROR(IF(SUMPRODUCT(MAX((案件入力!$D$2:$D$120=$D121)*(案件入力!$R$2:$R$120="完了")*(案件入力!$B$2:$B$120)))=0,VLOOKUP($D121,商品マスタ範囲,5,FALSE),INDEX(案件入力!$I$2:$I$120,MATCH($D121&amp;"|"&amp;TEXT(SUMPRODUCT(MAX((案件入力!$D$2:$D$120=$D121)*(案件入力!$R$2:$R$120="完了")*(案件入力!$B$2:$B$120))),"0"),案件入力!$T$2:$T$120,0))),"")</f>
        <v/>
      </c>
      <c r="I121" s="40" t="n"/>
      <c r="J121" s="11">
        <f>IF(OR($H121="",$I121=""),"",IFERROR(($I121-$H121)/$H121,""))</f>
        <v/>
      </c>
      <c r="K121" s="8" t="n"/>
      <c r="L121" s="40">
        <f>IFERROR(IF(SUMPRODUCT(MAX((案件入力!$D$2:$D$120=$D121)*(案件入力!$R$2:$R$120="完了")*(案件入力!$B$2:$B$120)))=0,VLOOKUP($D121,商品マスタ範囲,6,FALSE),INDEX(案件入力!$M$2:$M$120,MATCH($D121&amp;"|"&amp;TEXT(SUMPRODUCT(MAX((案件入力!$D$2:$D$120=$D121)*(案件入力!$R$2:$R$120="完了")*(案件入力!$B$2:$B$120))),"0"),案件入力!$T$2:$T$120,0))),"")</f>
        <v/>
      </c>
      <c r="M121" s="40" t="n"/>
      <c r="N121" s="11">
        <f>IF(OR($L121="",$M121=""),"",IFERROR(($M121-$L121)/$L121,""))</f>
        <v/>
      </c>
      <c r="O121" s="8" t="n"/>
      <c r="P121" s="9" t="n"/>
      <c r="Q121" s="7" t="n"/>
      <c r="R121" s="7" t="n"/>
      <c r="S121" s="7" t="n"/>
      <c r="T121" s="7">
        <f>IF($R121="完了",$D121&amp;"|"&amp;TEXT($B121,"0"),"")</f>
        <v/>
      </c>
    </row>
    <row r="122">
      <c r="A122" s="7">
        <f>IF($B122="","",TEXT(YEAR($B122),"0000")&amp;"-"&amp;TEXT(SUMPRODUCT((YEAR($B$2:$B122)=YEAR($B122))*($B$2:$B122&lt;&gt;"")),"000"))</f>
        <v/>
      </c>
      <c r="B122" s="8" t="n"/>
      <c r="C122" s="7" t="n"/>
      <c r="D122" s="9" t="n"/>
      <c r="E122" s="7">
        <f>IFERROR(VLOOKUP($D122,商品マスタ範囲,4,FALSE),"")</f>
        <v/>
      </c>
      <c r="F122" s="7">
        <f>IFERROR(VLOOKUP($D122,商品マスタ範囲,2,FALSE),"")</f>
        <v/>
      </c>
      <c r="G122" s="7">
        <f>IFERROR(VLOOKUP($D122,商品マスタ範囲,3,FALSE),"")</f>
        <v/>
      </c>
      <c r="H122" s="40">
        <f>IFERROR(IF(SUMPRODUCT(MAX((案件入力!$D$2:$D$121=$D122)*(案件入力!$R$2:$R$121="完了")*(案件入力!$B$2:$B$121)))=0,VLOOKUP($D122,商品マスタ範囲,5,FALSE),INDEX(案件入力!$I$2:$I$121,MATCH($D122&amp;"|"&amp;TEXT(SUMPRODUCT(MAX((案件入力!$D$2:$D$121=$D122)*(案件入力!$R$2:$R$121="完了")*(案件入力!$B$2:$B$121))),"0"),案件入力!$T$2:$T$121,0))),"")</f>
        <v/>
      </c>
      <c r="I122" s="40" t="n"/>
      <c r="J122" s="11">
        <f>IF(OR($H122="",$I122=""),"",IFERROR(($I122-$H122)/$H122,""))</f>
        <v/>
      </c>
      <c r="K122" s="8" t="n"/>
      <c r="L122" s="40">
        <f>IFERROR(IF(SUMPRODUCT(MAX((案件入力!$D$2:$D$121=$D122)*(案件入力!$R$2:$R$121="完了")*(案件入力!$B$2:$B$121)))=0,VLOOKUP($D122,商品マスタ範囲,6,FALSE),INDEX(案件入力!$M$2:$M$121,MATCH($D122&amp;"|"&amp;TEXT(SUMPRODUCT(MAX((案件入力!$D$2:$D$121=$D122)*(案件入力!$R$2:$R$121="完了")*(案件入力!$B$2:$B$121))),"0"),案件入力!$T$2:$T$121,0))),"")</f>
        <v/>
      </c>
      <c r="M122" s="40" t="n"/>
      <c r="N122" s="11">
        <f>IF(OR($L122="",$M122=""),"",IFERROR(($M122-$L122)/$L122,""))</f>
        <v/>
      </c>
      <c r="O122" s="8" t="n"/>
      <c r="P122" s="9" t="n"/>
      <c r="Q122" s="7" t="n"/>
      <c r="R122" s="7" t="n"/>
      <c r="S122" s="7" t="n"/>
      <c r="T122" s="7">
        <f>IF($R122="完了",$D122&amp;"|"&amp;TEXT($B122,"0"),"")</f>
        <v/>
      </c>
    </row>
    <row r="123">
      <c r="A123" s="7">
        <f>IF($B123="","",TEXT(YEAR($B123),"0000")&amp;"-"&amp;TEXT(SUMPRODUCT((YEAR($B$2:$B123)=YEAR($B123))*($B$2:$B123&lt;&gt;"")),"000"))</f>
        <v/>
      </c>
      <c r="B123" s="8" t="n"/>
      <c r="C123" s="7" t="n"/>
      <c r="D123" s="9" t="n"/>
      <c r="E123" s="7">
        <f>IFERROR(VLOOKUP($D123,商品マスタ範囲,4,FALSE),"")</f>
        <v/>
      </c>
      <c r="F123" s="7">
        <f>IFERROR(VLOOKUP($D123,商品マスタ範囲,2,FALSE),"")</f>
        <v/>
      </c>
      <c r="G123" s="7">
        <f>IFERROR(VLOOKUP($D123,商品マスタ範囲,3,FALSE),"")</f>
        <v/>
      </c>
      <c r="H123" s="40">
        <f>IFERROR(IF(SUMPRODUCT(MAX((案件入力!$D$2:$D$122=$D123)*(案件入力!$R$2:$R$122="完了")*(案件入力!$B$2:$B$122)))=0,VLOOKUP($D123,商品マスタ範囲,5,FALSE),INDEX(案件入力!$I$2:$I$122,MATCH($D123&amp;"|"&amp;TEXT(SUMPRODUCT(MAX((案件入力!$D$2:$D$122=$D123)*(案件入力!$R$2:$R$122="完了")*(案件入力!$B$2:$B$122))),"0"),案件入力!$T$2:$T$122,0))),"")</f>
        <v/>
      </c>
      <c r="I123" s="40" t="n"/>
      <c r="J123" s="11">
        <f>IF(OR($H123="",$I123=""),"",IFERROR(($I123-$H123)/$H123,""))</f>
        <v/>
      </c>
      <c r="K123" s="8" t="n"/>
      <c r="L123" s="40">
        <f>IFERROR(IF(SUMPRODUCT(MAX((案件入力!$D$2:$D$122=$D123)*(案件入力!$R$2:$R$122="完了")*(案件入力!$B$2:$B$122)))=0,VLOOKUP($D123,商品マスタ範囲,6,FALSE),INDEX(案件入力!$M$2:$M$122,MATCH($D123&amp;"|"&amp;TEXT(SUMPRODUCT(MAX((案件入力!$D$2:$D$122=$D123)*(案件入力!$R$2:$R$122="完了")*(案件入力!$B$2:$B$122))),"0"),案件入力!$T$2:$T$122,0))),"")</f>
        <v/>
      </c>
      <c r="M123" s="40" t="n"/>
      <c r="N123" s="11">
        <f>IF(OR($L123="",$M123=""),"",IFERROR(($M123-$L123)/$L123,""))</f>
        <v/>
      </c>
      <c r="O123" s="8" t="n"/>
      <c r="P123" s="9" t="n"/>
      <c r="Q123" s="7" t="n"/>
      <c r="R123" s="7" t="n"/>
      <c r="S123" s="7" t="n"/>
      <c r="T123" s="7">
        <f>IF($R123="完了",$D123&amp;"|"&amp;TEXT($B123,"0"),"")</f>
        <v/>
      </c>
    </row>
    <row r="124">
      <c r="A124" s="7">
        <f>IF($B124="","",TEXT(YEAR($B124),"0000")&amp;"-"&amp;TEXT(SUMPRODUCT((YEAR($B$2:$B124)=YEAR($B124))*($B$2:$B124&lt;&gt;"")),"000"))</f>
        <v/>
      </c>
      <c r="B124" s="8" t="n"/>
      <c r="C124" s="7" t="n"/>
      <c r="D124" s="9" t="n"/>
      <c r="E124" s="7">
        <f>IFERROR(VLOOKUP($D124,商品マスタ範囲,4,FALSE),"")</f>
        <v/>
      </c>
      <c r="F124" s="7">
        <f>IFERROR(VLOOKUP($D124,商品マスタ範囲,2,FALSE),"")</f>
        <v/>
      </c>
      <c r="G124" s="7">
        <f>IFERROR(VLOOKUP($D124,商品マスタ範囲,3,FALSE),"")</f>
        <v/>
      </c>
      <c r="H124" s="40">
        <f>IFERROR(IF(SUMPRODUCT(MAX((案件入力!$D$2:$D$123=$D124)*(案件入力!$R$2:$R$123="完了")*(案件入力!$B$2:$B$123)))=0,VLOOKUP($D124,商品マスタ範囲,5,FALSE),INDEX(案件入力!$I$2:$I$123,MATCH($D124&amp;"|"&amp;TEXT(SUMPRODUCT(MAX((案件入力!$D$2:$D$123=$D124)*(案件入力!$R$2:$R$123="完了")*(案件入力!$B$2:$B$123))),"0"),案件入力!$T$2:$T$123,0))),"")</f>
        <v/>
      </c>
      <c r="I124" s="40" t="n"/>
      <c r="J124" s="11">
        <f>IF(OR($H124="",$I124=""),"",IFERROR(($I124-$H124)/$H124,""))</f>
        <v/>
      </c>
      <c r="K124" s="8" t="n"/>
      <c r="L124" s="40">
        <f>IFERROR(IF(SUMPRODUCT(MAX((案件入力!$D$2:$D$123=$D124)*(案件入力!$R$2:$R$123="完了")*(案件入力!$B$2:$B$123)))=0,VLOOKUP($D124,商品マスタ範囲,6,FALSE),INDEX(案件入力!$M$2:$M$123,MATCH($D124&amp;"|"&amp;TEXT(SUMPRODUCT(MAX((案件入力!$D$2:$D$123=$D124)*(案件入力!$R$2:$R$123="完了")*(案件入力!$B$2:$B$123))),"0"),案件入力!$T$2:$T$123,0))),"")</f>
        <v/>
      </c>
      <c r="M124" s="40" t="n"/>
      <c r="N124" s="11">
        <f>IF(OR($L124="",$M124=""),"",IFERROR(($M124-$L124)/$L124,""))</f>
        <v/>
      </c>
      <c r="O124" s="8" t="n"/>
      <c r="P124" s="9" t="n"/>
      <c r="Q124" s="7" t="n"/>
      <c r="R124" s="7" t="n"/>
      <c r="S124" s="7" t="n"/>
      <c r="T124" s="7">
        <f>IF($R124="完了",$D124&amp;"|"&amp;TEXT($B124,"0"),"")</f>
        <v/>
      </c>
    </row>
    <row r="125">
      <c r="A125" s="7">
        <f>IF($B125="","",TEXT(YEAR($B125),"0000")&amp;"-"&amp;TEXT(SUMPRODUCT((YEAR($B$2:$B125)=YEAR($B125))*($B$2:$B125&lt;&gt;"")),"000"))</f>
        <v/>
      </c>
      <c r="B125" s="8" t="n"/>
      <c r="C125" s="7" t="n"/>
      <c r="D125" s="9" t="n"/>
      <c r="E125" s="7">
        <f>IFERROR(VLOOKUP($D125,商品マスタ範囲,4,FALSE),"")</f>
        <v/>
      </c>
      <c r="F125" s="7">
        <f>IFERROR(VLOOKUP($D125,商品マスタ範囲,2,FALSE),"")</f>
        <v/>
      </c>
      <c r="G125" s="7">
        <f>IFERROR(VLOOKUP($D125,商品マスタ範囲,3,FALSE),"")</f>
        <v/>
      </c>
      <c r="H125" s="40">
        <f>IFERROR(IF(SUMPRODUCT(MAX((案件入力!$D$2:$D$124=$D125)*(案件入力!$R$2:$R$124="完了")*(案件入力!$B$2:$B$124)))=0,VLOOKUP($D125,商品マスタ範囲,5,FALSE),INDEX(案件入力!$I$2:$I$124,MATCH($D125&amp;"|"&amp;TEXT(SUMPRODUCT(MAX((案件入力!$D$2:$D$124=$D125)*(案件入力!$R$2:$R$124="完了")*(案件入力!$B$2:$B$124))),"0"),案件入力!$T$2:$T$124,0))),"")</f>
        <v/>
      </c>
      <c r="I125" s="40" t="n"/>
      <c r="J125" s="11">
        <f>IF(OR($H125="",$I125=""),"",IFERROR(($I125-$H125)/$H125,""))</f>
        <v/>
      </c>
      <c r="K125" s="8" t="n"/>
      <c r="L125" s="40">
        <f>IFERROR(IF(SUMPRODUCT(MAX((案件入力!$D$2:$D$124=$D125)*(案件入力!$R$2:$R$124="完了")*(案件入力!$B$2:$B$124)))=0,VLOOKUP($D125,商品マスタ範囲,6,FALSE),INDEX(案件入力!$M$2:$M$124,MATCH($D125&amp;"|"&amp;TEXT(SUMPRODUCT(MAX((案件入力!$D$2:$D$124=$D125)*(案件入力!$R$2:$R$124="完了")*(案件入力!$B$2:$B$124))),"0"),案件入力!$T$2:$T$124,0))),"")</f>
        <v/>
      </c>
      <c r="M125" s="40" t="n"/>
      <c r="N125" s="11">
        <f>IF(OR($L125="",$M125=""),"",IFERROR(($M125-$L125)/$L125,""))</f>
        <v/>
      </c>
      <c r="O125" s="8" t="n"/>
      <c r="P125" s="9" t="n"/>
      <c r="Q125" s="7" t="n"/>
      <c r="R125" s="7" t="n"/>
      <c r="S125" s="7" t="n"/>
      <c r="T125" s="7">
        <f>IF($R125="完了",$D125&amp;"|"&amp;TEXT($B125,"0"),"")</f>
        <v/>
      </c>
    </row>
    <row r="126">
      <c r="A126" s="7">
        <f>IF($B126="","",TEXT(YEAR($B126),"0000")&amp;"-"&amp;TEXT(SUMPRODUCT((YEAR($B$2:$B126)=YEAR($B126))*($B$2:$B126&lt;&gt;"")),"000"))</f>
        <v/>
      </c>
      <c r="B126" s="8" t="n"/>
      <c r="C126" s="7" t="n"/>
      <c r="D126" s="9" t="n"/>
      <c r="E126" s="7">
        <f>IFERROR(VLOOKUP($D126,商品マスタ範囲,4,FALSE),"")</f>
        <v/>
      </c>
      <c r="F126" s="7">
        <f>IFERROR(VLOOKUP($D126,商品マスタ範囲,2,FALSE),"")</f>
        <v/>
      </c>
      <c r="G126" s="7">
        <f>IFERROR(VLOOKUP($D126,商品マスタ範囲,3,FALSE),"")</f>
        <v/>
      </c>
      <c r="H126" s="40">
        <f>IFERROR(IF(SUMPRODUCT(MAX((案件入力!$D$2:$D$125=$D126)*(案件入力!$R$2:$R$125="完了")*(案件入力!$B$2:$B$125)))=0,VLOOKUP($D126,商品マスタ範囲,5,FALSE),INDEX(案件入力!$I$2:$I$125,MATCH($D126&amp;"|"&amp;TEXT(SUMPRODUCT(MAX((案件入力!$D$2:$D$125=$D126)*(案件入力!$R$2:$R$125="完了")*(案件入力!$B$2:$B$125))),"0"),案件入力!$T$2:$T$125,0))),"")</f>
        <v/>
      </c>
      <c r="I126" s="40" t="n"/>
      <c r="J126" s="11">
        <f>IF(OR($H126="",$I126=""),"",IFERROR(($I126-$H126)/$H126,""))</f>
        <v/>
      </c>
      <c r="K126" s="8" t="n"/>
      <c r="L126" s="40">
        <f>IFERROR(IF(SUMPRODUCT(MAX((案件入力!$D$2:$D$125=$D126)*(案件入力!$R$2:$R$125="完了")*(案件入力!$B$2:$B$125)))=0,VLOOKUP($D126,商品マスタ範囲,6,FALSE),INDEX(案件入力!$M$2:$M$125,MATCH($D126&amp;"|"&amp;TEXT(SUMPRODUCT(MAX((案件入力!$D$2:$D$125=$D126)*(案件入力!$R$2:$R$125="完了")*(案件入力!$B$2:$B$125))),"0"),案件入力!$T$2:$T$125,0))),"")</f>
        <v/>
      </c>
      <c r="M126" s="40" t="n"/>
      <c r="N126" s="11">
        <f>IF(OR($L126="",$M126=""),"",IFERROR(($M126-$L126)/$L126,""))</f>
        <v/>
      </c>
      <c r="O126" s="8" t="n"/>
      <c r="P126" s="9" t="n"/>
      <c r="Q126" s="7" t="n"/>
      <c r="R126" s="7" t="n"/>
      <c r="S126" s="7" t="n"/>
      <c r="T126" s="7">
        <f>IF($R126="完了",$D126&amp;"|"&amp;TEXT($B126,"0"),"")</f>
        <v/>
      </c>
    </row>
    <row r="127">
      <c r="A127" s="7">
        <f>IF($B127="","",TEXT(YEAR($B127),"0000")&amp;"-"&amp;TEXT(SUMPRODUCT((YEAR($B$2:$B127)=YEAR($B127))*($B$2:$B127&lt;&gt;"")),"000"))</f>
        <v/>
      </c>
      <c r="B127" s="8" t="n"/>
      <c r="C127" s="7" t="n"/>
      <c r="D127" s="9" t="n"/>
      <c r="E127" s="7">
        <f>IFERROR(VLOOKUP($D127,商品マスタ範囲,4,FALSE),"")</f>
        <v/>
      </c>
      <c r="F127" s="7">
        <f>IFERROR(VLOOKUP($D127,商品マスタ範囲,2,FALSE),"")</f>
        <v/>
      </c>
      <c r="G127" s="7">
        <f>IFERROR(VLOOKUP($D127,商品マスタ範囲,3,FALSE),"")</f>
        <v/>
      </c>
      <c r="H127" s="40">
        <f>IFERROR(IF(SUMPRODUCT(MAX((案件入力!$D$2:$D$126=$D127)*(案件入力!$R$2:$R$126="完了")*(案件入力!$B$2:$B$126)))=0,VLOOKUP($D127,商品マスタ範囲,5,FALSE),INDEX(案件入力!$I$2:$I$126,MATCH($D127&amp;"|"&amp;TEXT(SUMPRODUCT(MAX((案件入力!$D$2:$D$126=$D127)*(案件入力!$R$2:$R$126="完了")*(案件入力!$B$2:$B$126))),"0"),案件入力!$T$2:$T$126,0))),"")</f>
        <v/>
      </c>
      <c r="I127" s="40" t="n"/>
      <c r="J127" s="11">
        <f>IF(OR($H127="",$I127=""),"",IFERROR(($I127-$H127)/$H127,""))</f>
        <v/>
      </c>
      <c r="K127" s="8" t="n"/>
      <c r="L127" s="40">
        <f>IFERROR(IF(SUMPRODUCT(MAX((案件入力!$D$2:$D$126=$D127)*(案件入力!$R$2:$R$126="完了")*(案件入力!$B$2:$B$126)))=0,VLOOKUP($D127,商品マスタ範囲,6,FALSE),INDEX(案件入力!$M$2:$M$126,MATCH($D127&amp;"|"&amp;TEXT(SUMPRODUCT(MAX((案件入力!$D$2:$D$126=$D127)*(案件入力!$R$2:$R$126="完了")*(案件入力!$B$2:$B$126))),"0"),案件入力!$T$2:$T$126,0))),"")</f>
        <v/>
      </c>
      <c r="M127" s="40" t="n"/>
      <c r="N127" s="11">
        <f>IF(OR($L127="",$M127=""),"",IFERROR(($M127-$L127)/$L127,""))</f>
        <v/>
      </c>
      <c r="O127" s="8" t="n"/>
      <c r="P127" s="9" t="n"/>
      <c r="Q127" s="7" t="n"/>
      <c r="R127" s="7" t="n"/>
      <c r="S127" s="7" t="n"/>
      <c r="T127" s="7">
        <f>IF($R127="完了",$D127&amp;"|"&amp;TEXT($B127,"0"),"")</f>
        <v/>
      </c>
    </row>
    <row r="128">
      <c r="A128" s="7">
        <f>IF($B128="","",TEXT(YEAR($B128),"0000")&amp;"-"&amp;TEXT(SUMPRODUCT((YEAR($B$2:$B128)=YEAR($B128))*($B$2:$B128&lt;&gt;"")),"000"))</f>
        <v/>
      </c>
      <c r="B128" s="8" t="n"/>
      <c r="C128" s="7" t="n"/>
      <c r="D128" s="9" t="n"/>
      <c r="E128" s="7">
        <f>IFERROR(VLOOKUP($D128,商品マスタ範囲,4,FALSE),"")</f>
        <v/>
      </c>
      <c r="F128" s="7">
        <f>IFERROR(VLOOKUP($D128,商品マスタ範囲,2,FALSE),"")</f>
        <v/>
      </c>
      <c r="G128" s="7">
        <f>IFERROR(VLOOKUP($D128,商品マスタ範囲,3,FALSE),"")</f>
        <v/>
      </c>
      <c r="H128" s="40">
        <f>IFERROR(IF(SUMPRODUCT(MAX((案件入力!$D$2:$D$127=$D128)*(案件入力!$R$2:$R$127="完了")*(案件入力!$B$2:$B$127)))=0,VLOOKUP($D128,商品マスタ範囲,5,FALSE),INDEX(案件入力!$I$2:$I$127,MATCH($D128&amp;"|"&amp;TEXT(SUMPRODUCT(MAX((案件入力!$D$2:$D$127=$D128)*(案件入力!$R$2:$R$127="完了")*(案件入力!$B$2:$B$127))),"0"),案件入力!$T$2:$T$127,0))),"")</f>
        <v/>
      </c>
      <c r="I128" s="40" t="n"/>
      <c r="J128" s="11">
        <f>IF(OR($H128="",$I128=""),"",IFERROR(($I128-$H128)/$H128,""))</f>
        <v/>
      </c>
      <c r="K128" s="8" t="n"/>
      <c r="L128" s="40">
        <f>IFERROR(IF(SUMPRODUCT(MAX((案件入力!$D$2:$D$127=$D128)*(案件入力!$R$2:$R$127="完了")*(案件入力!$B$2:$B$127)))=0,VLOOKUP($D128,商品マスタ範囲,6,FALSE),INDEX(案件入力!$M$2:$M$127,MATCH($D128&amp;"|"&amp;TEXT(SUMPRODUCT(MAX((案件入力!$D$2:$D$127=$D128)*(案件入力!$R$2:$R$127="完了")*(案件入力!$B$2:$B$127))),"0"),案件入力!$T$2:$T$127,0))),"")</f>
        <v/>
      </c>
      <c r="M128" s="40" t="n"/>
      <c r="N128" s="11">
        <f>IF(OR($L128="",$M128=""),"",IFERROR(($M128-$L128)/$L128,""))</f>
        <v/>
      </c>
      <c r="O128" s="8" t="n"/>
      <c r="P128" s="9" t="n"/>
      <c r="Q128" s="7" t="n"/>
      <c r="R128" s="7" t="n"/>
      <c r="S128" s="7" t="n"/>
      <c r="T128" s="7">
        <f>IF($R128="完了",$D128&amp;"|"&amp;TEXT($B128,"0"),"")</f>
        <v/>
      </c>
    </row>
    <row r="129">
      <c r="A129" s="7">
        <f>IF($B129="","",TEXT(YEAR($B129),"0000")&amp;"-"&amp;TEXT(SUMPRODUCT((YEAR($B$2:$B129)=YEAR($B129))*($B$2:$B129&lt;&gt;"")),"000"))</f>
        <v/>
      </c>
      <c r="B129" s="8" t="n"/>
      <c r="C129" s="7" t="n"/>
      <c r="D129" s="9" t="n"/>
      <c r="E129" s="7">
        <f>IFERROR(VLOOKUP($D129,商品マスタ範囲,4,FALSE),"")</f>
        <v/>
      </c>
      <c r="F129" s="7">
        <f>IFERROR(VLOOKUP($D129,商品マスタ範囲,2,FALSE),"")</f>
        <v/>
      </c>
      <c r="G129" s="7">
        <f>IFERROR(VLOOKUP($D129,商品マスタ範囲,3,FALSE),"")</f>
        <v/>
      </c>
      <c r="H129" s="40">
        <f>IFERROR(IF(SUMPRODUCT(MAX((案件入力!$D$2:$D$128=$D129)*(案件入力!$R$2:$R$128="完了")*(案件入力!$B$2:$B$128)))=0,VLOOKUP($D129,商品マスタ範囲,5,FALSE),INDEX(案件入力!$I$2:$I$128,MATCH($D129&amp;"|"&amp;TEXT(SUMPRODUCT(MAX((案件入力!$D$2:$D$128=$D129)*(案件入力!$R$2:$R$128="完了")*(案件入力!$B$2:$B$128))),"0"),案件入力!$T$2:$T$128,0))),"")</f>
        <v/>
      </c>
      <c r="I129" s="40" t="n"/>
      <c r="J129" s="11">
        <f>IF(OR($H129="",$I129=""),"",IFERROR(($I129-$H129)/$H129,""))</f>
        <v/>
      </c>
      <c r="K129" s="8" t="n"/>
      <c r="L129" s="40">
        <f>IFERROR(IF(SUMPRODUCT(MAX((案件入力!$D$2:$D$128=$D129)*(案件入力!$R$2:$R$128="完了")*(案件入力!$B$2:$B$128)))=0,VLOOKUP($D129,商品マスタ範囲,6,FALSE),INDEX(案件入力!$M$2:$M$128,MATCH($D129&amp;"|"&amp;TEXT(SUMPRODUCT(MAX((案件入力!$D$2:$D$128=$D129)*(案件入力!$R$2:$R$128="完了")*(案件入力!$B$2:$B$128))),"0"),案件入力!$T$2:$T$128,0))),"")</f>
        <v/>
      </c>
      <c r="M129" s="40" t="n"/>
      <c r="N129" s="11">
        <f>IF(OR($L129="",$M129=""),"",IFERROR(($M129-$L129)/$L129,""))</f>
        <v/>
      </c>
      <c r="O129" s="8" t="n"/>
      <c r="P129" s="9" t="n"/>
      <c r="Q129" s="7" t="n"/>
      <c r="R129" s="7" t="n"/>
      <c r="S129" s="7" t="n"/>
      <c r="T129" s="7">
        <f>IF($R129="完了",$D129&amp;"|"&amp;TEXT($B129,"0"),"")</f>
        <v/>
      </c>
    </row>
    <row r="130">
      <c r="A130" s="7">
        <f>IF($B130="","",TEXT(YEAR($B130),"0000")&amp;"-"&amp;TEXT(SUMPRODUCT((YEAR($B$2:$B130)=YEAR($B130))*($B$2:$B130&lt;&gt;"")),"000"))</f>
        <v/>
      </c>
      <c r="B130" s="8" t="n"/>
      <c r="C130" s="7" t="n"/>
      <c r="D130" s="9" t="n"/>
      <c r="E130" s="7">
        <f>IFERROR(VLOOKUP($D130,商品マスタ範囲,4,FALSE),"")</f>
        <v/>
      </c>
      <c r="F130" s="7">
        <f>IFERROR(VLOOKUP($D130,商品マスタ範囲,2,FALSE),"")</f>
        <v/>
      </c>
      <c r="G130" s="7">
        <f>IFERROR(VLOOKUP($D130,商品マスタ範囲,3,FALSE),"")</f>
        <v/>
      </c>
      <c r="H130" s="40">
        <f>IFERROR(IF(SUMPRODUCT(MAX((案件入力!$D$2:$D$129=$D130)*(案件入力!$R$2:$R$129="完了")*(案件入力!$B$2:$B$129)))=0,VLOOKUP($D130,商品マスタ範囲,5,FALSE),INDEX(案件入力!$I$2:$I$129,MATCH($D130&amp;"|"&amp;TEXT(SUMPRODUCT(MAX((案件入力!$D$2:$D$129=$D130)*(案件入力!$R$2:$R$129="完了")*(案件入力!$B$2:$B$129))),"0"),案件入力!$T$2:$T$129,0))),"")</f>
        <v/>
      </c>
      <c r="I130" s="40" t="n"/>
      <c r="J130" s="11">
        <f>IF(OR($H130="",$I130=""),"",IFERROR(($I130-$H130)/$H130,""))</f>
        <v/>
      </c>
      <c r="K130" s="8" t="n"/>
      <c r="L130" s="40">
        <f>IFERROR(IF(SUMPRODUCT(MAX((案件入力!$D$2:$D$129=$D130)*(案件入力!$R$2:$R$129="完了")*(案件入力!$B$2:$B$129)))=0,VLOOKUP($D130,商品マスタ範囲,6,FALSE),INDEX(案件入力!$M$2:$M$129,MATCH($D130&amp;"|"&amp;TEXT(SUMPRODUCT(MAX((案件入力!$D$2:$D$129=$D130)*(案件入力!$R$2:$R$129="完了")*(案件入力!$B$2:$B$129))),"0"),案件入力!$T$2:$T$129,0))),"")</f>
        <v/>
      </c>
      <c r="M130" s="40" t="n"/>
      <c r="N130" s="11">
        <f>IF(OR($L130="",$M130=""),"",IFERROR(($M130-$L130)/$L130,""))</f>
        <v/>
      </c>
      <c r="O130" s="8" t="n"/>
      <c r="P130" s="9" t="n"/>
      <c r="Q130" s="7" t="n"/>
      <c r="R130" s="7" t="n"/>
      <c r="S130" s="7" t="n"/>
      <c r="T130" s="7">
        <f>IF($R130="完了",$D130&amp;"|"&amp;TEXT($B130,"0"),"")</f>
        <v/>
      </c>
    </row>
    <row r="131">
      <c r="A131" s="7">
        <f>IF($B131="","",TEXT(YEAR($B131),"0000")&amp;"-"&amp;TEXT(SUMPRODUCT((YEAR($B$2:$B131)=YEAR($B131))*($B$2:$B131&lt;&gt;"")),"000"))</f>
        <v/>
      </c>
      <c r="B131" s="8" t="n"/>
      <c r="C131" s="7" t="n"/>
      <c r="D131" s="9" t="n"/>
      <c r="E131" s="7">
        <f>IFERROR(VLOOKUP($D131,商品マスタ範囲,4,FALSE),"")</f>
        <v/>
      </c>
      <c r="F131" s="7">
        <f>IFERROR(VLOOKUP($D131,商品マスタ範囲,2,FALSE),"")</f>
        <v/>
      </c>
      <c r="G131" s="7">
        <f>IFERROR(VLOOKUP($D131,商品マスタ範囲,3,FALSE),"")</f>
        <v/>
      </c>
      <c r="H131" s="40">
        <f>IFERROR(IF(SUMPRODUCT(MAX((案件入力!$D$2:$D$130=$D131)*(案件入力!$R$2:$R$130="完了")*(案件入力!$B$2:$B$130)))=0,VLOOKUP($D131,商品マスタ範囲,5,FALSE),INDEX(案件入力!$I$2:$I$130,MATCH($D131&amp;"|"&amp;TEXT(SUMPRODUCT(MAX((案件入力!$D$2:$D$130=$D131)*(案件入力!$R$2:$R$130="完了")*(案件入力!$B$2:$B$130))),"0"),案件入力!$T$2:$T$130,0))),"")</f>
        <v/>
      </c>
      <c r="I131" s="40" t="n"/>
      <c r="J131" s="11">
        <f>IF(OR($H131="",$I131=""),"",IFERROR(($I131-$H131)/$H131,""))</f>
        <v/>
      </c>
      <c r="K131" s="8" t="n"/>
      <c r="L131" s="40">
        <f>IFERROR(IF(SUMPRODUCT(MAX((案件入力!$D$2:$D$130=$D131)*(案件入力!$R$2:$R$130="完了")*(案件入力!$B$2:$B$130)))=0,VLOOKUP($D131,商品マスタ範囲,6,FALSE),INDEX(案件入力!$M$2:$M$130,MATCH($D131&amp;"|"&amp;TEXT(SUMPRODUCT(MAX((案件入力!$D$2:$D$130=$D131)*(案件入力!$R$2:$R$130="完了")*(案件入力!$B$2:$B$130))),"0"),案件入力!$T$2:$T$130,0))),"")</f>
        <v/>
      </c>
      <c r="M131" s="40" t="n"/>
      <c r="N131" s="11">
        <f>IF(OR($L131="",$M131=""),"",IFERROR(($M131-$L131)/$L131,""))</f>
        <v/>
      </c>
      <c r="O131" s="8" t="n"/>
      <c r="P131" s="9" t="n"/>
      <c r="Q131" s="7" t="n"/>
      <c r="R131" s="7" t="n"/>
      <c r="S131" s="7" t="n"/>
      <c r="T131" s="7">
        <f>IF($R131="完了",$D131&amp;"|"&amp;TEXT($B131,"0"),"")</f>
        <v/>
      </c>
    </row>
    <row r="132">
      <c r="A132" s="7">
        <f>IF($B132="","",TEXT(YEAR($B132),"0000")&amp;"-"&amp;TEXT(SUMPRODUCT((YEAR($B$2:$B132)=YEAR($B132))*($B$2:$B132&lt;&gt;"")),"000"))</f>
        <v/>
      </c>
      <c r="B132" s="8" t="n"/>
      <c r="C132" s="7" t="n"/>
      <c r="D132" s="9" t="n"/>
      <c r="E132" s="7">
        <f>IFERROR(VLOOKUP($D132,商品マスタ範囲,4,FALSE),"")</f>
        <v/>
      </c>
      <c r="F132" s="7">
        <f>IFERROR(VLOOKUP($D132,商品マスタ範囲,2,FALSE),"")</f>
        <v/>
      </c>
      <c r="G132" s="7">
        <f>IFERROR(VLOOKUP($D132,商品マスタ範囲,3,FALSE),"")</f>
        <v/>
      </c>
      <c r="H132" s="40">
        <f>IFERROR(IF(SUMPRODUCT(MAX((案件入力!$D$2:$D$131=$D132)*(案件入力!$R$2:$R$131="完了")*(案件入力!$B$2:$B$131)))=0,VLOOKUP($D132,商品マスタ範囲,5,FALSE),INDEX(案件入力!$I$2:$I$131,MATCH($D132&amp;"|"&amp;TEXT(SUMPRODUCT(MAX((案件入力!$D$2:$D$131=$D132)*(案件入力!$R$2:$R$131="完了")*(案件入力!$B$2:$B$131))),"0"),案件入力!$T$2:$T$131,0))),"")</f>
        <v/>
      </c>
      <c r="I132" s="40" t="n"/>
      <c r="J132" s="11">
        <f>IF(OR($H132="",$I132=""),"",IFERROR(($I132-$H132)/$H132,""))</f>
        <v/>
      </c>
      <c r="K132" s="8" t="n"/>
      <c r="L132" s="40">
        <f>IFERROR(IF(SUMPRODUCT(MAX((案件入力!$D$2:$D$131=$D132)*(案件入力!$R$2:$R$131="完了")*(案件入力!$B$2:$B$131)))=0,VLOOKUP($D132,商品マスタ範囲,6,FALSE),INDEX(案件入力!$M$2:$M$131,MATCH($D132&amp;"|"&amp;TEXT(SUMPRODUCT(MAX((案件入力!$D$2:$D$131=$D132)*(案件入力!$R$2:$R$131="完了")*(案件入力!$B$2:$B$131))),"0"),案件入力!$T$2:$T$131,0))),"")</f>
        <v/>
      </c>
      <c r="M132" s="40" t="n"/>
      <c r="N132" s="11">
        <f>IF(OR($L132="",$M132=""),"",IFERROR(($M132-$L132)/$L132,""))</f>
        <v/>
      </c>
      <c r="O132" s="8" t="n"/>
      <c r="P132" s="9" t="n"/>
      <c r="Q132" s="7" t="n"/>
      <c r="R132" s="7" t="n"/>
      <c r="S132" s="7" t="n"/>
      <c r="T132" s="7">
        <f>IF($R132="完了",$D132&amp;"|"&amp;TEXT($B132,"0"),"")</f>
        <v/>
      </c>
    </row>
    <row r="133">
      <c r="A133" s="7">
        <f>IF($B133="","",TEXT(YEAR($B133),"0000")&amp;"-"&amp;TEXT(SUMPRODUCT((YEAR($B$2:$B133)=YEAR($B133))*($B$2:$B133&lt;&gt;"")),"000"))</f>
        <v/>
      </c>
      <c r="B133" s="8" t="n"/>
      <c r="C133" s="7" t="n"/>
      <c r="D133" s="9" t="n"/>
      <c r="E133" s="7">
        <f>IFERROR(VLOOKUP($D133,商品マスタ範囲,4,FALSE),"")</f>
        <v/>
      </c>
      <c r="F133" s="7">
        <f>IFERROR(VLOOKUP($D133,商品マスタ範囲,2,FALSE),"")</f>
        <v/>
      </c>
      <c r="G133" s="7">
        <f>IFERROR(VLOOKUP($D133,商品マスタ範囲,3,FALSE),"")</f>
        <v/>
      </c>
      <c r="H133" s="40">
        <f>IFERROR(IF(SUMPRODUCT(MAX((案件入力!$D$2:$D$132=$D133)*(案件入力!$R$2:$R$132="完了")*(案件入力!$B$2:$B$132)))=0,VLOOKUP($D133,商品マスタ範囲,5,FALSE),INDEX(案件入力!$I$2:$I$132,MATCH($D133&amp;"|"&amp;TEXT(SUMPRODUCT(MAX((案件入力!$D$2:$D$132=$D133)*(案件入力!$R$2:$R$132="完了")*(案件入力!$B$2:$B$132))),"0"),案件入力!$T$2:$T$132,0))),"")</f>
        <v/>
      </c>
      <c r="I133" s="40" t="n"/>
      <c r="J133" s="11">
        <f>IF(OR($H133="",$I133=""),"",IFERROR(($I133-$H133)/$H133,""))</f>
        <v/>
      </c>
      <c r="K133" s="8" t="n"/>
      <c r="L133" s="40">
        <f>IFERROR(IF(SUMPRODUCT(MAX((案件入力!$D$2:$D$132=$D133)*(案件入力!$R$2:$R$132="完了")*(案件入力!$B$2:$B$132)))=0,VLOOKUP($D133,商品マスタ範囲,6,FALSE),INDEX(案件入力!$M$2:$M$132,MATCH($D133&amp;"|"&amp;TEXT(SUMPRODUCT(MAX((案件入力!$D$2:$D$132=$D133)*(案件入力!$R$2:$R$132="完了")*(案件入力!$B$2:$B$132))),"0"),案件入力!$T$2:$T$132,0))),"")</f>
        <v/>
      </c>
      <c r="M133" s="40" t="n"/>
      <c r="N133" s="11">
        <f>IF(OR($L133="",$M133=""),"",IFERROR(($M133-$L133)/$L133,""))</f>
        <v/>
      </c>
      <c r="O133" s="8" t="n"/>
      <c r="P133" s="9" t="n"/>
      <c r="Q133" s="7" t="n"/>
      <c r="R133" s="7" t="n"/>
      <c r="S133" s="7" t="n"/>
      <c r="T133" s="7">
        <f>IF($R133="完了",$D133&amp;"|"&amp;TEXT($B133,"0"),"")</f>
        <v/>
      </c>
    </row>
    <row r="134">
      <c r="A134" s="7">
        <f>IF($B134="","",TEXT(YEAR($B134),"0000")&amp;"-"&amp;TEXT(SUMPRODUCT((YEAR($B$2:$B134)=YEAR($B134))*($B$2:$B134&lt;&gt;"")),"000"))</f>
        <v/>
      </c>
      <c r="B134" s="8" t="n"/>
      <c r="C134" s="7" t="n"/>
      <c r="D134" s="9" t="n"/>
      <c r="E134" s="7">
        <f>IFERROR(VLOOKUP($D134,商品マスタ範囲,4,FALSE),"")</f>
        <v/>
      </c>
      <c r="F134" s="7">
        <f>IFERROR(VLOOKUP($D134,商品マスタ範囲,2,FALSE),"")</f>
        <v/>
      </c>
      <c r="G134" s="7">
        <f>IFERROR(VLOOKUP($D134,商品マスタ範囲,3,FALSE),"")</f>
        <v/>
      </c>
      <c r="H134" s="40">
        <f>IFERROR(IF(SUMPRODUCT(MAX((案件入力!$D$2:$D$133=$D134)*(案件入力!$R$2:$R$133="完了")*(案件入力!$B$2:$B$133)))=0,VLOOKUP($D134,商品マスタ範囲,5,FALSE),INDEX(案件入力!$I$2:$I$133,MATCH($D134&amp;"|"&amp;TEXT(SUMPRODUCT(MAX((案件入力!$D$2:$D$133=$D134)*(案件入力!$R$2:$R$133="完了")*(案件入力!$B$2:$B$133))),"0"),案件入力!$T$2:$T$133,0))),"")</f>
        <v/>
      </c>
      <c r="I134" s="40" t="n"/>
      <c r="J134" s="11">
        <f>IF(OR($H134="",$I134=""),"",IFERROR(($I134-$H134)/$H134,""))</f>
        <v/>
      </c>
      <c r="K134" s="8" t="n"/>
      <c r="L134" s="40">
        <f>IFERROR(IF(SUMPRODUCT(MAX((案件入力!$D$2:$D$133=$D134)*(案件入力!$R$2:$R$133="完了")*(案件入力!$B$2:$B$133)))=0,VLOOKUP($D134,商品マスタ範囲,6,FALSE),INDEX(案件入力!$M$2:$M$133,MATCH($D134&amp;"|"&amp;TEXT(SUMPRODUCT(MAX((案件入力!$D$2:$D$133=$D134)*(案件入力!$R$2:$R$133="完了")*(案件入力!$B$2:$B$133))),"0"),案件入力!$T$2:$T$133,0))),"")</f>
        <v/>
      </c>
      <c r="M134" s="40" t="n"/>
      <c r="N134" s="11">
        <f>IF(OR($L134="",$M134=""),"",IFERROR(($M134-$L134)/$L134,""))</f>
        <v/>
      </c>
      <c r="O134" s="8" t="n"/>
      <c r="P134" s="9" t="n"/>
      <c r="Q134" s="7" t="n"/>
      <c r="R134" s="7" t="n"/>
      <c r="S134" s="7" t="n"/>
      <c r="T134" s="7">
        <f>IF($R134="完了",$D134&amp;"|"&amp;TEXT($B134,"0"),"")</f>
        <v/>
      </c>
    </row>
    <row r="135">
      <c r="A135" s="7">
        <f>IF($B135="","",TEXT(YEAR($B135),"0000")&amp;"-"&amp;TEXT(SUMPRODUCT((YEAR($B$2:$B135)=YEAR($B135))*($B$2:$B135&lt;&gt;"")),"000"))</f>
        <v/>
      </c>
      <c r="B135" s="8" t="n"/>
      <c r="C135" s="7" t="n"/>
      <c r="D135" s="9" t="n"/>
      <c r="E135" s="7">
        <f>IFERROR(VLOOKUP($D135,商品マスタ範囲,4,FALSE),"")</f>
        <v/>
      </c>
      <c r="F135" s="7">
        <f>IFERROR(VLOOKUP($D135,商品マスタ範囲,2,FALSE),"")</f>
        <v/>
      </c>
      <c r="G135" s="7">
        <f>IFERROR(VLOOKUP($D135,商品マスタ範囲,3,FALSE),"")</f>
        <v/>
      </c>
      <c r="H135" s="40">
        <f>IFERROR(IF(SUMPRODUCT(MAX((案件入力!$D$2:$D$134=$D135)*(案件入力!$R$2:$R$134="完了")*(案件入力!$B$2:$B$134)))=0,VLOOKUP($D135,商品マスタ範囲,5,FALSE),INDEX(案件入力!$I$2:$I$134,MATCH($D135&amp;"|"&amp;TEXT(SUMPRODUCT(MAX((案件入力!$D$2:$D$134=$D135)*(案件入力!$R$2:$R$134="完了")*(案件入力!$B$2:$B$134))),"0"),案件入力!$T$2:$T$134,0))),"")</f>
        <v/>
      </c>
      <c r="I135" s="40" t="n"/>
      <c r="J135" s="11">
        <f>IF(OR($H135="",$I135=""),"",IFERROR(($I135-$H135)/$H135,""))</f>
        <v/>
      </c>
      <c r="K135" s="8" t="n"/>
      <c r="L135" s="40">
        <f>IFERROR(IF(SUMPRODUCT(MAX((案件入力!$D$2:$D$134=$D135)*(案件入力!$R$2:$R$134="完了")*(案件入力!$B$2:$B$134)))=0,VLOOKUP($D135,商品マスタ範囲,6,FALSE),INDEX(案件入力!$M$2:$M$134,MATCH($D135&amp;"|"&amp;TEXT(SUMPRODUCT(MAX((案件入力!$D$2:$D$134=$D135)*(案件入力!$R$2:$R$134="完了")*(案件入力!$B$2:$B$134))),"0"),案件入力!$T$2:$T$134,0))),"")</f>
        <v/>
      </c>
      <c r="M135" s="40" t="n"/>
      <c r="N135" s="11">
        <f>IF(OR($L135="",$M135=""),"",IFERROR(($M135-$L135)/$L135,""))</f>
        <v/>
      </c>
      <c r="O135" s="8" t="n"/>
      <c r="P135" s="9" t="n"/>
      <c r="Q135" s="7" t="n"/>
      <c r="R135" s="7" t="n"/>
      <c r="S135" s="7" t="n"/>
      <c r="T135" s="7">
        <f>IF($R135="完了",$D135&amp;"|"&amp;TEXT($B135,"0"),"")</f>
        <v/>
      </c>
    </row>
    <row r="136">
      <c r="A136" s="7">
        <f>IF($B136="","",TEXT(YEAR($B136),"0000")&amp;"-"&amp;TEXT(SUMPRODUCT((YEAR($B$2:$B136)=YEAR($B136))*($B$2:$B136&lt;&gt;"")),"000"))</f>
        <v/>
      </c>
      <c r="B136" s="8" t="n"/>
      <c r="C136" s="7" t="n"/>
      <c r="D136" s="9" t="n"/>
      <c r="E136" s="7">
        <f>IFERROR(VLOOKUP($D136,商品マスタ範囲,4,FALSE),"")</f>
        <v/>
      </c>
      <c r="F136" s="7">
        <f>IFERROR(VLOOKUP($D136,商品マスタ範囲,2,FALSE),"")</f>
        <v/>
      </c>
      <c r="G136" s="7">
        <f>IFERROR(VLOOKUP($D136,商品マスタ範囲,3,FALSE),"")</f>
        <v/>
      </c>
      <c r="H136" s="40">
        <f>IFERROR(IF(SUMPRODUCT(MAX((案件入力!$D$2:$D$135=$D136)*(案件入力!$R$2:$R$135="完了")*(案件入力!$B$2:$B$135)))=0,VLOOKUP($D136,商品マスタ範囲,5,FALSE),INDEX(案件入力!$I$2:$I$135,MATCH($D136&amp;"|"&amp;TEXT(SUMPRODUCT(MAX((案件入力!$D$2:$D$135=$D136)*(案件入力!$R$2:$R$135="完了")*(案件入力!$B$2:$B$135))),"0"),案件入力!$T$2:$T$135,0))),"")</f>
        <v/>
      </c>
      <c r="I136" s="40" t="n"/>
      <c r="J136" s="11">
        <f>IF(OR($H136="",$I136=""),"",IFERROR(($I136-$H136)/$H136,""))</f>
        <v/>
      </c>
      <c r="K136" s="8" t="n"/>
      <c r="L136" s="40">
        <f>IFERROR(IF(SUMPRODUCT(MAX((案件入力!$D$2:$D$135=$D136)*(案件入力!$R$2:$R$135="完了")*(案件入力!$B$2:$B$135)))=0,VLOOKUP($D136,商品マスタ範囲,6,FALSE),INDEX(案件入力!$M$2:$M$135,MATCH($D136&amp;"|"&amp;TEXT(SUMPRODUCT(MAX((案件入力!$D$2:$D$135=$D136)*(案件入力!$R$2:$R$135="完了")*(案件入力!$B$2:$B$135))),"0"),案件入力!$T$2:$T$135,0))),"")</f>
        <v/>
      </c>
      <c r="M136" s="40" t="n"/>
      <c r="N136" s="11">
        <f>IF(OR($L136="",$M136=""),"",IFERROR(($M136-$L136)/$L136,""))</f>
        <v/>
      </c>
      <c r="O136" s="8" t="n"/>
      <c r="P136" s="9" t="n"/>
      <c r="Q136" s="7" t="n"/>
      <c r="R136" s="7" t="n"/>
      <c r="S136" s="7" t="n"/>
      <c r="T136" s="7">
        <f>IF($R136="完了",$D136&amp;"|"&amp;TEXT($B136,"0"),"")</f>
        <v/>
      </c>
    </row>
    <row r="137">
      <c r="A137" s="7">
        <f>IF($B137="","",TEXT(YEAR($B137),"0000")&amp;"-"&amp;TEXT(SUMPRODUCT((YEAR($B$2:$B137)=YEAR($B137))*($B$2:$B137&lt;&gt;"")),"000"))</f>
        <v/>
      </c>
      <c r="B137" s="8" t="n"/>
      <c r="C137" s="7" t="n"/>
      <c r="D137" s="9" t="n"/>
      <c r="E137" s="7">
        <f>IFERROR(VLOOKUP($D137,商品マスタ範囲,4,FALSE),"")</f>
        <v/>
      </c>
      <c r="F137" s="7">
        <f>IFERROR(VLOOKUP($D137,商品マスタ範囲,2,FALSE),"")</f>
        <v/>
      </c>
      <c r="G137" s="7">
        <f>IFERROR(VLOOKUP($D137,商品マスタ範囲,3,FALSE),"")</f>
        <v/>
      </c>
      <c r="H137" s="40">
        <f>IFERROR(IF(SUMPRODUCT(MAX((案件入力!$D$2:$D$136=$D137)*(案件入力!$R$2:$R$136="完了")*(案件入力!$B$2:$B$136)))=0,VLOOKUP($D137,商品マスタ範囲,5,FALSE),INDEX(案件入力!$I$2:$I$136,MATCH($D137&amp;"|"&amp;TEXT(SUMPRODUCT(MAX((案件入力!$D$2:$D$136=$D137)*(案件入力!$R$2:$R$136="完了")*(案件入力!$B$2:$B$136))),"0"),案件入力!$T$2:$T$136,0))),"")</f>
        <v/>
      </c>
      <c r="I137" s="40" t="n"/>
      <c r="J137" s="11">
        <f>IF(OR($H137="",$I137=""),"",IFERROR(($I137-$H137)/$H137,""))</f>
        <v/>
      </c>
      <c r="K137" s="8" t="n"/>
      <c r="L137" s="40">
        <f>IFERROR(IF(SUMPRODUCT(MAX((案件入力!$D$2:$D$136=$D137)*(案件入力!$R$2:$R$136="完了")*(案件入力!$B$2:$B$136)))=0,VLOOKUP($D137,商品マスタ範囲,6,FALSE),INDEX(案件入力!$M$2:$M$136,MATCH($D137&amp;"|"&amp;TEXT(SUMPRODUCT(MAX((案件入力!$D$2:$D$136=$D137)*(案件入力!$R$2:$R$136="完了")*(案件入力!$B$2:$B$136))),"0"),案件入力!$T$2:$T$136,0))),"")</f>
        <v/>
      </c>
      <c r="M137" s="40" t="n"/>
      <c r="N137" s="11">
        <f>IF(OR($L137="",$M137=""),"",IFERROR(($M137-$L137)/$L137,""))</f>
        <v/>
      </c>
      <c r="O137" s="8" t="n"/>
      <c r="P137" s="9" t="n"/>
      <c r="Q137" s="7" t="n"/>
      <c r="R137" s="7" t="n"/>
      <c r="S137" s="7" t="n"/>
      <c r="T137" s="7">
        <f>IF($R137="完了",$D137&amp;"|"&amp;TEXT($B137,"0"),"")</f>
        <v/>
      </c>
    </row>
    <row r="138">
      <c r="A138" s="7">
        <f>IF($B138="","",TEXT(YEAR($B138),"0000")&amp;"-"&amp;TEXT(SUMPRODUCT((YEAR($B$2:$B138)=YEAR($B138))*($B$2:$B138&lt;&gt;"")),"000"))</f>
        <v/>
      </c>
      <c r="B138" s="8" t="n"/>
      <c r="C138" s="7" t="n"/>
      <c r="D138" s="9" t="n"/>
      <c r="E138" s="7">
        <f>IFERROR(VLOOKUP($D138,商品マスタ範囲,4,FALSE),"")</f>
        <v/>
      </c>
      <c r="F138" s="7">
        <f>IFERROR(VLOOKUP($D138,商品マスタ範囲,2,FALSE),"")</f>
        <v/>
      </c>
      <c r="G138" s="7">
        <f>IFERROR(VLOOKUP($D138,商品マスタ範囲,3,FALSE),"")</f>
        <v/>
      </c>
      <c r="H138" s="40">
        <f>IFERROR(IF(SUMPRODUCT(MAX((案件入力!$D$2:$D$137=$D138)*(案件入力!$R$2:$R$137="完了")*(案件入力!$B$2:$B$137)))=0,VLOOKUP($D138,商品マスタ範囲,5,FALSE),INDEX(案件入力!$I$2:$I$137,MATCH($D138&amp;"|"&amp;TEXT(SUMPRODUCT(MAX((案件入力!$D$2:$D$137=$D138)*(案件入力!$R$2:$R$137="完了")*(案件入力!$B$2:$B$137))),"0"),案件入力!$T$2:$T$137,0))),"")</f>
        <v/>
      </c>
      <c r="I138" s="40" t="n"/>
      <c r="J138" s="11">
        <f>IF(OR($H138="",$I138=""),"",IFERROR(($I138-$H138)/$H138,""))</f>
        <v/>
      </c>
      <c r="K138" s="8" t="n"/>
      <c r="L138" s="40">
        <f>IFERROR(IF(SUMPRODUCT(MAX((案件入力!$D$2:$D$137=$D138)*(案件入力!$R$2:$R$137="完了")*(案件入力!$B$2:$B$137)))=0,VLOOKUP($D138,商品マスタ範囲,6,FALSE),INDEX(案件入力!$M$2:$M$137,MATCH($D138&amp;"|"&amp;TEXT(SUMPRODUCT(MAX((案件入力!$D$2:$D$137=$D138)*(案件入力!$R$2:$R$137="完了")*(案件入力!$B$2:$B$137))),"0"),案件入力!$T$2:$T$137,0))),"")</f>
        <v/>
      </c>
      <c r="M138" s="40" t="n"/>
      <c r="N138" s="11">
        <f>IF(OR($L138="",$M138=""),"",IFERROR(($M138-$L138)/$L138,""))</f>
        <v/>
      </c>
      <c r="O138" s="8" t="n"/>
      <c r="P138" s="9" t="n"/>
      <c r="Q138" s="7" t="n"/>
      <c r="R138" s="7" t="n"/>
      <c r="S138" s="7" t="n"/>
      <c r="T138" s="7">
        <f>IF($R138="完了",$D138&amp;"|"&amp;TEXT($B138,"0"),"")</f>
        <v/>
      </c>
    </row>
    <row r="139">
      <c r="A139" s="7">
        <f>IF($B139="","",TEXT(YEAR($B139),"0000")&amp;"-"&amp;TEXT(SUMPRODUCT((YEAR($B$2:$B139)=YEAR($B139))*($B$2:$B139&lt;&gt;"")),"000"))</f>
        <v/>
      </c>
      <c r="B139" s="8" t="n"/>
      <c r="C139" s="7" t="n"/>
      <c r="D139" s="9" t="n"/>
      <c r="E139" s="7">
        <f>IFERROR(VLOOKUP($D139,商品マスタ範囲,4,FALSE),"")</f>
        <v/>
      </c>
      <c r="F139" s="7">
        <f>IFERROR(VLOOKUP($D139,商品マスタ範囲,2,FALSE),"")</f>
        <v/>
      </c>
      <c r="G139" s="7">
        <f>IFERROR(VLOOKUP($D139,商品マスタ範囲,3,FALSE),"")</f>
        <v/>
      </c>
      <c r="H139" s="40">
        <f>IFERROR(IF(SUMPRODUCT(MAX((案件入力!$D$2:$D$138=$D139)*(案件入力!$R$2:$R$138="完了")*(案件入力!$B$2:$B$138)))=0,VLOOKUP($D139,商品マスタ範囲,5,FALSE),INDEX(案件入力!$I$2:$I$138,MATCH($D139&amp;"|"&amp;TEXT(SUMPRODUCT(MAX((案件入力!$D$2:$D$138=$D139)*(案件入力!$R$2:$R$138="完了")*(案件入力!$B$2:$B$138))),"0"),案件入力!$T$2:$T$138,0))),"")</f>
        <v/>
      </c>
      <c r="I139" s="40" t="n"/>
      <c r="J139" s="11">
        <f>IF(OR($H139="",$I139=""),"",IFERROR(($I139-$H139)/$H139,""))</f>
        <v/>
      </c>
      <c r="K139" s="8" t="n"/>
      <c r="L139" s="40">
        <f>IFERROR(IF(SUMPRODUCT(MAX((案件入力!$D$2:$D$138=$D139)*(案件入力!$R$2:$R$138="完了")*(案件入力!$B$2:$B$138)))=0,VLOOKUP($D139,商品マスタ範囲,6,FALSE),INDEX(案件入力!$M$2:$M$138,MATCH($D139&amp;"|"&amp;TEXT(SUMPRODUCT(MAX((案件入力!$D$2:$D$138=$D139)*(案件入力!$R$2:$R$138="完了")*(案件入力!$B$2:$B$138))),"0"),案件入力!$T$2:$T$138,0))),"")</f>
        <v/>
      </c>
      <c r="M139" s="40" t="n"/>
      <c r="N139" s="11">
        <f>IF(OR($L139="",$M139=""),"",IFERROR(($M139-$L139)/$L139,""))</f>
        <v/>
      </c>
      <c r="O139" s="8" t="n"/>
      <c r="P139" s="9" t="n"/>
      <c r="Q139" s="7" t="n"/>
      <c r="R139" s="7" t="n"/>
      <c r="S139" s="7" t="n"/>
      <c r="T139" s="7">
        <f>IF($R139="完了",$D139&amp;"|"&amp;TEXT($B139,"0"),"")</f>
        <v/>
      </c>
    </row>
    <row r="140">
      <c r="A140" s="7">
        <f>IF($B140="","",TEXT(YEAR($B140),"0000")&amp;"-"&amp;TEXT(SUMPRODUCT((YEAR($B$2:$B140)=YEAR($B140))*($B$2:$B140&lt;&gt;"")),"000"))</f>
        <v/>
      </c>
      <c r="B140" s="8" t="n"/>
      <c r="C140" s="7" t="n"/>
      <c r="D140" s="9" t="n"/>
      <c r="E140" s="7">
        <f>IFERROR(VLOOKUP($D140,商品マスタ範囲,4,FALSE),"")</f>
        <v/>
      </c>
      <c r="F140" s="7">
        <f>IFERROR(VLOOKUP($D140,商品マスタ範囲,2,FALSE),"")</f>
        <v/>
      </c>
      <c r="G140" s="7">
        <f>IFERROR(VLOOKUP($D140,商品マスタ範囲,3,FALSE),"")</f>
        <v/>
      </c>
      <c r="H140" s="40">
        <f>IFERROR(IF(SUMPRODUCT(MAX((案件入力!$D$2:$D$139=$D140)*(案件入力!$R$2:$R$139="完了")*(案件入力!$B$2:$B$139)))=0,VLOOKUP($D140,商品マスタ範囲,5,FALSE),INDEX(案件入力!$I$2:$I$139,MATCH($D140&amp;"|"&amp;TEXT(SUMPRODUCT(MAX((案件入力!$D$2:$D$139=$D140)*(案件入力!$R$2:$R$139="完了")*(案件入力!$B$2:$B$139))),"0"),案件入力!$T$2:$T$139,0))),"")</f>
        <v/>
      </c>
      <c r="I140" s="40" t="n"/>
      <c r="J140" s="11">
        <f>IF(OR($H140="",$I140=""),"",IFERROR(($I140-$H140)/$H140,""))</f>
        <v/>
      </c>
      <c r="K140" s="8" t="n"/>
      <c r="L140" s="40">
        <f>IFERROR(IF(SUMPRODUCT(MAX((案件入力!$D$2:$D$139=$D140)*(案件入力!$R$2:$R$139="完了")*(案件入力!$B$2:$B$139)))=0,VLOOKUP($D140,商品マスタ範囲,6,FALSE),INDEX(案件入力!$M$2:$M$139,MATCH($D140&amp;"|"&amp;TEXT(SUMPRODUCT(MAX((案件入力!$D$2:$D$139=$D140)*(案件入力!$R$2:$R$139="完了")*(案件入力!$B$2:$B$139))),"0"),案件入力!$T$2:$T$139,0))),"")</f>
        <v/>
      </c>
      <c r="M140" s="40" t="n"/>
      <c r="N140" s="11">
        <f>IF(OR($L140="",$M140=""),"",IFERROR(($M140-$L140)/$L140,""))</f>
        <v/>
      </c>
      <c r="O140" s="8" t="n"/>
      <c r="P140" s="9" t="n"/>
      <c r="Q140" s="7" t="n"/>
      <c r="R140" s="7" t="n"/>
      <c r="S140" s="7" t="n"/>
      <c r="T140" s="7">
        <f>IF($R140="完了",$D140&amp;"|"&amp;TEXT($B140,"0"),"")</f>
        <v/>
      </c>
    </row>
    <row r="141">
      <c r="A141" s="7">
        <f>IF($B141="","",TEXT(YEAR($B141),"0000")&amp;"-"&amp;TEXT(SUMPRODUCT((YEAR($B$2:$B141)=YEAR($B141))*($B$2:$B141&lt;&gt;"")),"000"))</f>
        <v/>
      </c>
      <c r="B141" s="8" t="n"/>
      <c r="C141" s="7" t="n"/>
      <c r="D141" s="9" t="n"/>
      <c r="E141" s="7">
        <f>IFERROR(VLOOKUP($D141,商品マスタ範囲,4,FALSE),"")</f>
        <v/>
      </c>
      <c r="F141" s="7">
        <f>IFERROR(VLOOKUP($D141,商品マスタ範囲,2,FALSE),"")</f>
        <v/>
      </c>
      <c r="G141" s="7">
        <f>IFERROR(VLOOKUP($D141,商品マスタ範囲,3,FALSE),"")</f>
        <v/>
      </c>
      <c r="H141" s="40">
        <f>IFERROR(IF(SUMPRODUCT(MAX((案件入力!$D$2:$D$140=$D141)*(案件入力!$R$2:$R$140="完了")*(案件入力!$B$2:$B$140)))=0,VLOOKUP($D141,商品マスタ範囲,5,FALSE),INDEX(案件入力!$I$2:$I$140,MATCH($D141&amp;"|"&amp;TEXT(SUMPRODUCT(MAX((案件入力!$D$2:$D$140=$D141)*(案件入力!$R$2:$R$140="完了")*(案件入力!$B$2:$B$140))),"0"),案件入力!$T$2:$T$140,0))),"")</f>
        <v/>
      </c>
      <c r="I141" s="40" t="n"/>
      <c r="J141" s="11">
        <f>IF(OR($H141="",$I141=""),"",IFERROR(($I141-$H141)/$H141,""))</f>
        <v/>
      </c>
      <c r="K141" s="8" t="n"/>
      <c r="L141" s="40">
        <f>IFERROR(IF(SUMPRODUCT(MAX((案件入力!$D$2:$D$140=$D141)*(案件入力!$R$2:$R$140="完了")*(案件入力!$B$2:$B$140)))=0,VLOOKUP($D141,商品マスタ範囲,6,FALSE),INDEX(案件入力!$M$2:$M$140,MATCH($D141&amp;"|"&amp;TEXT(SUMPRODUCT(MAX((案件入力!$D$2:$D$140=$D141)*(案件入力!$R$2:$R$140="完了")*(案件入力!$B$2:$B$140))),"0"),案件入力!$T$2:$T$140,0))),"")</f>
        <v/>
      </c>
      <c r="M141" s="40" t="n"/>
      <c r="N141" s="11">
        <f>IF(OR($L141="",$M141=""),"",IFERROR(($M141-$L141)/$L141,""))</f>
        <v/>
      </c>
      <c r="O141" s="8" t="n"/>
      <c r="P141" s="9" t="n"/>
      <c r="Q141" s="7" t="n"/>
      <c r="R141" s="7" t="n"/>
      <c r="S141" s="7" t="n"/>
      <c r="T141" s="7">
        <f>IF($R141="完了",$D141&amp;"|"&amp;TEXT($B141,"0"),"")</f>
        <v/>
      </c>
    </row>
    <row r="142">
      <c r="A142" s="7">
        <f>IF($B142="","",TEXT(YEAR($B142),"0000")&amp;"-"&amp;TEXT(SUMPRODUCT((YEAR($B$2:$B142)=YEAR($B142))*($B$2:$B142&lt;&gt;"")),"000"))</f>
        <v/>
      </c>
      <c r="B142" s="8" t="n"/>
      <c r="C142" s="7" t="n"/>
      <c r="D142" s="9" t="n"/>
      <c r="E142" s="7">
        <f>IFERROR(VLOOKUP($D142,商品マスタ範囲,4,FALSE),"")</f>
        <v/>
      </c>
      <c r="F142" s="7">
        <f>IFERROR(VLOOKUP($D142,商品マスタ範囲,2,FALSE),"")</f>
        <v/>
      </c>
      <c r="G142" s="7">
        <f>IFERROR(VLOOKUP($D142,商品マスタ範囲,3,FALSE),"")</f>
        <v/>
      </c>
      <c r="H142" s="40">
        <f>IFERROR(IF(SUMPRODUCT(MAX((案件入力!$D$2:$D$141=$D142)*(案件入力!$R$2:$R$141="完了")*(案件入力!$B$2:$B$141)))=0,VLOOKUP($D142,商品マスタ範囲,5,FALSE),INDEX(案件入力!$I$2:$I$141,MATCH($D142&amp;"|"&amp;TEXT(SUMPRODUCT(MAX((案件入力!$D$2:$D$141=$D142)*(案件入力!$R$2:$R$141="完了")*(案件入力!$B$2:$B$141))),"0"),案件入力!$T$2:$T$141,0))),"")</f>
        <v/>
      </c>
      <c r="I142" s="40" t="n"/>
      <c r="J142" s="11">
        <f>IF(OR($H142="",$I142=""),"",IFERROR(($I142-$H142)/$H142,""))</f>
        <v/>
      </c>
      <c r="K142" s="8" t="n"/>
      <c r="L142" s="40">
        <f>IFERROR(IF(SUMPRODUCT(MAX((案件入力!$D$2:$D$141=$D142)*(案件入力!$R$2:$R$141="完了")*(案件入力!$B$2:$B$141)))=0,VLOOKUP($D142,商品マスタ範囲,6,FALSE),INDEX(案件入力!$M$2:$M$141,MATCH($D142&amp;"|"&amp;TEXT(SUMPRODUCT(MAX((案件入力!$D$2:$D$141=$D142)*(案件入力!$R$2:$R$141="完了")*(案件入力!$B$2:$B$141))),"0"),案件入力!$T$2:$T$141,0))),"")</f>
        <v/>
      </c>
      <c r="M142" s="40" t="n"/>
      <c r="N142" s="11">
        <f>IF(OR($L142="",$M142=""),"",IFERROR(($M142-$L142)/$L142,""))</f>
        <v/>
      </c>
      <c r="O142" s="8" t="n"/>
      <c r="P142" s="9" t="n"/>
      <c r="Q142" s="7" t="n"/>
      <c r="R142" s="7" t="n"/>
      <c r="S142" s="7" t="n"/>
      <c r="T142" s="7">
        <f>IF($R142="完了",$D142&amp;"|"&amp;TEXT($B142,"0"),"")</f>
        <v/>
      </c>
    </row>
    <row r="143">
      <c r="A143" s="7">
        <f>IF($B143="","",TEXT(YEAR($B143),"0000")&amp;"-"&amp;TEXT(SUMPRODUCT((YEAR($B$2:$B143)=YEAR($B143))*($B$2:$B143&lt;&gt;"")),"000"))</f>
        <v/>
      </c>
      <c r="B143" s="8" t="n"/>
      <c r="C143" s="7" t="n"/>
      <c r="D143" s="9" t="n"/>
      <c r="E143" s="7">
        <f>IFERROR(VLOOKUP($D143,商品マスタ範囲,4,FALSE),"")</f>
        <v/>
      </c>
      <c r="F143" s="7">
        <f>IFERROR(VLOOKUP($D143,商品マスタ範囲,2,FALSE),"")</f>
        <v/>
      </c>
      <c r="G143" s="7">
        <f>IFERROR(VLOOKUP($D143,商品マスタ範囲,3,FALSE),"")</f>
        <v/>
      </c>
      <c r="H143" s="40">
        <f>IFERROR(IF(SUMPRODUCT(MAX((案件入力!$D$2:$D$142=$D143)*(案件入力!$R$2:$R$142="完了")*(案件入力!$B$2:$B$142)))=0,VLOOKUP($D143,商品マスタ範囲,5,FALSE),INDEX(案件入力!$I$2:$I$142,MATCH($D143&amp;"|"&amp;TEXT(SUMPRODUCT(MAX((案件入力!$D$2:$D$142=$D143)*(案件入力!$R$2:$R$142="完了")*(案件入力!$B$2:$B$142))),"0"),案件入力!$T$2:$T$142,0))),"")</f>
        <v/>
      </c>
      <c r="I143" s="40" t="n"/>
      <c r="J143" s="11">
        <f>IF(OR($H143="",$I143=""),"",IFERROR(($I143-$H143)/$H143,""))</f>
        <v/>
      </c>
      <c r="K143" s="8" t="n"/>
      <c r="L143" s="40">
        <f>IFERROR(IF(SUMPRODUCT(MAX((案件入力!$D$2:$D$142=$D143)*(案件入力!$R$2:$R$142="完了")*(案件入力!$B$2:$B$142)))=0,VLOOKUP($D143,商品マスタ範囲,6,FALSE),INDEX(案件入力!$M$2:$M$142,MATCH($D143&amp;"|"&amp;TEXT(SUMPRODUCT(MAX((案件入力!$D$2:$D$142=$D143)*(案件入力!$R$2:$R$142="完了")*(案件入力!$B$2:$B$142))),"0"),案件入力!$T$2:$T$142,0))),"")</f>
        <v/>
      </c>
      <c r="M143" s="40" t="n"/>
      <c r="N143" s="11">
        <f>IF(OR($L143="",$M143=""),"",IFERROR(($M143-$L143)/$L143,""))</f>
        <v/>
      </c>
      <c r="O143" s="8" t="n"/>
      <c r="P143" s="9" t="n"/>
      <c r="Q143" s="7" t="n"/>
      <c r="R143" s="7" t="n"/>
      <c r="S143" s="7" t="n"/>
      <c r="T143" s="7">
        <f>IF($R143="完了",$D143&amp;"|"&amp;TEXT($B143,"0"),"")</f>
        <v/>
      </c>
    </row>
    <row r="144">
      <c r="A144" s="7">
        <f>IF($B144="","",TEXT(YEAR($B144),"0000")&amp;"-"&amp;TEXT(SUMPRODUCT((YEAR($B$2:$B144)=YEAR($B144))*($B$2:$B144&lt;&gt;"")),"000"))</f>
        <v/>
      </c>
      <c r="B144" s="8" t="n"/>
      <c r="C144" s="7" t="n"/>
      <c r="D144" s="9" t="n"/>
      <c r="E144" s="7">
        <f>IFERROR(VLOOKUP($D144,商品マスタ範囲,4,FALSE),"")</f>
        <v/>
      </c>
      <c r="F144" s="7">
        <f>IFERROR(VLOOKUP($D144,商品マスタ範囲,2,FALSE),"")</f>
        <v/>
      </c>
      <c r="G144" s="7">
        <f>IFERROR(VLOOKUP($D144,商品マスタ範囲,3,FALSE),"")</f>
        <v/>
      </c>
      <c r="H144" s="40">
        <f>IFERROR(IF(SUMPRODUCT(MAX((案件入力!$D$2:$D$143=$D144)*(案件入力!$R$2:$R$143="完了")*(案件入力!$B$2:$B$143)))=0,VLOOKUP($D144,商品マスタ範囲,5,FALSE),INDEX(案件入力!$I$2:$I$143,MATCH($D144&amp;"|"&amp;TEXT(SUMPRODUCT(MAX((案件入力!$D$2:$D$143=$D144)*(案件入力!$R$2:$R$143="完了")*(案件入力!$B$2:$B$143))),"0"),案件入力!$T$2:$T$143,0))),"")</f>
        <v/>
      </c>
      <c r="I144" s="40" t="n"/>
      <c r="J144" s="11">
        <f>IF(OR($H144="",$I144=""),"",IFERROR(($I144-$H144)/$H144,""))</f>
        <v/>
      </c>
      <c r="K144" s="8" t="n"/>
      <c r="L144" s="40">
        <f>IFERROR(IF(SUMPRODUCT(MAX((案件入力!$D$2:$D$143=$D144)*(案件入力!$R$2:$R$143="完了")*(案件入力!$B$2:$B$143)))=0,VLOOKUP($D144,商品マスタ範囲,6,FALSE),INDEX(案件入力!$M$2:$M$143,MATCH($D144&amp;"|"&amp;TEXT(SUMPRODUCT(MAX((案件入力!$D$2:$D$143=$D144)*(案件入力!$R$2:$R$143="完了")*(案件入力!$B$2:$B$143))),"0"),案件入力!$T$2:$T$143,0))),"")</f>
        <v/>
      </c>
      <c r="M144" s="40" t="n"/>
      <c r="N144" s="11">
        <f>IF(OR($L144="",$M144=""),"",IFERROR(($M144-$L144)/$L144,""))</f>
        <v/>
      </c>
      <c r="O144" s="8" t="n"/>
      <c r="P144" s="9" t="n"/>
      <c r="Q144" s="7" t="n"/>
      <c r="R144" s="7" t="n"/>
      <c r="S144" s="7" t="n"/>
      <c r="T144" s="7">
        <f>IF($R144="完了",$D144&amp;"|"&amp;TEXT($B144,"0"),"")</f>
        <v/>
      </c>
    </row>
    <row r="145">
      <c r="A145" s="7">
        <f>IF($B145="","",TEXT(YEAR($B145),"0000")&amp;"-"&amp;TEXT(SUMPRODUCT((YEAR($B$2:$B145)=YEAR($B145))*($B$2:$B145&lt;&gt;"")),"000"))</f>
        <v/>
      </c>
      <c r="B145" s="8" t="n"/>
      <c r="C145" s="7" t="n"/>
      <c r="D145" s="9" t="n"/>
      <c r="E145" s="7">
        <f>IFERROR(VLOOKUP($D145,商品マスタ範囲,4,FALSE),"")</f>
        <v/>
      </c>
      <c r="F145" s="7">
        <f>IFERROR(VLOOKUP($D145,商品マスタ範囲,2,FALSE),"")</f>
        <v/>
      </c>
      <c r="G145" s="7">
        <f>IFERROR(VLOOKUP($D145,商品マスタ範囲,3,FALSE),"")</f>
        <v/>
      </c>
      <c r="H145" s="40">
        <f>IFERROR(IF(SUMPRODUCT(MAX((案件入力!$D$2:$D$144=$D145)*(案件入力!$R$2:$R$144="完了")*(案件入力!$B$2:$B$144)))=0,VLOOKUP($D145,商品マスタ範囲,5,FALSE),INDEX(案件入力!$I$2:$I$144,MATCH($D145&amp;"|"&amp;TEXT(SUMPRODUCT(MAX((案件入力!$D$2:$D$144=$D145)*(案件入力!$R$2:$R$144="完了")*(案件入力!$B$2:$B$144))),"0"),案件入力!$T$2:$T$144,0))),"")</f>
        <v/>
      </c>
      <c r="I145" s="40" t="n"/>
      <c r="J145" s="11">
        <f>IF(OR($H145="",$I145=""),"",IFERROR(($I145-$H145)/$H145,""))</f>
        <v/>
      </c>
      <c r="K145" s="8" t="n"/>
      <c r="L145" s="40">
        <f>IFERROR(IF(SUMPRODUCT(MAX((案件入力!$D$2:$D$144=$D145)*(案件入力!$R$2:$R$144="完了")*(案件入力!$B$2:$B$144)))=0,VLOOKUP($D145,商品マスタ範囲,6,FALSE),INDEX(案件入力!$M$2:$M$144,MATCH($D145&amp;"|"&amp;TEXT(SUMPRODUCT(MAX((案件入力!$D$2:$D$144=$D145)*(案件入力!$R$2:$R$144="完了")*(案件入力!$B$2:$B$144))),"0"),案件入力!$T$2:$T$144,0))),"")</f>
        <v/>
      </c>
      <c r="M145" s="40" t="n"/>
      <c r="N145" s="11">
        <f>IF(OR($L145="",$M145=""),"",IFERROR(($M145-$L145)/$L145,""))</f>
        <v/>
      </c>
      <c r="O145" s="8" t="n"/>
      <c r="P145" s="9" t="n"/>
      <c r="Q145" s="7" t="n"/>
      <c r="R145" s="7" t="n"/>
      <c r="S145" s="7" t="n"/>
      <c r="T145" s="7">
        <f>IF($R145="完了",$D145&amp;"|"&amp;TEXT($B145,"0"),"")</f>
        <v/>
      </c>
    </row>
    <row r="146">
      <c r="A146" s="7">
        <f>IF($B146="","",TEXT(YEAR($B146),"0000")&amp;"-"&amp;TEXT(SUMPRODUCT((YEAR($B$2:$B146)=YEAR($B146))*($B$2:$B146&lt;&gt;"")),"000"))</f>
        <v/>
      </c>
      <c r="B146" s="8" t="n"/>
      <c r="C146" s="7" t="n"/>
      <c r="D146" s="9" t="n"/>
      <c r="E146" s="7">
        <f>IFERROR(VLOOKUP($D146,商品マスタ範囲,4,FALSE),"")</f>
        <v/>
      </c>
      <c r="F146" s="7">
        <f>IFERROR(VLOOKUP($D146,商品マスタ範囲,2,FALSE),"")</f>
        <v/>
      </c>
      <c r="G146" s="7">
        <f>IFERROR(VLOOKUP($D146,商品マスタ範囲,3,FALSE),"")</f>
        <v/>
      </c>
      <c r="H146" s="40">
        <f>IFERROR(IF(SUMPRODUCT(MAX((案件入力!$D$2:$D$145=$D146)*(案件入力!$R$2:$R$145="完了")*(案件入力!$B$2:$B$145)))=0,VLOOKUP($D146,商品マスタ範囲,5,FALSE),INDEX(案件入力!$I$2:$I$145,MATCH($D146&amp;"|"&amp;TEXT(SUMPRODUCT(MAX((案件入力!$D$2:$D$145=$D146)*(案件入力!$R$2:$R$145="完了")*(案件入力!$B$2:$B$145))),"0"),案件入力!$T$2:$T$145,0))),"")</f>
        <v/>
      </c>
      <c r="I146" s="40" t="n"/>
      <c r="J146" s="11">
        <f>IF(OR($H146="",$I146=""),"",IFERROR(($I146-$H146)/$H146,""))</f>
        <v/>
      </c>
      <c r="K146" s="8" t="n"/>
      <c r="L146" s="40">
        <f>IFERROR(IF(SUMPRODUCT(MAX((案件入力!$D$2:$D$145=$D146)*(案件入力!$R$2:$R$145="完了")*(案件入力!$B$2:$B$145)))=0,VLOOKUP($D146,商品マスタ範囲,6,FALSE),INDEX(案件入力!$M$2:$M$145,MATCH($D146&amp;"|"&amp;TEXT(SUMPRODUCT(MAX((案件入力!$D$2:$D$145=$D146)*(案件入力!$R$2:$R$145="完了")*(案件入力!$B$2:$B$145))),"0"),案件入力!$T$2:$T$145,0))),"")</f>
        <v/>
      </c>
      <c r="M146" s="40" t="n"/>
      <c r="N146" s="11">
        <f>IF(OR($L146="",$M146=""),"",IFERROR(($M146-$L146)/$L146,""))</f>
        <v/>
      </c>
      <c r="O146" s="8" t="n"/>
      <c r="P146" s="9" t="n"/>
      <c r="Q146" s="7" t="n"/>
      <c r="R146" s="7" t="n"/>
      <c r="S146" s="7" t="n"/>
      <c r="T146" s="7">
        <f>IF($R146="完了",$D146&amp;"|"&amp;TEXT($B146,"0"),"")</f>
        <v/>
      </c>
    </row>
    <row r="147">
      <c r="A147" s="7">
        <f>IF($B147="","",TEXT(YEAR($B147),"0000")&amp;"-"&amp;TEXT(SUMPRODUCT((YEAR($B$2:$B147)=YEAR($B147))*($B$2:$B147&lt;&gt;"")),"000"))</f>
        <v/>
      </c>
      <c r="B147" s="8" t="n"/>
      <c r="C147" s="7" t="n"/>
      <c r="D147" s="9" t="n"/>
      <c r="E147" s="7">
        <f>IFERROR(VLOOKUP($D147,商品マスタ範囲,4,FALSE),"")</f>
        <v/>
      </c>
      <c r="F147" s="7">
        <f>IFERROR(VLOOKUP($D147,商品マスタ範囲,2,FALSE),"")</f>
        <v/>
      </c>
      <c r="G147" s="7">
        <f>IFERROR(VLOOKUP($D147,商品マスタ範囲,3,FALSE),"")</f>
        <v/>
      </c>
      <c r="H147" s="40">
        <f>IFERROR(IF(SUMPRODUCT(MAX((案件入力!$D$2:$D$146=$D147)*(案件入力!$R$2:$R$146="完了")*(案件入力!$B$2:$B$146)))=0,VLOOKUP($D147,商品マスタ範囲,5,FALSE),INDEX(案件入力!$I$2:$I$146,MATCH($D147&amp;"|"&amp;TEXT(SUMPRODUCT(MAX((案件入力!$D$2:$D$146=$D147)*(案件入力!$R$2:$R$146="完了")*(案件入力!$B$2:$B$146))),"0"),案件入力!$T$2:$T$146,0))),"")</f>
        <v/>
      </c>
      <c r="I147" s="40" t="n"/>
      <c r="J147" s="11">
        <f>IF(OR($H147="",$I147=""),"",IFERROR(($I147-$H147)/$H147,""))</f>
        <v/>
      </c>
      <c r="K147" s="8" t="n"/>
      <c r="L147" s="40">
        <f>IFERROR(IF(SUMPRODUCT(MAX((案件入力!$D$2:$D$146=$D147)*(案件入力!$R$2:$R$146="完了")*(案件入力!$B$2:$B$146)))=0,VLOOKUP($D147,商品マスタ範囲,6,FALSE),INDEX(案件入力!$M$2:$M$146,MATCH($D147&amp;"|"&amp;TEXT(SUMPRODUCT(MAX((案件入力!$D$2:$D$146=$D147)*(案件入力!$R$2:$R$146="完了")*(案件入力!$B$2:$B$146))),"0"),案件入力!$T$2:$T$146,0))),"")</f>
        <v/>
      </c>
      <c r="M147" s="40" t="n"/>
      <c r="N147" s="11">
        <f>IF(OR($L147="",$M147=""),"",IFERROR(($M147-$L147)/$L147,""))</f>
        <v/>
      </c>
      <c r="O147" s="8" t="n"/>
      <c r="P147" s="9" t="n"/>
      <c r="Q147" s="7" t="n"/>
      <c r="R147" s="7" t="n"/>
      <c r="S147" s="7" t="n"/>
      <c r="T147" s="7">
        <f>IF($R147="完了",$D147&amp;"|"&amp;TEXT($B147,"0"),"")</f>
        <v/>
      </c>
    </row>
    <row r="148">
      <c r="A148" s="7">
        <f>IF($B148="","",TEXT(YEAR($B148),"0000")&amp;"-"&amp;TEXT(SUMPRODUCT((YEAR($B$2:$B148)=YEAR($B148))*($B$2:$B148&lt;&gt;"")),"000"))</f>
        <v/>
      </c>
      <c r="B148" s="8" t="n"/>
      <c r="C148" s="7" t="n"/>
      <c r="D148" s="9" t="n"/>
      <c r="E148" s="7">
        <f>IFERROR(VLOOKUP($D148,商品マスタ範囲,4,FALSE),"")</f>
        <v/>
      </c>
      <c r="F148" s="7">
        <f>IFERROR(VLOOKUP($D148,商品マスタ範囲,2,FALSE),"")</f>
        <v/>
      </c>
      <c r="G148" s="7">
        <f>IFERROR(VLOOKUP($D148,商品マスタ範囲,3,FALSE),"")</f>
        <v/>
      </c>
      <c r="H148" s="40">
        <f>IFERROR(IF(SUMPRODUCT(MAX((案件入力!$D$2:$D$147=$D148)*(案件入力!$R$2:$R$147="完了")*(案件入力!$B$2:$B$147)))=0,VLOOKUP($D148,商品マスタ範囲,5,FALSE),INDEX(案件入力!$I$2:$I$147,MATCH($D148&amp;"|"&amp;TEXT(SUMPRODUCT(MAX((案件入力!$D$2:$D$147=$D148)*(案件入力!$R$2:$R$147="完了")*(案件入力!$B$2:$B$147))),"0"),案件入力!$T$2:$T$147,0))),"")</f>
        <v/>
      </c>
      <c r="I148" s="40" t="n"/>
      <c r="J148" s="11">
        <f>IF(OR($H148="",$I148=""),"",IFERROR(($I148-$H148)/$H148,""))</f>
        <v/>
      </c>
      <c r="K148" s="8" t="n"/>
      <c r="L148" s="40">
        <f>IFERROR(IF(SUMPRODUCT(MAX((案件入力!$D$2:$D$147=$D148)*(案件入力!$R$2:$R$147="完了")*(案件入力!$B$2:$B$147)))=0,VLOOKUP($D148,商品マスタ範囲,6,FALSE),INDEX(案件入力!$M$2:$M$147,MATCH($D148&amp;"|"&amp;TEXT(SUMPRODUCT(MAX((案件入力!$D$2:$D$147=$D148)*(案件入力!$R$2:$R$147="完了")*(案件入力!$B$2:$B$147))),"0"),案件入力!$T$2:$T$147,0))),"")</f>
        <v/>
      </c>
      <c r="M148" s="40" t="n"/>
      <c r="N148" s="11">
        <f>IF(OR($L148="",$M148=""),"",IFERROR(($M148-$L148)/$L148,""))</f>
        <v/>
      </c>
      <c r="O148" s="8" t="n"/>
      <c r="P148" s="9" t="n"/>
      <c r="Q148" s="7" t="n"/>
      <c r="R148" s="7" t="n"/>
      <c r="S148" s="7" t="n"/>
      <c r="T148" s="7">
        <f>IF($R148="完了",$D148&amp;"|"&amp;TEXT($B148,"0"),"")</f>
        <v/>
      </c>
    </row>
    <row r="149">
      <c r="A149" s="7">
        <f>IF($B149="","",TEXT(YEAR($B149),"0000")&amp;"-"&amp;TEXT(SUMPRODUCT((YEAR($B$2:$B149)=YEAR($B149))*($B$2:$B149&lt;&gt;"")),"000"))</f>
        <v/>
      </c>
      <c r="B149" s="8" t="n"/>
      <c r="C149" s="7" t="n"/>
      <c r="D149" s="9" t="n"/>
      <c r="E149" s="7">
        <f>IFERROR(VLOOKUP($D149,商品マスタ範囲,4,FALSE),"")</f>
        <v/>
      </c>
      <c r="F149" s="7">
        <f>IFERROR(VLOOKUP($D149,商品マスタ範囲,2,FALSE),"")</f>
        <v/>
      </c>
      <c r="G149" s="7">
        <f>IFERROR(VLOOKUP($D149,商品マスタ範囲,3,FALSE),"")</f>
        <v/>
      </c>
      <c r="H149" s="40">
        <f>IFERROR(IF(SUMPRODUCT(MAX((案件入力!$D$2:$D$148=$D149)*(案件入力!$R$2:$R$148="完了")*(案件入力!$B$2:$B$148)))=0,VLOOKUP($D149,商品マスタ範囲,5,FALSE),INDEX(案件入力!$I$2:$I$148,MATCH($D149&amp;"|"&amp;TEXT(SUMPRODUCT(MAX((案件入力!$D$2:$D$148=$D149)*(案件入力!$R$2:$R$148="完了")*(案件入力!$B$2:$B$148))),"0"),案件入力!$T$2:$T$148,0))),"")</f>
        <v/>
      </c>
      <c r="I149" s="40" t="n"/>
      <c r="J149" s="11">
        <f>IF(OR($H149="",$I149=""),"",IFERROR(($I149-$H149)/$H149,""))</f>
        <v/>
      </c>
      <c r="K149" s="8" t="n"/>
      <c r="L149" s="40">
        <f>IFERROR(IF(SUMPRODUCT(MAX((案件入力!$D$2:$D$148=$D149)*(案件入力!$R$2:$R$148="完了")*(案件入力!$B$2:$B$148)))=0,VLOOKUP($D149,商品マスタ範囲,6,FALSE),INDEX(案件入力!$M$2:$M$148,MATCH($D149&amp;"|"&amp;TEXT(SUMPRODUCT(MAX((案件入力!$D$2:$D$148=$D149)*(案件入力!$R$2:$R$148="完了")*(案件入力!$B$2:$B$148))),"0"),案件入力!$T$2:$T$148,0))),"")</f>
        <v/>
      </c>
      <c r="M149" s="40" t="n"/>
      <c r="N149" s="11">
        <f>IF(OR($L149="",$M149=""),"",IFERROR(($M149-$L149)/$L149,""))</f>
        <v/>
      </c>
      <c r="O149" s="8" t="n"/>
      <c r="P149" s="9" t="n"/>
      <c r="Q149" s="7" t="n"/>
      <c r="R149" s="7" t="n"/>
      <c r="S149" s="7" t="n"/>
      <c r="T149" s="7">
        <f>IF($R149="完了",$D149&amp;"|"&amp;TEXT($B149,"0"),"")</f>
        <v/>
      </c>
    </row>
    <row r="150">
      <c r="A150" s="7">
        <f>IF($B150="","",TEXT(YEAR($B150),"0000")&amp;"-"&amp;TEXT(SUMPRODUCT((YEAR($B$2:$B150)=YEAR($B150))*($B$2:$B150&lt;&gt;"")),"000"))</f>
        <v/>
      </c>
      <c r="B150" s="8" t="n"/>
      <c r="C150" s="7" t="n"/>
      <c r="D150" s="9" t="n"/>
      <c r="E150" s="7">
        <f>IFERROR(VLOOKUP($D150,商品マスタ範囲,4,FALSE),"")</f>
        <v/>
      </c>
      <c r="F150" s="7">
        <f>IFERROR(VLOOKUP($D150,商品マスタ範囲,2,FALSE),"")</f>
        <v/>
      </c>
      <c r="G150" s="7">
        <f>IFERROR(VLOOKUP($D150,商品マスタ範囲,3,FALSE),"")</f>
        <v/>
      </c>
      <c r="H150" s="40">
        <f>IFERROR(IF(SUMPRODUCT(MAX((案件入力!$D$2:$D$149=$D150)*(案件入力!$R$2:$R$149="完了")*(案件入力!$B$2:$B$149)))=0,VLOOKUP($D150,商品マスタ範囲,5,FALSE),INDEX(案件入力!$I$2:$I$149,MATCH($D150&amp;"|"&amp;TEXT(SUMPRODUCT(MAX((案件入力!$D$2:$D$149=$D150)*(案件入力!$R$2:$R$149="完了")*(案件入力!$B$2:$B$149))),"0"),案件入力!$T$2:$T$149,0))),"")</f>
        <v/>
      </c>
      <c r="I150" s="40" t="n"/>
      <c r="J150" s="11">
        <f>IF(OR($H150="",$I150=""),"",IFERROR(($I150-$H150)/$H150,""))</f>
        <v/>
      </c>
      <c r="K150" s="8" t="n"/>
      <c r="L150" s="40">
        <f>IFERROR(IF(SUMPRODUCT(MAX((案件入力!$D$2:$D$149=$D150)*(案件入力!$R$2:$R$149="完了")*(案件入力!$B$2:$B$149)))=0,VLOOKUP($D150,商品マスタ範囲,6,FALSE),INDEX(案件入力!$M$2:$M$149,MATCH($D150&amp;"|"&amp;TEXT(SUMPRODUCT(MAX((案件入力!$D$2:$D$149=$D150)*(案件入力!$R$2:$R$149="完了")*(案件入力!$B$2:$B$149))),"0"),案件入力!$T$2:$T$149,0))),"")</f>
        <v/>
      </c>
      <c r="M150" s="40" t="n"/>
      <c r="N150" s="11">
        <f>IF(OR($L150="",$M150=""),"",IFERROR(($M150-$L150)/$L150,""))</f>
        <v/>
      </c>
      <c r="O150" s="8" t="n"/>
      <c r="P150" s="9" t="n"/>
      <c r="Q150" s="7" t="n"/>
      <c r="R150" s="7" t="n"/>
      <c r="S150" s="7" t="n"/>
      <c r="T150" s="7">
        <f>IF($R150="完了",$D150&amp;"|"&amp;TEXT($B150,"0"),"")</f>
        <v/>
      </c>
    </row>
    <row r="151">
      <c r="A151" s="7">
        <f>IF($B151="","",TEXT(YEAR($B151),"0000")&amp;"-"&amp;TEXT(SUMPRODUCT((YEAR($B$2:$B151)=YEAR($B151))*($B$2:$B151&lt;&gt;"")),"000"))</f>
        <v/>
      </c>
      <c r="B151" s="8" t="n"/>
      <c r="C151" s="7" t="n"/>
      <c r="D151" s="9" t="n"/>
      <c r="E151" s="7">
        <f>IFERROR(VLOOKUP($D151,商品マスタ範囲,4,FALSE),"")</f>
        <v/>
      </c>
      <c r="F151" s="7">
        <f>IFERROR(VLOOKUP($D151,商品マスタ範囲,2,FALSE),"")</f>
        <v/>
      </c>
      <c r="G151" s="7">
        <f>IFERROR(VLOOKUP($D151,商品マスタ範囲,3,FALSE),"")</f>
        <v/>
      </c>
      <c r="H151" s="40">
        <f>IFERROR(IF(SUMPRODUCT(MAX((案件入力!$D$2:$D$150=$D151)*(案件入力!$R$2:$R$150="完了")*(案件入力!$B$2:$B$150)))=0,VLOOKUP($D151,商品マスタ範囲,5,FALSE),INDEX(案件入力!$I$2:$I$150,MATCH($D151&amp;"|"&amp;TEXT(SUMPRODUCT(MAX((案件入力!$D$2:$D$150=$D151)*(案件入力!$R$2:$R$150="完了")*(案件入力!$B$2:$B$150))),"0"),案件入力!$T$2:$T$150,0))),"")</f>
        <v/>
      </c>
      <c r="I151" s="40" t="n"/>
      <c r="J151" s="11">
        <f>IF(OR($H151="",$I151=""),"",IFERROR(($I151-$H151)/$H151,""))</f>
        <v/>
      </c>
      <c r="K151" s="8" t="n"/>
      <c r="L151" s="40">
        <f>IFERROR(IF(SUMPRODUCT(MAX((案件入力!$D$2:$D$150=$D151)*(案件入力!$R$2:$R$150="完了")*(案件入力!$B$2:$B$150)))=0,VLOOKUP($D151,商品マスタ範囲,6,FALSE),INDEX(案件入力!$M$2:$M$150,MATCH($D151&amp;"|"&amp;TEXT(SUMPRODUCT(MAX((案件入力!$D$2:$D$150=$D151)*(案件入力!$R$2:$R$150="完了")*(案件入力!$B$2:$B$150))),"0"),案件入力!$T$2:$T$150,0))),"")</f>
        <v/>
      </c>
      <c r="M151" s="40" t="n"/>
      <c r="N151" s="11">
        <f>IF(OR($L151="",$M151=""),"",IFERROR(($M151-$L151)/$L151,""))</f>
        <v/>
      </c>
      <c r="O151" s="8" t="n"/>
      <c r="P151" s="9" t="n"/>
      <c r="Q151" s="7" t="n"/>
      <c r="R151" s="7" t="n"/>
      <c r="S151" s="7" t="n"/>
      <c r="T151" s="7">
        <f>IF($R151="完了",$D151&amp;"|"&amp;TEXT($B151,"0"),"")</f>
        <v/>
      </c>
    </row>
    <row r="152">
      <c r="A152" s="7">
        <f>IF($B152="","",TEXT(YEAR($B152),"0000")&amp;"-"&amp;TEXT(SUMPRODUCT((YEAR($B$2:$B152)=YEAR($B152))*($B$2:$B152&lt;&gt;"")),"000"))</f>
        <v/>
      </c>
      <c r="B152" s="8" t="n"/>
      <c r="C152" s="7" t="n"/>
      <c r="D152" s="9" t="n"/>
      <c r="E152" s="7">
        <f>IFERROR(VLOOKUP($D152,商品マスタ範囲,4,FALSE),"")</f>
        <v/>
      </c>
      <c r="F152" s="7">
        <f>IFERROR(VLOOKUP($D152,商品マスタ範囲,2,FALSE),"")</f>
        <v/>
      </c>
      <c r="G152" s="7">
        <f>IFERROR(VLOOKUP($D152,商品マスタ範囲,3,FALSE),"")</f>
        <v/>
      </c>
      <c r="H152" s="40">
        <f>IFERROR(IF(SUMPRODUCT(MAX((案件入力!$D$2:$D$151=$D152)*(案件入力!$R$2:$R$151="完了")*(案件入力!$B$2:$B$151)))=0,VLOOKUP($D152,商品マスタ範囲,5,FALSE),INDEX(案件入力!$I$2:$I$151,MATCH($D152&amp;"|"&amp;TEXT(SUMPRODUCT(MAX((案件入力!$D$2:$D$151=$D152)*(案件入力!$R$2:$R$151="完了")*(案件入力!$B$2:$B$151))),"0"),案件入力!$T$2:$T$151,0))),"")</f>
        <v/>
      </c>
      <c r="I152" s="40" t="n"/>
      <c r="J152" s="11">
        <f>IF(OR($H152="",$I152=""),"",IFERROR(($I152-$H152)/$H152,""))</f>
        <v/>
      </c>
      <c r="K152" s="8" t="n"/>
      <c r="L152" s="40">
        <f>IFERROR(IF(SUMPRODUCT(MAX((案件入力!$D$2:$D$151=$D152)*(案件入力!$R$2:$R$151="完了")*(案件入力!$B$2:$B$151)))=0,VLOOKUP($D152,商品マスタ範囲,6,FALSE),INDEX(案件入力!$M$2:$M$151,MATCH($D152&amp;"|"&amp;TEXT(SUMPRODUCT(MAX((案件入力!$D$2:$D$151=$D152)*(案件入力!$R$2:$R$151="完了")*(案件入力!$B$2:$B$151))),"0"),案件入力!$T$2:$T$151,0))),"")</f>
        <v/>
      </c>
      <c r="M152" s="40" t="n"/>
      <c r="N152" s="11">
        <f>IF(OR($L152="",$M152=""),"",IFERROR(($M152-$L152)/$L152,""))</f>
        <v/>
      </c>
      <c r="O152" s="8" t="n"/>
      <c r="P152" s="9" t="n"/>
      <c r="Q152" s="7" t="n"/>
      <c r="R152" s="7" t="n"/>
      <c r="S152" s="7" t="n"/>
      <c r="T152" s="7">
        <f>IF($R152="完了",$D152&amp;"|"&amp;TEXT($B152,"0"),"")</f>
        <v/>
      </c>
    </row>
    <row r="153">
      <c r="A153" s="7">
        <f>IF($B153="","",TEXT(YEAR($B153),"0000")&amp;"-"&amp;TEXT(SUMPRODUCT((YEAR($B$2:$B153)=YEAR($B153))*($B$2:$B153&lt;&gt;"")),"000"))</f>
        <v/>
      </c>
      <c r="B153" s="8" t="n"/>
      <c r="C153" s="7" t="n"/>
      <c r="D153" s="9" t="n"/>
      <c r="E153" s="7">
        <f>IFERROR(VLOOKUP($D153,商品マスタ範囲,4,FALSE),"")</f>
        <v/>
      </c>
      <c r="F153" s="7">
        <f>IFERROR(VLOOKUP($D153,商品マスタ範囲,2,FALSE),"")</f>
        <v/>
      </c>
      <c r="G153" s="7">
        <f>IFERROR(VLOOKUP($D153,商品マスタ範囲,3,FALSE),"")</f>
        <v/>
      </c>
      <c r="H153" s="40">
        <f>IFERROR(IF(SUMPRODUCT(MAX((案件入力!$D$2:$D$152=$D153)*(案件入力!$R$2:$R$152="完了")*(案件入力!$B$2:$B$152)))=0,VLOOKUP($D153,商品マスタ範囲,5,FALSE),INDEX(案件入力!$I$2:$I$152,MATCH($D153&amp;"|"&amp;TEXT(SUMPRODUCT(MAX((案件入力!$D$2:$D$152=$D153)*(案件入力!$R$2:$R$152="完了")*(案件入力!$B$2:$B$152))),"0"),案件入力!$T$2:$T$152,0))),"")</f>
        <v/>
      </c>
      <c r="I153" s="40" t="n"/>
      <c r="J153" s="11">
        <f>IF(OR($H153="",$I153=""),"",IFERROR(($I153-$H153)/$H153,""))</f>
        <v/>
      </c>
      <c r="K153" s="8" t="n"/>
      <c r="L153" s="40">
        <f>IFERROR(IF(SUMPRODUCT(MAX((案件入力!$D$2:$D$152=$D153)*(案件入力!$R$2:$R$152="完了")*(案件入力!$B$2:$B$152)))=0,VLOOKUP($D153,商品マスタ範囲,6,FALSE),INDEX(案件入力!$M$2:$M$152,MATCH($D153&amp;"|"&amp;TEXT(SUMPRODUCT(MAX((案件入力!$D$2:$D$152=$D153)*(案件入力!$R$2:$R$152="完了")*(案件入力!$B$2:$B$152))),"0"),案件入力!$T$2:$T$152,0))),"")</f>
        <v/>
      </c>
      <c r="M153" s="40" t="n"/>
      <c r="N153" s="11">
        <f>IF(OR($L153="",$M153=""),"",IFERROR(($M153-$L153)/$L153,""))</f>
        <v/>
      </c>
      <c r="O153" s="8" t="n"/>
      <c r="P153" s="9" t="n"/>
      <c r="Q153" s="7" t="n"/>
      <c r="R153" s="7" t="n"/>
      <c r="S153" s="7" t="n"/>
      <c r="T153" s="7">
        <f>IF($R153="完了",$D153&amp;"|"&amp;TEXT($B153,"0"),"")</f>
        <v/>
      </c>
    </row>
    <row r="154">
      <c r="A154" s="7">
        <f>IF($B154="","",TEXT(YEAR($B154),"0000")&amp;"-"&amp;TEXT(SUMPRODUCT((YEAR($B$2:$B154)=YEAR($B154))*($B$2:$B154&lt;&gt;"")),"000"))</f>
        <v/>
      </c>
      <c r="B154" s="8" t="n"/>
      <c r="C154" s="7" t="n"/>
      <c r="D154" s="9" t="n"/>
      <c r="E154" s="7">
        <f>IFERROR(VLOOKUP($D154,商品マスタ範囲,4,FALSE),"")</f>
        <v/>
      </c>
      <c r="F154" s="7">
        <f>IFERROR(VLOOKUP($D154,商品マスタ範囲,2,FALSE),"")</f>
        <v/>
      </c>
      <c r="G154" s="7">
        <f>IFERROR(VLOOKUP($D154,商品マスタ範囲,3,FALSE),"")</f>
        <v/>
      </c>
      <c r="H154" s="40">
        <f>IFERROR(IF(SUMPRODUCT(MAX((案件入力!$D$2:$D$153=$D154)*(案件入力!$R$2:$R$153="完了")*(案件入力!$B$2:$B$153)))=0,VLOOKUP($D154,商品マスタ範囲,5,FALSE),INDEX(案件入力!$I$2:$I$153,MATCH($D154&amp;"|"&amp;TEXT(SUMPRODUCT(MAX((案件入力!$D$2:$D$153=$D154)*(案件入力!$R$2:$R$153="完了")*(案件入力!$B$2:$B$153))),"0"),案件入力!$T$2:$T$153,0))),"")</f>
        <v/>
      </c>
      <c r="I154" s="40" t="n"/>
      <c r="J154" s="11">
        <f>IF(OR($H154="",$I154=""),"",IFERROR(($I154-$H154)/$H154,""))</f>
        <v/>
      </c>
      <c r="K154" s="8" t="n"/>
      <c r="L154" s="40">
        <f>IFERROR(IF(SUMPRODUCT(MAX((案件入力!$D$2:$D$153=$D154)*(案件入力!$R$2:$R$153="完了")*(案件入力!$B$2:$B$153)))=0,VLOOKUP($D154,商品マスタ範囲,6,FALSE),INDEX(案件入力!$M$2:$M$153,MATCH($D154&amp;"|"&amp;TEXT(SUMPRODUCT(MAX((案件入力!$D$2:$D$153=$D154)*(案件入力!$R$2:$R$153="完了")*(案件入力!$B$2:$B$153))),"0"),案件入力!$T$2:$T$153,0))),"")</f>
        <v/>
      </c>
      <c r="M154" s="40" t="n"/>
      <c r="N154" s="11">
        <f>IF(OR($L154="",$M154=""),"",IFERROR(($M154-$L154)/$L154,""))</f>
        <v/>
      </c>
      <c r="O154" s="8" t="n"/>
      <c r="P154" s="9" t="n"/>
      <c r="Q154" s="7" t="n"/>
      <c r="R154" s="7" t="n"/>
      <c r="S154" s="7" t="n"/>
      <c r="T154" s="7">
        <f>IF($R154="完了",$D154&amp;"|"&amp;TEXT($B154,"0"),"")</f>
        <v/>
      </c>
    </row>
    <row r="155">
      <c r="A155" s="7">
        <f>IF($B155="","",TEXT(YEAR($B155),"0000")&amp;"-"&amp;TEXT(SUMPRODUCT((YEAR($B$2:$B155)=YEAR($B155))*($B$2:$B155&lt;&gt;"")),"000"))</f>
        <v/>
      </c>
      <c r="B155" s="8" t="n"/>
      <c r="C155" s="7" t="n"/>
      <c r="D155" s="9" t="n"/>
      <c r="E155" s="7">
        <f>IFERROR(VLOOKUP($D155,商品マスタ範囲,4,FALSE),"")</f>
        <v/>
      </c>
      <c r="F155" s="7">
        <f>IFERROR(VLOOKUP($D155,商品マスタ範囲,2,FALSE),"")</f>
        <v/>
      </c>
      <c r="G155" s="7">
        <f>IFERROR(VLOOKUP($D155,商品マスタ範囲,3,FALSE),"")</f>
        <v/>
      </c>
      <c r="H155" s="40">
        <f>IFERROR(IF(SUMPRODUCT(MAX((案件入力!$D$2:$D$154=$D155)*(案件入力!$R$2:$R$154="完了")*(案件入力!$B$2:$B$154)))=0,VLOOKUP($D155,商品マスタ範囲,5,FALSE),INDEX(案件入力!$I$2:$I$154,MATCH($D155&amp;"|"&amp;TEXT(SUMPRODUCT(MAX((案件入力!$D$2:$D$154=$D155)*(案件入力!$R$2:$R$154="完了")*(案件入力!$B$2:$B$154))),"0"),案件入力!$T$2:$T$154,0))),"")</f>
        <v/>
      </c>
      <c r="I155" s="40" t="n"/>
      <c r="J155" s="11">
        <f>IF(OR($H155="",$I155=""),"",IFERROR(($I155-$H155)/$H155,""))</f>
        <v/>
      </c>
      <c r="K155" s="8" t="n"/>
      <c r="L155" s="40">
        <f>IFERROR(IF(SUMPRODUCT(MAX((案件入力!$D$2:$D$154=$D155)*(案件入力!$R$2:$R$154="完了")*(案件入力!$B$2:$B$154)))=0,VLOOKUP($D155,商品マスタ範囲,6,FALSE),INDEX(案件入力!$M$2:$M$154,MATCH($D155&amp;"|"&amp;TEXT(SUMPRODUCT(MAX((案件入力!$D$2:$D$154=$D155)*(案件入力!$R$2:$R$154="完了")*(案件入力!$B$2:$B$154))),"0"),案件入力!$T$2:$T$154,0))),"")</f>
        <v/>
      </c>
      <c r="M155" s="40" t="n"/>
      <c r="N155" s="11">
        <f>IF(OR($L155="",$M155=""),"",IFERROR(($M155-$L155)/$L155,""))</f>
        <v/>
      </c>
      <c r="O155" s="8" t="n"/>
      <c r="P155" s="9" t="n"/>
      <c r="Q155" s="7" t="n"/>
      <c r="R155" s="7" t="n"/>
      <c r="S155" s="7" t="n"/>
      <c r="T155" s="7">
        <f>IF($R155="完了",$D155&amp;"|"&amp;TEXT($B155,"0"),"")</f>
        <v/>
      </c>
    </row>
    <row r="156">
      <c r="A156" s="7">
        <f>IF($B156="","",TEXT(YEAR($B156),"0000")&amp;"-"&amp;TEXT(SUMPRODUCT((YEAR($B$2:$B156)=YEAR($B156))*($B$2:$B156&lt;&gt;"")),"000"))</f>
        <v/>
      </c>
      <c r="B156" s="8" t="n"/>
      <c r="C156" s="7" t="n"/>
      <c r="D156" s="9" t="n"/>
      <c r="E156" s="7">
        <f>IFERROR(VLOOKUP($D156,商品マスタ範囲,4,FALSE),"")</f>
        <v/>
      </c>
      <c r="F156" s="7">
        <f>IFERROR(VLOOKUP($D156,商品マスタ範囲,2,FALSE),"")</f>
        <v/>
      </c>
      <c r="G156" s="7">
        <f>IFERROR(VLOOKUP($D156,商品マスタ範囲,3,FALSE),"")</f>
        <v/>
      </c>
      <c r="H156" s="40">
        <f>IFERROR(IF(SUMPRODUCT(MAX((案件入力!$D$2:$D$155=$D156)*(案件入力!$R$2:$R$155="完了")*(案件入力!$B$2:$B$155)))=0,VLOOKUP($D156,商品マスタ範囲,5,FALSE),INDEX(案件入力!$I$2:$I$155,MATCH($D156&amp;"|"&amp;TEXT(SUMPRODUCT(MAX((案件入力!$D$2:$D$155=$D156)*(案件入力!$R$2:$R$155="完了")*(案件入力!$B$2:$B$155))),"0"),案件入力!$T$2:$T$155,0))),"")</f>
        <v/>
      </c>
      <c r="I156" s="40" t="n"/>
      <c r="J156" s="11">
        <f>IF(OR($H156="",$I156=""),"",IFERROR(($I156-$H156)/$H156,""))</f>
        <v/>
      </c>
      <c r="K156" s="8" t="n"/>
      <c r="L156" s="40">
        <f>IFERROR(IF(SUMPRODUCT(MAX((案件入力!$D$2:$D$155=$D156)*(案件入力!$R$2:$R$155="完了")*(案件入力!$B$2:$B$155)))=0,VLOOKUP($D156,商品マスタ範囲,6,FALSE),INDEX(案件入力!$M$2:$M$155,MATCH($D156&amp;"|"&amp;TEXT(SUMPRODUCT(MAX((案件入力!$D$2:$D$155=$D156)*(案件入力!$R$2:$R$155="完了")*(案件入力!$B$2:$B$155))),"0"),案件入力!$T$2:$T$155,0))),"")</f>
        <v/>
      </c>
      <c r="M156" s="40" t="n"/>
      <c r="N156" s="11">
        <f>IF(OR($L156="",$M156=""),"",IFERROR(($M156-$L156)/$L156,""))</f>
        <v/>
      </c>
      <c r="O156" s="8" t="n"/>
      <c r="P156" s="9" t="n"/>
      <c r="Q156" s="7" t="n"/>
      <c r="R156" s="7" t="n"/>
      <c r="S156" s="7" t="n"/>
      <c r="T156" s="7">
        <f>IF($R156="完了",$D156&amp;"|"&amp;TEXT($B156,"0"),"")</f>
        <v/>
      </c>
    </row>
    <row r="157">
      <c r="A157" s="7">
        <f>IF($B157="","",TEXT(YEAR($B157),"0000")&amp;"-"&amp;TEXT(SUMPRODUCT((YEAR($B$2:$B157)=YEAR($B157))*($B$2:$B157&lt;&gt;"")),"000"))</f>
        <v/>
      </c>
      <c r="B157" s="8" t="n"/>
      <c r="C157" s="7" t="n"/>
      <c r="D157" s="9" t="n"/>
      <c r="E157" s="7">
        <f>IFERROR(VLOOKUP($D157,商品マスタ範囲,4,FALSE),"")</f>
        <v/>
      </c>
      <c r="F157" s="7">
        <f>IFERROR(VLOOKUP($D157,商品マスタ範囲,2,FALSE),"")</f>
        <v/>
      </c>
      <c r="G157" s="7">
        <f>IFERROR(VLOOKUP($D157,商品マスタ範囲,3,FALSE),"")</f>
        <v/>
      </c>
      <c r="H157" s="40">
        <f>IFERROR(IF(SUMPRODUCT(MAX((案件入力!$D$2:$D$156=$D157)*(案件入力!$R$2:$R$156="完了")*(案件入力!$B$2:$B$156)))=0,VLOOKUP($D157,商品マスタ範囲,5,FALSE),INDEX(案件入力!$I$2:$I$156,MATCH($D157&amp;"|"&amp;TEXT(SUMPRODUCT(MAX((案件入力!$D$2:$D$156=$D157)*(案件入力!$R$2:$R$156="完了")*(案件入力!$B$2:$B$156))),"0"),案件入力!$T$2:$T$156,0))),"")</f>
        <v/>
      </c>
      <c r="I157" s="40" t="n"/>
      <c r="J157" s="11">
        <f>IF(OR($H157="",$I157=""),"",IFERROR(($I157-$H157)/$H157,""))</f>
        <v/>
      </c>
      <c r="K157" s="8" t="n"/>
      <c r="L157" s="40">
        <f>IFERROR(IF(SUMPRODUCT(MAX((案件入力!$D$2:$D$156=$D157)*(案件入力!$R$2:$R$156="完了")*(案件入力!$B$2:$B$156)))=0,VLOOKUP($D157,商品マスタ範囲,6,FALSE),INDEX(案件入力!$M$2:$M$156,MATCH($D157&amp;"|"&amp;TEXT(SUMPRODUCT(MAX((案件入力!$D$2:$D$156=$D157)*(案件入力!$R$2:$R$156="完了")*(案件入力!$B$2:$B$156))),"0"),案件入力!$T$2:$T$156,0))),"")</f>
        <v/>
      </c>
      <c r="M157" s="40" t="n"/>
      <c r="N157" s="11">
        <f>IF(OR($L157="",$M157=""),"",IFERROR(($M157-$L157)/$L157,""))</f>
        <v/>
      </c>
      <c r="O157" s="8" t="n"/>
      <c r="P157" s="9" t="n"/>
      <c r="Q157" s="7" t="n"/>
      <c r="R157" s="7" t="n"/>
      <c r="S157" s="7" t="n"/>
      <c r="T157" s="7">
        <f>IF($R157="完了",$D157&amp;"|"&amp;TEXT($B157,"0"),"")</f>
        <v/>
      </c>
    </row>
    <row r="158">
      <c r="A158" s="7">
        <f>IF($B158="","",TEXT(YEAR($B158),"0000")&amp;"-"&amp;TEXT(SUMPRODUCT((YEAR($B$2:$B158)=YEAR($B158))*($B$2:$B158&lt;&gt;"")),"000"))</f>
        <v/>
      </c>
      <c r="B158" s="8" t="n"/>
      <c r="C158" s="7" t="n"/>
      <c r="D158" s="9" t="n"/>
      <c r="E158" s="7">
        <f>IFERROR(VLOOKUP($D158,商品マスタ範囲,4,FALSE),"")</f>
        <v/>
      </c>
      <c r="F158" s="7">
        <f>IFERROR(VLOOKUP($D158,商品マスタ範囲,2,FALSE),"")</f>
        <v/>
      </c>
      <c r="G158" s="7">
        <f>IFERROR(VLOOKUP($D158,商品マスタ範囲,3,FALSE),"")</f>
        <v/>
      </c>
      <c r="H158" s="40">
        <f>IFERROR(IF(SUMPRODUCT(MAX((案件入力!$D$2:$D$157=$D158)*(案件入力!$R$2:$R$157="完了")*(案件入力!$B$2:$B$157)))=0,VLOOKUP($D158,商品マスタ範囲,5,FALSE),INDEX(案件入力!$I$2:$I$157,MATCH($D158&amp;"|"&amp;TEXT(SUMPRODUCT(MAX((案件入力!$D$2:$D$157=$D158)*(案件入力!$R$2:$R$157="完了")*(案件入力!$B$2:$B$157))),"0"),案件入力!$T$2:$T$157,0))),"")</f>
        <v/>
      </c>
      <c r="I158" s="40" t="n"/>
      <c r="J158" s="11">
        <f>IF(OR($H158="",$I158=""),"",IFERROR(($I158-$H158)/$H158,""))</f>
        <v/>
      </c>
      <c r="K158" s="8" t="n"/>
      <c r="L158" s="40">
        <f>IFERROR(IF(SUMPRODUCT(MAX((案件入力!$D$2:$D$157=$D158)*(案件入力!$R$2:$R$157="完了")*(案件入力!$B$2:$B$157)))=0,VLOOKUP($D158,商品マスタ範囲,6,FALSE),INDEX(案件入力!$M$2:$M$157,MATCH($D158&amp;"|"&amp;TEXT(SUMPRODUCT(MAX((案件入力!$D$2:$D$157=$D158)*(案件入力!$R$2:$R$157="完了")*(案件入力!$B$2:$B$157))),"0"),案件入力!$T$2:$T$157,0))),"")</f>
        <v/>
      </c>
      <c r="M158" s="40" t="n"/>
      <c r="N158" s="11">
        <f>IF(OR($L158="",$M158=""),"",IFERROR(($M158-$L158)/$L158,""))</f>
        <v/>
      </c>
      <c r="O158" s="8" t="n"/>
      <c r="P158" s="9" t="n"/>
      <c r="Q158" s="7" t="n"/>
      <c r="R158" s="7" t="n"/>
      <c r="S158" s="7" t="n"/>
      <c r="T158" s="7">
        <f>IF($R158="完了",$D158&amp;"|"&amp;TEXT($B158,"0"),"")</f>
        <v/>
      </c>
    </row>
    <row r="159">
      <c r="A159" s="7">
        <f>IF($B159="","",TEXT(YEAR($B159),"0000")&amp;"-"&amp;TEXT(SUMPRODUCT((YEAR($B$2:$B159)=YEAR($B159))*($B$2:$B159&lt;&gt;"")),"000"))</f>
        <v/>
      </c>
      <c r="B159" s="8" t="n"/>
      <c r="C159" s="7" t="n"/>
      <c r="D159" s="9" t="n"/>
      <c r="E159" s="7">
        <f>IFERROR(VLOOKUP($D159,商品マスタ範囲,4,FALSE),"")</f>
        <v/>
      </c>
      <c r="F159" s="7">
        <f>IFERROR(VLOOKUP($D159,商品マスタ範囲,2,FALSE),"")</f>
        <v/>
      </c>
      <c r="G159" s="7">
        <f>IFERROR(VLOOKUP($D159,商品マスタ範囲,3,FALSE),"")</f>
        <v/>
      </c>
      <c r="H159" s="40">
        <f>IFERROR(IF(SUMPRODUCT(MAX((案件入力!$D$2:$D$158=$D159)*(案件入力!$R$2:$R$158="完了")*(案件入力!$B$2:$B$158)))=0,VLOOKUP($D159,商品マスタ範囲,5,FALSE),INDEX(案件入力!$I$2:$I$158,MATCH($D159&amp;"|"&amp;TEXT(SUMPRODUCT(MAX((案件入力!$D$2:$D$158=$D159)*(案件入力!$R$2:$R$158="完了")*(案件入力!$B$2:$B$158))),"0"),案件入力!$T$2:$T$158,0))),"")</f>
        <v/>
      </c>
      <c r="I159" s="40" t="n"/>
      <c r="J159" s="11">
        <f>IF(OR($H159="",$I159=""),"",IFERROR(($I159-$H159)/$H159,""))</f>
        <v/>
      </c>
      <c r="K159" s="8" t="n"/>
      <c r="L159" s="40">
        <f>IFERROR(IF(SUMPRODUCT(MAX((案件入力!$D$2:$D$158=$D159)*(案件入力!$R$2:$R$158="完了")*(案件入力!$B$2:$B$158)))=0,VLOOKUP($D159,商品マスタ範囲,6,FALSE),INDEX(案件入力!$M$2:$M$158,MATCH($D159&amp;"|"&amp;TEXT(SUMPRODUCT(MAX((案件入力!$D$2:$D$158=$D159)*(案件入力!$R$2:$R$158="完了")*(案件入力!$B$2:$B$158))),"0"),案件入力!$T$2:$T$158,0))),"")</f>
        <v/>
      </c>
      <c r="M159" s="40" t="n"/>
      <c r="N159" s="11">
        <f>IF(OR($L159="",$M159=""),"",IFERROR(($M159-$L159)/$L159,""))</f>
        <v/>
      </c>
      <c r="O159" s="8" t="n"/>
      <c r="P159" s="9" t="n"/>
      <c r="Q159" s="7" t="n"/>
      <c r="R159" s="7" t="n"/>
      <c r="S159" s="7" t="n"/>
      <c r="T159" s="7">
        <f>IF($R159="完了",$D159&amp;"|"&amp;TEXT($B159,"0"),"")</f>
        <v/>
      </c>
    </row>
    <row r="160">
      <c r="A160" s="7">
        <f>IF($B160="","",TEXT(YEAR($B160),"0000")&amp;"-"&amp;TEXT(SUMPRODUCT((YEAR($B$2:$B160)=YEAR($B160))*($B$2:$B160&lt;&gt;"")),"000"))</f>
        <v/>
      </c>
      <c r="B160" s="8" t="n"/>
      <c r="C160" s="7" t="n"/>
      <c r="D160" s="9" t="n"/>
      <c r="E160" s="7">
        <f>IFERROR(VLOOKUP($D160,商品マスタ範囲,4,FALSE),"")</f>
        <v/>
      </c>
      <c r="F160" s="7">
        <f>IFERROR(VLOOKUP($D160,商品マスタ範囲,2,FALSE),"")</f>
        <v/>
      </c>
      <c r="G160" s="7">
        <f>IFERROR(VLOOKUP($D160,商品マスタ範囲,3,FALSE),"")</f>
        <v/>
      </c>
      <c r="H160" s="40">
        <f>IFERROR(IF(SUMPRODUCT(MAX((案件入力!$D$2:$D$159=$D160)*(案件入力!$R$2:$R$159="完了")*(案件入力!$B$2:$B$159)))=0,VLOOKUP($D160,商品マスタ範囲,5,FALSE),INDEX(案件入力!$I$2:$I$159,MATCH($D160&amp;"|"&amp;TEXT(SUMPRODUCT(MAX((案件入力!$D$2:$D$159=$D160)*(案件入力!$R$2:$R$159="完了")*(案件入力!$B$2:$B$159))),"0"),案件入力!$T$2:$T$159,0))),"")</f>
        <v/>
      </c>
      <c r="I160" s="40" t="n"/>
      <c r="J160" s="11">
        <f>IF(OR($H160="",$I160=""),"",IFERROR(($I160-$H160)/$H160,""))</f>
        <v/>
      </c>
      <c r="K160" s="8" t="n"/>
      <c r="L160" s="40">
        <f>IFERROR(IF(SUMPRODUCT(MAX((案件入力!$D$2:$D$159=$D160)*(案件入力!$R$2:$R$159="完了")*(案件入力!$B$2:$B$159)))=0,VLOOKUP($D160,商品マスタ範囲,6,FALSE),INDEX(案件入力!$M$2:$M$159,MATCH($D160&amp;"|"&amp;TEXT(SUMPRODUCT(MAX((案件入力!$D$2:$D$159=$D160)*(案件入力!$R$2:$R$159="完了")*(案件入力!$B$2:$B$159))),"0"),案件入力!$T$2:$T$159,0))),"")</f>
        <v/>
      </c>
      <c r="M160" s="40" t="n"/>
      <c r="N160" s="11">
        <f>IF(OR($L160="",$M160=""),"",IFERROR(($M160-$L160)/$L160,""))</f>
        <v/>
      </c>
      <c r="O160" s="8" t="n"/>
      <c r="P160" s="9" t="n"/>
      <c r="Q160" s="7" t="n"/>
      <c r="R160" s="7" t="n"/>
      <c r="S160" s="7" t="n"/>
      <c r="T160" s="7">
        <f>IF($R160="完了",$D160&amp;"|"&amp;TEXT($B160,"0"),"")</f>
        <v/>
      </c>
    </row>
    <row r="161">
      <c r="A161" s="7">
        <f>IF($B161="","",TEXT(YEAR($B161),"0000")&amp;"-"&amp;TEXT(SUMPRODUCT((YEAR($B$2:$B161)=YEAR($B161))*($B$2:$B161&lt;&gt;"")),"000"))</f>
        <v/>
      </c>
      <c r="B161" s="8" t="n"/>
      <c r="C161" s="7" t="n"/>
      <c r="D161" s="9" t="n"/>
      <c r="E161" s="7">
        <f>IFERROR(VLOOKUP($D161,商品マスタ範囲,4,FALSE),"")</f>
        <v/>
      </c>
      <c r="F161" s="7">
        <f>IFERROR(VLOOKUP($D161,商品マスタ範囲,2,FALSE),"")</f>
        <v/>
      </c>
      <c r="G161" s="7">
        <f>IFERROR(VLOOKUP($D161,商品マスタ範囲,3,FALSE),"")</f>
        <v/>
      </c>
      <c r="H161" s="40">
        <f>IFERROR(IF(SUMPRODUCT(MAX((案件入力!$D$2:$D$160=$D161)*(案件入力!$R$2:$R$160="完了")*(案件入力!$B$2:$B$160)))=0,VLOOKUP($D161,商品マスタ範囲,5,FALSE),INDEX(案件入力!$I$2:$I$160,MATCH($D161&amp;"|"&amp;TEXT(SUMPRODUCT(MAX((案件入力!$D$2:$D$160=$D161)*(案件入力!$R$2:$R$160="完了")*(案件入力!$B$2:$B$160))),"0"),案件入力!$T$2:$T$160,0))),"")</f>
        <v/>
      </c>
      <c r="I161" s="40" t="n"/>
      <c r="J161" s="11">
        <f>IF(OR($H161="",$I161=""),"",IFERROR(($I161-$H161)/$H161,""))</f>
        <v/>
      </c>
      <c r="K161" s="8" t="n"/>
      <c r="L161" s="40">
        <f>IFERROR(IF(SUMPRODUCT(MAX((案件入力!$D$2:$D$160=$D161)*(案件入力!$R$2:$R$160="完了")*(案件入力!$B$2:$B$160)))=0,VLOOKUP($D161,商品マスタ範囲,6,FALSE),INDEX(案件入力!$M$2:$M$160,MATCH($D161&amp;"|"&amp;TEXT(SUMPRODUCT(MAX((案件入力!$D$2:$D$160=$D161)*(案件入力!$R$2:$R$160="完了")*(案件入力!$B$2:$B$160))),"0"),案件入力!$T$2:$T$160,0))),"")</f>
        <v/>
      </c>
      <c r="M161" s="40" t="n"/>
      <c r="N161" s="11">
        <f>IF(OR($L161="",$M161=""),"",IFERROR(($M161-$L161)/$L161,""))</f>
        <v/>
      </c>
      <c r="O161" s="8" t="n"/>
      <c r="P161" s="9" t="n"/>
      <c r="Q161" s="7" t="n"/>
      <c r="R161" s="7" t="n"/>
      <c r="S161" s="7" t="n"/>
      <c r="T161" s="7">
        <f>IF($R161="完了",$D161&amp;"|"&amp;TEXT($B161,"0"),"")</f>
        <v/>
      </c>
    </row>
    <row r="162">
      <c r="A162" s="7">
        <f>IF($B162="","",TEXT(YEAR($B162),"0000")&amp;"-"&amp;TEXT(SUMPRODUCT((YEAR($B$2:$B162)=YEAR($B162))*($B$2:$B162&lt;&gt;"")),"000"))</f>
        <v/>
      </c>
      <c r="B162" s="8" t="n"/>
      <c r="C162" s="7" t="n"/>
      <c r="D162" s="9" t="n"/>
      <c r="E162" s="7">
        <f>IFERROR(VLOOKUP($D162,商品マスタ範囲,4,FALSE),"")</f>
        <v/>
      </c>
      <c r="F162" s="7">
        <f>IFERROR(VLOOKUP($D162,商品マスタ範囲,2,FALSE),"")</f>
        <v/>
      </c>
      <c r="G162" s="7">
        <f>IFERROR(VLOOKUP($D162,商品マスタ範囲,3,FALSE),"")</f>
        <v/>
      </c>
      <c r="H162" s="40">
        <f>IFERROR(IF(SUMPRODUCT(MAX((案件入力!$D$2:$D$161=$D162)*(案件入力!$R$2:$R$161="完了")*(案件入力!$B$2:$B$161)))=0,VLOOKUP($D162,商品マスタ範囲,5,FALSE),INDEX(案件入力!$I$2:$I$161,MATCH($D162&amp;"|"&amp;TEXT(SUMPRODUCT(MAX((案件入力!$D$2:$D$161=$D162)*(案件入力!$R$2:$R$161="完了")*(案件入力!$B$2:$B$161))),"0"),案件入力!$T$2:$T$161,0))),"")</f>
        <v/>
      </c>
      <c r="I162" s="40" t="n"/>
      <c r="J162" s="11">
        <f>IF(OR($H162="",$I162=""),"",IFERROR(($I162-$H162)/$H162,""))</f>
        <v/>
      </c>
      <c r="K162" s="8" t="n"/>
      <c r="L162" s="40">
        <f>IFERROR(IF(SUMPRODUCT(MAX((案件入力!$D$2:$D$161=$D162)*(案件入力!$R$2:$R$161="完了")*(案件入力!$B$2:$B$161)))=0,VLOOKUP($D162,商品マスタ範囲,6,FALSE),INDEX(案件入力!$M$2:$M$161,MATCH($D162&amp;"|"&amp;TEXT(SUMPRODUCT(MAX((案件入力!$D$2:$D$161=$D162)*(案件入力!$R$2:$R$161="完了")*(案件入力!$B$2:$B$161))),"0"),案件入力!$T$2:$T$161,0))),"")</f>
        <v/>
      </c>
      <c r="M162" s="40" t="n"/>
      <c r="N162" s="11">
        <f>IF(OR($L162="",$M162=""),"",IFERROR(($M162-$L162)/$L162,""))</f>
        <v/>
      </c>
      <c r="O162" s="8" t="n"/>
      <c r="P162" s="9" t="n"/>
      <c r="Q162" s="7" t="n"/>
      <c r="R162" s="7" t="n"/>
      <c r="S162" s="7" t="n"/>
      <c r="T162" s="7">
        <f>IF($R162="完了",$D162&amp;"|"&amp;TEXT($B162,"0"),"")</f>
        <v/>
      </c>
    </row>
    <row r="163">
      <c r="A163" s="7">
        <f>IF($B163="","",TEXT(YEAR($B163),"0000")&amp;"-"&amp;TEXT(SUMPRODUCT((YEAR($B$2:$B163)=YEAR($B163))*($B$2:$B163&lt;&gt;"")),"000"))</f>
        <v/>
      </c>
      <c r="B163" s="8" t="n"/>
      <c r="C163" s="7" t="n"/>
      <c r="D163" s="9" t="n"/>
      <c r="E163" s="7">
        <f>IFERROR(VLOOKUP($D163,商品マスタ範囲,4,FALSE),"")</f>
        <v/>
      </c>
      <c r="F163" s="7">
        <f>IFERROR(VLOOKUP($D163,商品マスタ範囲,2,FALSE),"")</f>
        <v/>
      </c>
      <c r="G163" s="7">
        <f>IFERROR(VLOOKUP($D163,商品マスタ範囲,3,FALSE),"")</f>
        <v/>
      </c>
      <c r="H163" s="40">
        <f>IFERROR(IF(SUMPRODUCT(MAX((案件入力!$D$2:$D$162=$D163)*(案件入力!$R$2:$R$162="完了")*(案件入力!$B$2:$B$162)))=0,VLOOKUP($D163,商品マスタ範囲,5,FALSE),INDEX(案件入力!$I$2:$I$162,MATCH($D163&amp;"|"&amp;TEXT(SUMPRODUCT(MAX((案件入力!$D$2:$D$162=$D163)*(案件入力!$R$2:$R$162="完了")*(案件入力!$B$2:$B$162))),"0"),案件入力!$T$2:$T$162,0))),"")</f>
        <v/>
      </c>
      <c r="I163" s="40" t="n"/>
      <c r="J163" s="11">
        <f>IF(OR($H163="",$I163=""),"",IFERROR(($I163-$H163)/$H163,""))</f>
        <v/>
      </c>
      <c r="K163" s="8" t="n"/>
      <c r="L163" s="40">
        <f>IFERROR(IF(SUMPRODUCT(MAX((案件入力!$D$2:$D$162=$D163)*(案件入力!$R$2:$R$162="完了")*(案件入力!$B$2:$B$162)))=0,VLOOKUP($D163,商品マスタ範囲,6,FALSE),INDEX(案件入力!$M$2:$M$162,MATCH($D163&amp;"|"&amp;TEXT(SUMPRODUCT(MAX((案件入力!$D$2:$D$162=$D163)*(案件入力!$R$2:$R$162="完了")*(案件入力!$B$2:$B$162))),"0"),案件入力!$T$2:$T$162,0))),"")</f>
        <v/>
      </c>
      <c r="M163" s="40" t="n"/>
      <c r="N163" s="11">
        <f>IF(OR($L163="",$M163=""),"",IFERROR(($M163-$L163)/$L163,""))</f>
        <v/>
      </c>
      <c r="O163" s="8" t="n"/>
      <c r="P163" s="9" t="n"/>
      <c r="Q163" s="7" t="n"/>
      <c r="R163" s="7" t="n"/>
      <c r="S163" s="7" t="n"/>
      <c r="T163" s="7">
        <f>IF($R163="完了",$D163&amp;"|"&amp;TEXT($B163,"0"),"")</f>
        <v/>
      </c>
    </row>
    <row r="164">
      <c r="A164" s="7">
        <f>IF($B164="","",TEXT(YEAR($B164),"0000")&amp;"-"&amp;TEXT(SUMPRODUCT((YEAR($B$2:$B164)=YEAR($B164))*($B$2:$B164&lt;&gt;"")),"000"))</f>
        <v/>
      </c>
      <c r="B164" s="8" t="n"/>
      <c r="C164" s="7" t="n"/>
      <c r="D164" s="9" t="n"/>
      <c r="E164" s="7">
        <f>IFERROR(VLOOKUP($D164,商品マスタ範囲,4,FALSE),"")</f>
        <v/>
      </c>
      <c r="F164" s="7">
        <f>IFERROR(VLOOKUP($D164,商品マスタ範囲,2,FALSE),"")</f>
        <v/>
      </c>
      <c r="G164" s="7">
        <f>IFERROR(VLOOKUP($D164,商品マスタ範囲,3,FALSE),"")</f>
        <v/>
      </c>
      <c r="H164" s="40">
        <f>IFERROR(IF(SUMPRODUCT(MAX((案件入力!$D$2:$D$163=$D164)*(案件入力!$R$2:$R$163="完了")*(案件入力!$B$2:$B$163)))=0,VLOOKUP($D164,商品マスタ範囲,5,FALSE),INDEX(案件入力!$I$2:$I$163,MATCH($D164&amp;"|"&amp;TEXT(SUMPRODUCT(MAX((案件入力!$D$2:$D$163=$D164)*(案件入力!$R$2:$R$163="完了")*(案件入力!$B$2:$B$163))),"0"),案件入力!$T$2:$T$163,0))),"")</f>
        <v/>
      </c>
      <c r="I164" s="40" t="n"/>
      <c r="J164" s="11">
        <f>IF(OR($H164="",$I164=""),"",IFERROR(($I164-$H164)/$H164,""))</f>
        <v/>
      </c>
      <c r="K164" s="8" t="n"/>
      <c r="L164" s="40">
        <f>IFERROR(IF(SUMPRODUCT(MAX((案件入力!$D$2:$D$163=$D164)*(案件入力!$R$2:$R$163="完了")*(案件入力!$B$2:$B$163)))=0,VLOOKUP($D164,商品マスタ範囲,6,FALSE),INDEX(案件入力!$M$2:$M$163,MATCH($D164&amp;"|"&amp;TEXT(SUMPRODUCT(MAX((案件入力!$D$2:$D$163=$D164)*(案件入力!$R$2:$R$163="完了")*(案件入力!$B$2:$B$163))),"0"),案件入力!$T$2:$T$163,0))),"")</f>
        <v/>
      </c>
      <c r="M164" s="40" t="n"/>
      <c r="N164" s="11">
        <f>IF(OR($L164="",$M164=""),"",IFERROR(($M164-$L164)/$L164,""))</f>
        <v/>
      </c>
      <c r="O164" s="8" t="n"/>
      <c r="P164" s="9" t="n"/>
      <c r="Q164" s="7" t="n"/>
      <c r="R164" s="7" t="n"/>
      <c r="S164" s="7" t="n"/>
      <c r="T164" s="7">
        <f>IF($R164="完了",$D164&amp;"|"&amp;TEXT($B164,"0"),"")</f>
        <v/>
      </c>
    </row>
    <row r="165">
      <c r="A165" s="7">
        <f>IF($B165="","",TEXT(YEAR($B165),"0000")&amp;"-"&amp;TEXT(SUMPRODUCT((YEAR($B$2:$B165)=YEAR($B165))*($B$2:$B165&lt;&gt;"")),"000"))</f>
        <v/>
      </c>
      <c r="B165" s="8" t="n"/>
      <c r="C165" s="7" t="n"/>
      <c r="D165" s="9" t="n"/>
      <c r="E165" s="7">
        <f>IFERROR(VLOOKUP($D165,商品マスタ範囲,4,FALSE),"")</f>
        <v/>
      </c>
      <c r="F165" s="7">
        <f>IFERROR(VLOOKUP($D165,商品マスタ範囲,2,FALSE),"")</f>
        <v/>
      </c>
      <c r="G165" s="7">
        <f>IFERROR(VLOOKUP($D165,商品マスタ範囲,3,FALSE),"")</f>
        <v/>
      </c>
      <c r="H165" s="40">
        <f>IFERROR(IF(SUMPRODUCT(MAX((案件入力!$D$2:$D$164=$D165)*(案件入力!$R$2:$R$164="完了")*(案件入力!$B$2:$B$164)))=0,VLOOKUP($D165,商品マスタ範囲,5,FALSE),INDEX(案件入力!$I$2:$I$164,MATCH($D165&amp;"|"&amp;TEXT(SUMPRODUCT(MAX((案件入力!$D$2:$D$164=$D165)*(案件入力!$R$2:$R$164="完了")*(案件入力!$B$2:$B$164))),"0"),案件入力!$T$2:$T$164,0))),"")</f>
        <v/>
      </c>
      <c r="I165" s="40" t="n"/>
      <c r="J165" s="11">
        <f>IF(OR($H165="",$I165=""),"",IFERROR(($I165-$H165)/$H165,""))</f>
        <v/>
      </c>
      <c r="K165" s="8" t="n"/>
      <c r="L165" s="40">
        <f>IFERROR(IF(SUMPRODUCT(MAX((案件入力!$D$2:$D$164=$D165)*(案件入力!$R$2:$R$164="完了")*(案件入力!$B$2:$B$164)))=0,VLOOKUP($D165,商品マスタ範囲,6,FALSE),INDEX(案件入力!$M$2:$M$164,MATCH($D165&amp;"|"&amp;TEXT(SUMPRODUCT(MAX((案件入力!$D$2:$D$164=$D165)*(案件入力!$R$2:$R$164="完了")*(案件入力!$B$2:$B$164))),"0"),案件入力!$T$2:$T$164,0))),"")</f>
        <v/>
      </c>
      <c r="M165" s="40" t="n"/>
      <c r="N165" s="11">
        <f>IF(OR($L165="",$M165=""),"",IFERROR(($M165-$L165)/$L165,""))</f>
        <v/>
      </c>
      <c r="O165" s="8" t="n"/>
      <c r="P165" s="9" t="n"/>
      <c r="Q165" s="7" t="n"/>
      <c r="R165" s="7" t="n"/>
      <c r="S165" s="7" t="n"/>
      <c r="T165" s="7">
        <f>IF($R165="完了",$D165&amp;"|"&amp;TEXT($B165,"0"),"")</f>
        <v/>
      </c>
    </row>
    <row r="166">
      <c r="A166" s="7">
        <f>IF($B166="","",TEXT(YEAR($B166),"0000")&amp;"-"&amp;TEXT(SUMPRODUCT((YEAR($B$2:$B166)=YEAR($B166))*($B$2:$B166&lt;&gt;"")),"000"))</f>
        <v/>
      </c>
      <c r="B166" s="8" t="n"/>
      <c r="C166" s="7" t="n"/>
      <c r="D166" s="9" t="n"/>
      <c r="E166" s="7">
        <f>IFERROR(VLOOKUP($D166,商品マスタ範囲,4,FALSE),"")</f>
        <v/>
      </c>
      <c r="F166" s="7">
        <f>IFERROR(VLOOKUP($D166,商品マスタ範囲,2,FALSE),"")</f>
        <v/>
      </c>
      <c r="G166" s="7">
        <f>IFERROR(VLOOKUP($D166,商品マスタ範囲,3,FALSE),"")</f>
        <v/>
      </c>
      <c r="H166" s="40">
        <f>IFERROR(IF(SUMPRODUCT(MAX((案件入力!$D$2:$D$165=$D166)*(案件入力!$R$2:$R$165="完了")*(案件入力!$B$2:$B$165)))=0,VLOOKUP($D166,商品マスタ範囲,5,FALSE),INDEX(案件入力!$I$2:$I$165,MATCH($D166&amp;"|"&amp;TEXT(SUMPRODUCT(MAX((案件入力!$D$2:$D$165=$D166)*(案件入力!$R$2:$R$165="完了")*(案件入力!$B$2:$B$165))),"0"),案件入力!$T$2:$T$165,0))),"")</f>
        <v/>
      </c>
      <c r="I166" s="40" t="n"/>
      <c r="J166" s="11">
        <f>IF(OR($H166="",$I166=""),"",IFERROR(($I166-$H166)/$H166,""))</f>
        <v/>
      </c>
      <c r="K166" s="8" t="n"/>
      <c r="L166" s="40">
        <f>IFERROR(IF(SUMPRODUCT(MAX((案件入力!$D$2:$D$165=$D166)*(案件入力!$R$2:$R$165="完了")*(案件入力!$B$2:$B$165)))=0,VLOOKUP($D166,商品マスタ範囲,6,FALSE),INDEX(案件入力!$M$2:$M$165,MATCH($D166&amp;"|"&amp;TEXT(SUMPRODUCT(MAX((案件入力!$D$2:$D$165=$D166)*(案件入力!$R$2:$R$165="完了")*(案件入力!$B$2:$B$165))),"0"),案件入力!$T$2:$T$165,0))),"")</f>
        <v/>
      </c>
      <c r="M166" s="40" t="n"/>
      <c r="N166" s="11">
        <f>IF(OR($L166="",$M166=""),"",IFERROR(($M166-$L166)/$L166,""))</f>
        <v/>
      </c>
      <c r="O166" s="8" t="n"/>
      <c r="P166" s="9" t="n"/>
      <c r="Q166" s="7" t="n"/>
      <c r="R166" s="7" t="n"/>
      <c r="S166" s="7" t="n"/>
      <c r="T166" s="7">
        <f>IF($R166="完了",$D166&amp;"|"&amp;TEXT($B166,"0"),"")</f>
        <v/>
      </c>
    </row>
    <row r="167">
      <c r="A167" s="7">
        <f>IF($B167="","",TEXT(YEAR($B167),"0000")&amp;"-"&amp;TEXT(SUMPRODUCT((YEAR($B$2:$B167)=YEAR($B167))*($B$2:$B167&lt;&gt;"")),"000"))</f>
        <v/>
      </c>
      <c r="B167" s="8" t="n"/>
      <c r="C167" s="7" t="n"/>
      <c r="D167" s="9" t="n"/>
      <c r="E167" s="7">
        <f>IFERROR(VLOOKUP($D167,商品マスタ範囲,4,FALSE),"")</f>
        <v/>
      </c>
      <c r="F167" s="7">
        <f>IFERROR(VLOOKUP($D167,商品マスタ範囲,2,FALSE),"")</f>
        <v/>
      </c>
      <c r="G167" s="7">
        <f>IFERROR(VLOOKUP($D167,商品マスタ範囲,3,FALSE),"")</f>
        <v/>
      </c>
      <c r="H167" s="40">
        <f>IFERROR(IF(SUMPRODUCT(MAX((案件入力!$D$2:$D$166=$D167)*(案件入力!$R$2:$R$166="完了")*(案件入力!$B$2:$B$166)))=0,VLOOKUP($D167,商品マスタ範囲,5,FALSE),INDEX(案件入力!$I$2:$I$166,MATCH($D167&amp;"|"&amp;TEXT(SUMPRODUCT(MAX((案件入力!$D$2:$D$166=$D167)*(案件入力!$R$2:$R$166="完了")*(案件入力!$B$2:$B$166))),"0"),案件入力!$T$2:$T$166,0))),"")</f>
        <v/>
      </c>
      <c r="I167" s="40" t="n"/>
      <c r="J167" s="11">
        <f>IF(OR($H167="",$I167=""),"",IFERROR(($I167-$H167)/$H167,""))</f>
        <v/>
      </c>
      <c r="K167" s="8" t="n"/>
      <c r="L167" s="40">
        <f>IFERROR(IF(SUMPRODUCT(MAX((案件入力!$D$2:$D$166=$D167)*(案件入力!$R$2:$R$166="完了")*(案件入力!$B$2:$B$166)))=0,VLOOKUP($D167,商品マスタ範囲,6,FALSE),INDEX(案件入力!$M$2:$M$166,MATCH($D167&amp;"|"&amp;TEXT(SUMPRODUCT(MAX((案件入力!$D$2:$D$166=$D167)*(案件入力!$R$2:$R$166="完了")*(案件入力!$B$2:$B$166))),"0"),案件入力!$T$2:$T$166,0))),"")</f>
        <v/>
      </c>
      <c r="M167" s="40" t="n"/>
      <c r="N167" s="11">
        <f>IF(OR($L167="",$M167=""),"",IFERROR(($M167-$L167)/$L167,""))</f>
        <v/>
      </c>
      <c r="O167" s="8" t="n"/>
      <c r="P167" s="9" t="n"/>
      <c r="Q167" s="7" t="n"/>
      <c r="R167" s="7" t="n"/>
      <c r="S167" s="7" t="n"/>
      <c r="T167" s="7">
        <f>IF($R167="完了",$D167&amp;"|"&amp;TEXT($B167,"0"),"")</f>
        <v/>
      </c>
    </row>
    <row r="168">
      <c r="A168" s="7">
        <f>IF($B168="","",TEXT(YEAR($B168),"0000")&amp;"-"&amp;TEXT(SUMPRODUCT((YEAR($B$2:$B168)=YEAR($B168))*($B$2:$B168&lt;&gt;"")),"000"))</f>
        <v/>
      </c>
      <c r="B168" s="8" t="n"/>
      <c r="C168" s="7" t="n"/>
      <c r="D168" s="9" t="n"/>
      <c r="E168" s="7">
        <f>IFERROR(VLOOKUP($D168,商品マスタ範囲,4,FALSE),"")</f>
        <v/>
      </c>
      <c r="F168" s="7">
        <f>IFERROR(VLOOKUP($D168,商品マスタ範囲,2,FALSE),"")</f>
        <v/>
      </c>
      <c r="G168" s="7">
        <f>IFERROR(VLOOKUP($D168,商品マスタ範囲,3,FALSE),"")</f>
        <v/>
      </c>
      <c r="H168" s="40">
        <f>IFERROR(IF(SUMPRODUCT(MAX((案件入力!$D$2:$D$167=$D168)*(案件入力!$R$2:$R$167="完了")*(案件入力!$B$2:$B$167)))=0,VLOOKUP($D168,商品マスタ範囲,5,FALSE),INDEX(案件入力!$I$2:$I$167,MATCH($D168&amp;"|"&amp;TEXT(SUMPRODUCT(MAX((案件入力!$D$2:$D$167=$D168)*(案件入力!$R$2:$R$167="完了")*(案件入力!$B$2:$B$167))),"0"),案件入力!$T$2:$T$167,0))),"")</f>
        <v/>
      </c>
      <c r="I168" s="40" t="n"/>
      <c r="J168" s="11">
        <f>IF(OR($H168="",$I168=""),"",IFERROR(($I168-$H168)/$H168,""))</f>
        <v/>
      </c>
      <c r="K168" s="8" t="n"/>
      <c r="L168" s="40">
        <f>IFERROR(IF(SUMPRODUCT(MAX((案件入力!$D$2:$D$167=$D168)*(案件入力!$R$2:$R$167="完了")*(案件入力!$B$2:$B$167)))=0,VLOOKUP($D168,商品マスタ範囲,6,FALSE),INDEX(案件入力!$M$2:$M$167,MATCH($D168&amp;"|"&amp;TEXT(SUMPRODUCT(MAX((案件入力!$D$2:$D$167=$D168)*(案件入力!$R$2:$R$167="完了")*(案件入力!$B$2:$B$167))),"0"),案件入力!$T$2:$T$167,0))),"")</f>
        <v/>
      </c>
      <c r="M168" s="40" t="n"/>
      <c r="N168" s="11">
        <f>IF(OR($L168="",$M168=""),"",IFERROR(($M168-$L168)/$L168,""))</f>
        <v/>
      </c>
      <c r="O168" s="8" t="n"/>
      <c r="P168" s="9" t="n"/>
      <c r="Q168" s="7" t="n"/>
      <c r="R168" s="7" t="n"/>
      <c r="S168" s="7" t="n"/>
      <c r="T168" s="7">
        <f>IF($R168="完了",$D168&amp;"|"&amp;TEXT($B168,"0"),"")</f>
        <v/>
      </c>
    </row>
    <row r="169">
      <c r="A169" s="7">
        <f>IF($B169="","",TEXT(YEAR($B169),"0000")&amp;"-"&amp;TEXT(SUMPRODUCT((YEAR($B$2:$B169)=YEAR($B169))*($B$2:$B169&lt;&gt;"")),"000"))</f>
        <v/>
      </c>
      <c r="B169" s="8" t="n"/>
      <c r="C169" s="7" t="n"/>
      <c r="D169" s="9" t="n"/>
      <c r="E169" s="7">
        <f>IFERROR(VLOOKUP($D169,商品マスタ範囲,4,FALSE),"")</f>
        <v/>
      </c>
      <c r="F169" s="7">
        <f>IFERROR(VLOOKUP($D169,商品マスタ範囲,2,FALSE),"")</f>
        <v/>
      </c>
      <c r="G169" s="7">
        <f>IFERROR(VLOOKUP($D169,商品マスタ範囲,3,FALSE),"")</f>
        <v/>
      </c>
      <c r="H169" s="40">
        <f>IFERROR(IF(SUMPRODUCT(MAX((案件入力!$D$2:$D$168=$D169)*(案件入力!$R$2:$R$168="完了")*(案件入力!$B$2:$B$168)))=0,VLOOKUP($D169,商品マスタ範囲,5,FALSE),INDEX(案件入力!$I$2:$I$168,MATCH($D169&amp;"|"&amp;TEXT(SUMPRODUCT(MAX((案件入力!$D$2:$D$168=$D169)*(案件入力!$R$2:$R$168="完了")*(案件入力!$B$2:$B$168))),"0"),案件入力!$T$2:$T$168,0))),"")</f>
        <v/>
      </c>
      <c r="I169" s="40" t="n"/>
      <c r="J169" s="11">
        <f>IF(OR($H169="",$I169=""),"",IFERROR(($I169-$H169)/$H169,""))</f>
        <v/>
      </c>
      <c r="K169" s="8" t="n"/>
      <c r="L169" s="40">
        <f>IFERROR(IF(SUMPRODUCT(MAX((案件入力!$D$2:$D$168=$D169)*(案件入力!$R$2:$R$168="完了")*(案件入力!$B$2:$B$168)))=0,VLOOKUP($D169,商品マスタ範囲,6,FALSE),INDEX(案件入力!$M$2:$M$168,MATCH($D169&amp;"|"&amp;TEXT(SUMPRODUCT(MAX((案件入力!$D$2:$D$168=$D169)*(案件入力!$R$2:$R$168="完了")*(案件入力!$B$2:$B$168))),"0"),案件入力!$T$2:$T$168,0))),"")</f>
        <v/>
      </c>
      <c r="M169" s="40" t="n"/>
      <c r="N169" s="11">
        <f>IF(OR($L169="",$M169=""),"",IFERROR(($M169-$L169)/$L169,""))</f>
        <v/>
      </c>
      <c r="O169" s="8" t="n"/>
      <c r="P169" s="9" t="n"/>
      <c r="Q169" s="7" t="n"/>
      <c r="R169" s="7" t="n"/>
      <c r="S169" s="7" t="n"/>
      <c r="T169" s="7">
        <f>IF($R169="完了",$D169&amp;"|"&amp;TEXT($B169,"0"),"")</f>
        <v/>
      </c>
    </row>
    <row r="170">
      <c r="A170" s="7">
        <f>IF($B170="","",TEXT(YEAR($B170),"0000")&amp;"-"&amp;TEXT(SUMPRODUCT((YEAR($B$2:$B170)=YEAR($B170))*($B$2:$B170&lt;&gt;"")),"000"))</f>
        <v/>
      </c>
      <c r="B170" s="8" t="n"/>
      <c r="C170" s="7" t="n"/>
      <c r="D170" s="9" t="n"/>
      <c r="E170" s="7">
        <f>IFERROR(VLOOKUP($D170,商品マスタ範囲,4,FALSE),"")</f>
        <v/>
      </c>
      <c r="F170" s="7">
        <f>IFERROR(VLOOKUP($D170,商品マスタ範囲,2,FALSE),"")</f>
        <v/>
      </c>
      <c r="G170" s="7">
        <f>IFERROR(VLOOKUP($D170,商品マスタ範囲,3,FALSE),"")</f>
        <v/>
      </c>
      <c r="H170" s="40">
        <f>IFERROR(IF(SUMPRODUCT(MAX((案件入力!$D$2:$D$169=$D170)*(案件入力!$R$2:$R$169="完了")*(案件入力!$B$2:$B$169)))=0,VLOOKUP($D170,商品マスタ範囲,5,FALSE),INDEX(案件入力!$I$2:$I$169,MATCH($D170&amp;"|"&amp;TEXT(SUMPRODUCT(MAX((案件入力!$D$2:$D$169=$D170)*(案件入力!$R$2:$R$169="完了")*(案件入力!$B$2:$B$169))),"0"),案件入力!$T$2:$T$169,0))),"")</f>
        <v/>
      </c>
      <c r="I170" s="40" t="n"/>
      <c r="J170" s="11">
        <f>IF(OR($H170="",$I170=""),"",IFERROR(($I170-$H170)/$H170,""))</f>
        <v/>
      </c>
      <c r="K170" s="8" t="n"/>
      <c r="L170" s="40">
        <f>IFERROR(IF(SUMPRODUCT(MAX((案件入力!$D$2:$D$169=$D170)*(案件入力!$R$2:$R$169="完了")*(案件入力!$B$2:$B$169)))=0,VLOOKUP($D170,商品マスタ範囲,6,FALSE),INDEX(案件入力!$M$2:$M$169,MATCH($D170&amp;"|"&amp;TEXT(SUMPRODUCT(MAX((案件入力!$D$2:$D$169=$D170)*(案件入力!$R$2:$R$169="完了")*(案件入力!$B$2:$B$169))),"0"),案件入力!$T$2:$T$169,0))),"")</f>
        <v/>
      </c>
      <c r="M170" s="40" t="n"/>
      <c r="N170" s="11">
        <f>IF(OR($L170="",$M170=""),"",IFERROR(($M170-$L170)/$L170,""))</f>
        <v/>
      </c>
      <c r="O170" s="8" t="n"/>
      <c r="P170" s="9" t="n"/>
      <c r="Q170" s="7" t="n"/>
      <c r="R170" s="7" t="n"/>
      <c r="S170" s="7" t="n"/>
      <c r="T170" s="7">
        <f>IF($R170="完了",$D170&amp;"|"&amp;TEXT($B170,"0"),"")</f>
        <v/>
      </c>
    </row>
    <row r="171">
      <c r="A171" s="7">
        <f>IF($B171="","",TEXT(YEAR($B171),"0000")&amp;"-"&amp;TEXT(SUMPRODUCT((YEAR($B$2:$B171)=YEAR($B171))*($B$2:$B171&lt;&gt;"")),"000"))</f>
        <v/>
      </c>
      <c r="B171" s="8" t="n"/>
      <c r="C171" s="7" t="n"/>
      <c r="D171" s="9" t="n"/>
      <c r="E171" s="7">
        <f>IFERROR(VLOOKUP($D171,商品マスタ範囲,4,FALSE),"")</f>
        <v/>
      </c>
      <c r="F171" s="7">
        <f>IFERROR(VLOOKUP($D171,商品マスタ範囲,2,FALSE),"")</f>
        <v/>
      </c>
      <c r="G171" s="7">
        <f>IFERROR(VLOOKUP($D171,商品マスタ範囲,3,FALSE),"")</f>
        <v/>
      </c>
      <c r="H171" s="40">
        <f>IFERROR(IF(SUMPRODUCT(MAX((案件入力!$D$2:$D$170=$D171)*(案件入力!$R$2:$R$170="完了")*(案件入力!$B$2:$B$170)))=0,VLOOKUP($D171,商品マスタ範囲,5,FALSE),INDEX(案件入力!$I$2:$I$170,MATCH($D171&amp;"|"&amp;TEXT(SUMPRODUCT(MAX((案件入力!$D$2:$D$170=$D171)*(案件入力!$R$2:$R$170="完了")*(案件入力!$B$2:$B$170))),"0"),案件入力!$T$2:$T$170,0))),"")</f>
        <v/>
      </c>
      <c r="I171" s="40" t="n"/>
      <c r="J171" s="11">
        <f>IF(OR($H171="",$I171=""),"",IFERROR(($I171-$H171)/$H171,""))</f>
        <v/>
      </c>
      <c r="K171" s="8" t="n"/>
      <c r="L171" s="40">
        <f>IFERROR(IF(SUMPRODUCT(MAX((案件入力!$D$2:$D$170=$D171)*(案件入力!$R$2:$R$170="完了")*(案件入力!$B$2:$B$170)))=0,VLOOKUP($D171,商品マスタ範囲,6,FALSE),INDEX(案件入力!$M$2:$M$170,MATCH($D171&amp;"|"&amp;TEXT(SUMPRODUCT(MAX((案件入力!$D$2:$D$170=$D171)*(案件入力!$R$2:$R$170="完了")*(案件入力!$B$2:$B$170))),"0"),案件入力!$T$2:$T$170,0))),"")</f>
        <v/>
      </c>
      <c r="M171" s="40" t="n"/>
      <c r="N171" s="11">
        <f>IF(OR($L171="",$M171=""),"",IFERROR(($M171-$L171)/$L171,""))</f>
        <v/>
      </c>
      <c r="O171" s="8" t="n"/>
      <c r="P171" s="9" t="n"/>
      <c r="Q171" s="7" t="n"/>
      <c r="R171" s="7" t="n"/>
      <c r="S171" s="7" t="n"/>
      <c r="T171" s="7">
        <f>IF($R171="完了",$D171&amp;"|"&amp;TEXT($B171,"0"),"")</f>
        <v/>
      </c>
    </row>
    <row r="172">
      <c r="A172" s="7">
        <f>IF($B172="","",TEXT(YEAR($B172),"0000")&amp;"-"&amp;TEXT(SUMPRODUCT((YEAR($B$2:$B172)=YEAR($B172))*($B$2:$B172&lt;&gt;"")),"000"))</f>
        <v/>
      </c>
      <c r="B172" s="8" t="n"/>
      <c r="C172" s="7" t="n"/>
      <c r="D172" s="9" t="n"/>
      <c r="E172" s="7">
        <f>IFERROR(VLOOKUP($D172,商品マスタ範囲,4,FALSE),"")</f>
        <v/>
      </c>
      <c r="F172" s="7">
        <f>IFERROR(VLOOKUP($D172,商品マスタ範囲,2,FALSE),"")</f>
        <v/>
      </c>
      <c r="G172" s="7">
        <f>IFERROR(VLOOKUP($D172,商品マスタ範囲,3,FALSE),"")</f>
        <v/>
      </c>
      <c r="H172" s="40">
        <f>IFERROR(IF(SUMPRODUCT(MAX((案件入力!$D$2:$D$171=$D172)*(案件入力!$R$2:$R$171="完了")*(案件入力!$B$2:$B$171)))=0,VLOOKUP($D172,商品マスタ範囲,5,FALSE),INDEX(案件入力!$I$2:$I$171,MATCH($D172&amp;"|"&amp;TEXT(SUMPRODUCT(MAX((案件入力!$D$2:$D$171=$D172)*(案件入力!$R$2:$R$171="完了")*(案件入力!$B$2:$B$171))),"0"),案件入力!$T$2:$T$171,0))),"")</f>
        <v/>
      </c>
      <c r="I172" s="40" t="n"/>
      <c r="J172" s="11">
        <f>IF(OR($H172="",$I172=""),"",IFERROR(($I172-$H172)/$H172,""))</f>
        <v/>
      </c>
      <c r="K172" s="8" t="n"/>
      <c r="L172" s="40">
        <f>IFERROR(IF(SUMPRODUCT(MAX((案件入力!$D$2:$D$171=$D172)*(案件入力!$R$2:$R$171="完了")*(案件入力!$B$2:$B$171)))=0,VLOOKUP($D172,商品マスタ範囲,6,FALSE),INDEX(案件入力!$M$2:$M$171,MATCH($D172&amp;"|"&amp;TEXT(SUMPRODUCT(MAX((案件入力!$D$2:$D$171=$D172)*(案件入力!$R$2:$R$171="完了")*(案件入力!$B$2:$B$171))),"0"),案件入力!$T$2:$T$171,0))),"")</f>
        <v/>
      </c>
      <c r="M172" s="40" t="n"/>
      <c r="N172" s="11">
        <f>IF(OR($L172="",$M172=""),"",IFERROR(($M172-$L172)/$L172,""))</f>
        <v/>
      </c>
      <c r="O172" s="8" t="n"/>
      <c r="P172" s="9" t="n"/>
      <c r="Q172" s="7" t="n"/>
      <c r="R172" s="7" t="n"/>
      <c r="S172" s="7" t="n"/>
      <c r="T172" s="7">
        <f>IF($R172="完了",$D172&amp;"|"&amp;TEXT($B172,"0"),"")</f>
        <v/>
      </c>
    </row>
    <row r="173">
      <c r="A173" s="7">
        <f>IF($B173="","",TEXT(YEAR($B173),"0000")&amp;"-"&amp;TEXT(SUMPRODUCT((YEAR($B$2:$B173)=YEAR($B173))*($B$2:$B173&lt;&gt;"")),"000"))</f>
        <v/>
      </c>
      <c r="B173" s="8" t="n"/>
      <c r="C173" s="7" t="n"/>
      <c r="D173" s="9" t="n"/>
      <c r="E173" s="7">
        <f>IFERROR(VLOOKUP($D173,商品マスタ範囲,4,FALSE),"")</f>
        <v/>
      </c>
      <c r="F173" s="7">
        <f>IFERROR(VLOOKUP($D173,商品マスタ範囲,2,FALSE),"")</f>
        <v/>
      </c>
      <c r="G173" s="7">
        <f>IFERROR(VLOOKUP($D173,商品マスタ範囲,3,FALSE),"")</f>
        <v/>
      </c>
      <c r="H173" s="40">
        <f>IFERROR(IF(SUMPRODUCT(MAX((案件入力!$D$2:$D$172=$D173)*(案件入力!$R$2:$R$172="完了")*(案件入力!$B$2:$B$172)))=0,VLOOKUP($D173,商品マスタ範囲,5,FALSE),INDEX(案件入力!$I$2:$I$172,MATCH($D173&amp;"|"&amp;TEXT(SUMPRODUCT(MAX((案件入力!$D$2:$D$172=$D173)*(案件入力!$R$2:$R$172="完了")*(案件入力!$B$2:$B$172))),"0"),案件入力!$T$2:$T$172,0))),"")</f>
        <v/>
      </c>
      <c r="I173" s="40" t="n"/>
      <c r="J173" s="11">
        <f>IF(OR($H173="",$I173=""),"",IFERROR(($I173-$H173)/$H173,""))</f>
        <v/>
      </c>
      <c r="K173" s="8" t="n"/>
      <c r="L173" s="40">
        <f>IFERROR(IF(SUMPRODUCT(MAX((案件入力!$D$2:$D$172=$D173)*(案件入力!$R$2:$R$172="完了")*(案件入力!$B$2:$B$172)))=0,VLOOKUP($D173,商品マスタ範囲,6,FALSE),INDEX(案件入力!$M$2:$M$172,MATCH($D173&amp;"|"&amp;TEXT(SUMPRODUCT(MAX((案件入力!$D$2:$D$172=$D173)*(案件入力!$R$2:$R$172="完了")*(案件入力!$B$2:$B$172))),"0"),案件入力!$T$2:$T$172,0))),"")</f>
        <v/>
      </c>
      <c r="M173" s="40" t="n"/>
      <c r="N173" s="11">
        <f>IF(OR($L173="",$M173=""),"",IFERROR(($M173-$L173)/$L173,""))</f>
        <v/>
      </c>
      <c r="O173" s="8" t="n"/>
      <c r="P173" s="9" t="n"/>
      <c r="Q173" s="7" t="n"/>
      <c r="R173" s="7" t="n"/>
      <c r="S173" s="7" t="n"/>
      <c r="T173" s="7">
        <f>IF($R173="完了",$D173&amp;"|"&amp;TEXT($B173,"0"),"")</f>
        <v/>
      </c>
    </row>
    <row r="174">
      <c r="A174" s="7">
        <f>IF($B174="","",TEXT(YEAR($B174),"0000")&amp;"-"&amp;TEXT(SUMPRODUCT((YEAR($B$2:$B174)=YEAR($B174))*($B$2:$B174&lt;&gt;"")),"000"))</f>
        <v/>
      </c>
      <c r="B174" s="8" t="n"/>
      <c r="C174" s="7" t="n"/>
      <c r="D174" s="9" t="n"/>
      <c r="E174" s="7">
        <f>IFERROR(VLOOKUP($D174,商品マスタ範囲,4,FALSE),"")</f>
        <v/>
      </c>
      <c r="F174" s="7">
        <f>IFERROR(VLOOKUP($D174,商品マスタ範囲,2,FALSE),"")</f>
        <v/>
      </c>
      <c r="G174" s="7">
        <f>IFERROR(VLOOKUP($D174,商品マスタ範囲,3,FALSE),"")</f>
        <v/>
      </c>
      <c r="H174" s="40">
        <f>IFERROR(IF(SUMPRODUCT(MAX((案件入力!$D$2:$D$173=$D174)*(案件入力!$R$2:$R$173="完了")*(案件入力!$B$2:$B$173)))=0,VLOOKUP($D174,商品マスタ範囲,5,FALSE),INDEX(案件入力!$I$2:$I$173,MATCH($D174&amp;"|"&amp;TEXT(SUMPRODUCT(MAX((案件入力!$D$2:$D$173=$D174)*(案件入力!$R$2:$R$173="完了")*(案件入力!$B$2:$B$173))),"0"),案件入力!$T$2:$T$173,0))),"")</f>
        <v/>
      </c>
      <c r="I174" s="40" t="n"/>
      <c r="J174" s="11">
        <f>IF(OR($H174="",$I174=""),"",IFERROR(($I174-$H174)/$H174,""))</f>
        <v/>
      </c>
      <c r="K174" s="8" t="n"/>
      <c r="L174" s="40">
        <f>IFERROR(IF(SUMPRODUCT(MAX((案件入力!$D$2:$D$173=$D174)*(案件入力!$R$2:$R$173="完了")*(案件入力!$B$2:$B$173)))=0,VLOOKUP($D174,商品マスタ範囲,6,FALSE),INDEX(案件入力!$M$2:$M$173,MATCH($D174&amp;"|"&amp;TEXT(SUMPRODUCT(MAX((案件入力!$D$2:$D$173=$D174)*(案件入力!$R$2:$R$173="完了")*(案件入力!$B$2:$B$173))),"0"),案件入力!$T$2:$T$173,0))),"")</f>
        <v/>
      </c>
      <c r="M174" s="40" t="n"/>
      <c r="N174" s="11">
        <f>IF(OR($L174="",$M174=""),"",IFERROR(($M174-$L174)/$L174,""))</f>
        <v/>
      </c>
      <c r="O174" s="8" t="n"/>
      <c r="P174" s="9" t="n"/>
      <c r="Q174" s="7" t="n"/>
      <c r="R174" s="7" t="n"/>
      <c r="S174" s="7" t="n"/>
      <c r="T174" s="7">
        <f>IF($R174="完了",$D174&amp;"|"&amp;TEXT($B174,"0"),"")</f>
        <v/>
      </c>
    </row>
    <row r="175">
      <c r="A175" s="7">
        <f>IF($B175="","",TEXT(YEAR($B175),"0000")&amp;"-"&amp;TEXT(SUMPRODUCT((YEAR($B$2:$B175)=YEAR($B175))*($B$2:$B175&lt;&gt;"")),"000"))</f>
        <v/>
      </c>
      <c r="B175" s="8" t="n"/>
      <c r="C175" s="7" t="n"/>
      <c r="D175" s="9" t="n"/>
      <c r="E175" s="7">
        <f>IFERROR(VLOOKUP($D175,商品マスタ範囲,4,FALSE),"")</f>
        <v/>
      </c>
      <c r="F175" s="7">
        <f>IFERROR(VLOOKUP($D175,商品マスタ範囲,2,FALSE),"")</f>
        <v/>
      </c>
      <c r="G175" s="7">
        <f>IFERROR(VLOOKUP($D175,商品マスタ範囲,3,FALSE),"")</f>
        <v/>
      </c>
      <c r="H175" s="40">
        <f>IFERROR(IF(SUMPRODUCT(MAX((案件入力!$D$2:$D$174=$D175)*(案件入力!$R$2:$R$174="完了")*(案件入力!$B$2:$B$174)))=0,VLOOKUP($D175,商品マスタ範囲,5,FALSE),INDEX(案件入力!$I$2:$I$174,MATCH($D175&amp;"|"&amp;TEXT(SUMPRODUCT(MAX((案件入力!$D$2:$D$174=$D175)*(案件入力!$R$2:$R$174="完了")*(案件入力!$B$2:$B$174))),"0"),案件入力!$T$2:$T$174,0))),"")</f>
        <v/>
      </c>
      <c r="I175" s="40" t="n"/>
      <c r="J175" s="11">
        <f>IF(OR($H175="",$I175=""),"",IFERROR(($I175-$H175)/$H175,""))</f>
        <v/>
      </c>
      <c r="K175" s="8" t="n"/>
      <c r="L175" s="40">
        <f>IFERROR(IF(SUMPRODUCT(MAX((案件入力!$D$2:$D$174=$D175)*(案件入力!$R$2:$R$174="完了")*(案件入力!$B$2:$B$174)))=0,VLOOKUP($D175,商品マスタ範囲,6,FALSE),INDEX(案件入力!$M$2:$M$174,MATCH($D175&amp;"|"&amp;TEXT(SUMPRODUCT(MAX((案件入力!$D$2:$D$174=$D175)*(案件入力!$R$2:$R$174="完了")*(案件入力!$B$2:$B$174))),"0"),案件入力!$T$2:$T$174,0))),"")</f>
        <v/>
      </c>
      <c r="M175" s="40" t="n"/>
      <c r="N175" s="11">
        <f>IF(OR($L175="",$M175=""),"",IFERROR(($M175-$L175)/$L175,""))</f>
        <v/>
      </c>
      <c r="O175" s="8" t="n"/>
      <c r="P175" s="9" t="n"/>
      <c r="Q175" s="7" t="n"/>
      <c r="R175" s="7" t="n"/>
      <c r="S175" s="7" t="n"/>
      <c r="T175" s="7">
        <f>IF($R175="完了",$D175&amp;"|"&amp;TEXT($B175,"0"),"")</f>
        <v/>
      </c>
    </row>
    <row r="176">
      <c r="A176" s="7">
        <f>IF($B176="","",TEXT(YEAR($B176),"0000")&amp;"-"&amp;TEXT(SUMPRODUCT((YEAR($B$2:$B176)=YEAR($B176))*($B$2:$B176&lt;&gt;"")),"000"))</f>
        <v/>
      </c>
      <c r="B176" s="8" t="n"/>
      <c r="C176" s="7" t="n"/>
      <c r="D176" s="9" t="n"/>
      <c r="E176" s="7">
        <f>IFERROR(VLOOKUP($D176,商品マスタ範囲,4,FALSE),"")</f>
        <v/>
      </c>
      <c r="F176" s="7">
        <f>IFERROR(VLOOKUP($D176,商品マスタ範囲,2,FALSE),"")</f>
        <v/>
      </c>
      <c r="G176" s="7">
        <f>IFERROR(VLOOKUP($D176,商品マスタ範囲,3,FALSE),"")</f>
        <v/>
      </c>
      <c r="H176" s="40">
        <f>IFERROR(IF(SUMPRODUCT(MAX((案件入力!$D$2:$D$175=$D176)*(案件入力!$R$2:$R$175="完了")*(案件入力!$B$2:$B$175)))=0,VLOOKUP($D176,商品マスタ範囲,5,FALSE),INDEX(案件入力!$I$2:$I$175,MATCH($D176&amp;"|"&amp;TEXT(SUMPRODUCT(MAX((案件入力!$D$2:$D$175=$D176)*(案件入力!$R$2:$R$175="完了")*(案件入力!$B$2:$B$175))),"0"),案件入力!$T$2:$T$175,0))),"")</f>
        <v/>
      </c>
      <c r="I176" s="40" t="n"/>
      <c r="J176" s="11">
        <f>IF(OR($H176="",$I176=""),"",IFERROR(($I176-$H176)/$H176,""))</f>
        <v/>
      </c>
      <c r="K176" s="8" t="n"/>
      <c r="L176" s="40">
        <f>IFERROR(IF(SUMPRODUCT(MAX((案件入力!$D$2:$D$175=$D176)*(案件入力!$R$2:$R$175="完了")*(案件入力!$B$2:$B$175)))=0,VLOOKUP($D176,商品マスタ範囲,6,FALSE),INDEX(案件入力!$M$2:$M$175,MATCH($D176&amp;"|"&amp;TEXT(SUMPRODUCT(MAX((案件入力!$D$2:$D$175=$D176)*(案件入力!$R$2:$R$175="完了")*(案件入力!$B$2:$B$175))),"0"),案件入力!$T$2:$T$175,0))),"")</f>
        <v/>
      </c>
      <c r="M176" s="40" t="n"/>
      <c r="N176" s="11">
        <f>IF(OR($L176="",$M176=""),"",IFERROR(($M176-$L176)/$L176,""))</f>
        <v/>
      </c>
      <c r="O176" s="8" t="n"/>
      <c r="P176" s="9" t="n"/>
      <c r="Q176" s="7" t="n"/>
      <c r="R176" s="7" t="n"/>
      <c r="S176" s="7" t="n"/>
      <c r="T176" s="7">
        <f>IF($R176="完了",$D176&amp;"|"&amp;TEXT($B176,"0"),"")</f>
        <v/>
      </c>
    </row>
    <row r="177">
      <c r="A177" s="7">
        <f>IF($B177="","",TEXT(YEAR($B177),"0000")&amp;"-"&amp;TEXT(SUMPRODUCT((YEAR($B$2:$B177)=YEAR($B177))*($B$2:$B177&lt;&gt;"")),"000"))</f>
        <v/>
      </c>
      <c r="B177" s="8" t="n"/>
      <c r="C177" s="7" t="n"/>
      <c r="D177" s="9" t="n"/>
      <c r="E177" s="7">
        <f>IFERROR(VLOOKUP($D177,商品マスタ範囲,4,FALSE),"")</f>
        <v/>
      </c>
      <c r="F177" s="7">
        <f>IFERROR(VLOOKUP($D177,商品マスタ範囲,2,FALSE),"")</f>
        <v/>
      </c>
      <c r="G177" s="7">
        <f>IFERROR(VLOOKUP($D177,商品マスタ範囲,3,FALSE),"")</f>
        <v/>
      </c>
      <c r="H177" s="40">
        <f>IFERROR(IF(SUMPRODUCT(MAX((案件入力!$D$2:$D$176=$D177)*(案件入力!$R$2:$R$176="完了")*(案件入力!$B$2:$B$176)))=0,VLOOKUP($D177,商品マスタ範囲,5,FALSE),INDEX(案件入力!$I$2:$I$176,MATCH($D177&amp;"|"&amp;TEXT(SUMPRODUCT(MAX((案件入力!$D$2:$D$176=$D177)*(案件入力!$R$2:$R$176="完了")*(案件入力!$B$2:$B$176))),"0"),案件入力!$T$2:$T$176,0))),"")</f>
        <v/>
      </c>
      <c r="I177" s="40" t="n"/>
      <c r="J177" s="11">
        <f>IF(OR($H177="",$I177=""),"",IFERROR(($I177-$H177)/$H177,""))</f>
        <v/>
      </c>
      <c r="K177" s="8" t="n"/>
      <c r="L177" s="40">
        <f>IFERROR(IF(SUMPRODUCT(MAX((案件入力!$D$2:$D$176=$D177)*(案件入力!$R$2:$R$176="完了")*(案件入力!$B$2:$B$176)))=0,VLOOKUP($D177,商品マスタ範囲,6,FALSE),INDEX(案件入力!$M$2:$M$176,MATCH($D177&amp;"|"&amp;TEXT(SUMPRODUCT(MAX((案件入力!$D$2:$D$176=$D177)*(案件入力!$R$2:$R$176="完了")*(案件入力!$B$2:$B$176))),"0"),案件入力!$T$2:$T$176,0))),"")</f>
        <v/>
      </c>
      <c r="M177" s="40" t="n"/>
      <c r="N177" s="11">
        <f>IF(OR($L177="",$M177=""),"",IFERROR(($M177-$L177)/$L177,""))</f>
        <v/>
      </c>
      <c r="O177" s="8" t="n"/>
      <c r="P177" s="9" t="n"/>
      <c r="Q177" s="7" t="n"/>
      <c r="R177" s="7" t="n"/>
      <c r="S177" s="7" t="n"/>
      <c r="T177" s="7">
        <f>IF($R177="完了",$D177&amp;"|"&amp;TEXT($B177,"0"),"")</f>
        <v/>
      </c>
    </row>
    <row r="178">
      <c r="A178" s="7">
        <f>IF($B178="","",TEXT(YEAR($B178),"0000")&amp;"-"&amp;TEXT(SUMPRODUCT((YEAR($B$2:$B178)=YEAR($B178))*($B$2:$B178&lt;&gt;"")),"000"))</f>
        <v/>
      </c>
      <c r="B178" s="8" t="n"/>
      <c r="C178" s="7" t="n"/>
      <c r="D178" s="9" t="n"/>
      <c r="E178" s="7">
        <f>IFERROR(VLOOKUP($D178,商品マスタ範囲,4,FALSE),"")</f>
        <v/>
      </c>
      <c r="F178" s="7">
        <f>IFERROR(VLOOKUP($D178,商品マスタ範囲,2,FALSE),"")</f>
        <v/>
      </c>
      <c r="G178" s="7">
        <f>IFERROR(VLOOKUP($D178,商品マスタ範囲,3,FALSE),"")</f>
        <v/>
      </c>
      <c r="H178" s="40">
        <f>IFERROR(IF(SUMPRODUCT(MAX((案件入力!$D$2:$D$177=$D178)*(案件入力!$R$2:$R$177="完了")*(案件入力!$B$2:$B$177)))=0,VLOOKUP($D178,商品マスタ範囲,5,FALSE),INDEX(案件入力!$I$2:$I$177,MATCH($D178&amp;"|"&amp;TEXT(SUMPRODUCT(MAX((案件入力!$D$2:$D$177=$D178)*(案件入力!$R$2:$R$177="完了")*(案件入力!$B$2:$B$177))),"0"),案件入力!$T$2:$T$177,0))),"")</f>
        <v/>
      </c>
      <c r="I178" s="40" t="n"/>
      <c r="J178" s="11">
        <f>IF(OR($H178="",$I178=""),"",IFERROR(($I178-$H178)/$H178,""))</f>
        <v/>
      </c>
      <c r="K178" s="8" t="n"/>
      <c r="L178" s="40">
        <f>IFERROR(IF(SUMPRODUCT(MAX((案件入力!$D$2:$D$177=$D178)*(案件入力!$R$2:$R$177="完了")*(案件入力!$B$2:$B$177)))=0,VLOOKUP($D178,商品マスタ範囲,6,FALSE),INDEX(案件入力!$M$2:$M$177,MATCH($D178&amp;"|"&amp;TEXT(SUMPRODUCT(MAX((案件入力!$D$2:$D$177=$D178)*(案件入力!$R$2:$R$177="完了")*(案件入力!$B$2:$B$177))),"0"),案件入力!$T$2:$T$177,0))),"")</f>
        <v/>
      </c>
      <c r="M178" s="40" t="n"/>
      <c r="N178" s="11">
        <f>IF(OR($L178="",$M178=""),"",IFERROR(($M178-$L178)/$L178,""))</f>
        <v/>
      </c>
      <c r="O178" s="8" t="n"/>
      <c r="P178" s="9" t="n"/>
      <c r="Q178" s="7" t="n"/>
      <c r="R178" s="7" t="n"/>
      <c r="S178" s="7" t="n"/>
      <c r="T178" s="7">
        <f>IF($R178="完了",$D178&amp;"|"&amp;TEXT($B178,"0"),"")</f>
        <v/>
      </c>
    </row>
    <row r="179">
      <c r="A179" s="7">
        <f>IF($B179="","",TEXT(YEAR($B179),"0000")&amp;"-"&amp;TEXT(SUMPRODUCT((YEAR($B$2:$B179)=YEAR($B179))*($B$2:$B179&lt;&gt;"")),"000"))</f>
        <v/>
      </c>
      <c r="B179" s="8" t="n"/>
      <c r="C179" s="7" t="n"/>
      <c r="D179" s="9" t="n"/>
      <c r="E179" s="7">
        <f>IFERROR(VLOOKUP($D179,商品マスタ範囲,4,FALSE),"")</f>
        <v/>
      </c>
      <c r="F179" s="7">
        <f>IFERROR(VLOOKUP($D179,商品マスタ範囲,2,FALSE),"")</f>
        <v/>
      </c>
      <c r="G179" s="7">
        <f>IFERROR(VLOOKUP($D179,商品マスタ範囲,3,FALSE),"")</f>
        <v/>
      </c>
      <c r="H179" s="40">
        <f>IFERROR(IF(SUMPRODUCT(MAX((案件入力!$D$2:$D$178=$D179)*(案件入力!$R$2:$R$178="完了")*(案件入力!$B$2:$B$178)))=0,VLOOKUP($D179,商品マスタ範囲,5,FALSE),INDEX(案件入力!$I$2:$I$178,MATCH($D179&amp;"|"&amp;TEXT(SUMPRODUCT(MAX((案件入力!$D$2:$D$178=$D179)*(案件入力!$R$2:$R$178="完了")*(案件入力!$B$2:$B$178))),"0"),案件入力!$T$2:$T$178,0))),"")</f>
        <v/>
      </c>
      <c r="I179" s="40" t="n"/>
      <c r="J179" s="11">
        <f>IF(OR($H179="",$I179=""),"",IFERROR(($I179-$H179)/$H179,""))</f>
        <v/>
      </c>
      <c r="K179" s="8" t="n"/>
      <c r="L179" s="40">
        <f>IFERROR(IF(SUMPRODUCT(MAX((案件入力!$D$2:$D$178=$D179)*(案件入力!$R$2:$R$178="完了")*(案件入力!$B$2:$B$178)))=0,VLOOKUP($D179,商品マスタ範囲,6,FALSE),INDEX(案件入力!$M$2:$M$178,MATCH($D179&amp;"|"&amp;TEXT(SUMPRODUCT(MAX((案件入力!$D$2:$D$178=$D179)*(案件入力!$R$2:$R$178="完了")*(案件入力!$B$2:$B$178))),"0"),案件入力!$T$2:$T$178,0))),"")</f>
        <v/>
      </c>
      <c r="M179" s="40" t="n"/>
      <c r="N179" s="11">
        <f>IF(OR($L179="",$M179=""),"",IFERROR(($M179-$L179)/$L179,""))</f>
        <v/>
      </c>
      <c r="O179" s="8" t="n"/>
      <c r="P179" s="9" t="n"/>
      <c r="Q179" s="7" t="n"/>
      <c r="R179" s="7" t="n"/>
      <c r="S179" s="7" t="n"/>
      <c r="T179" s="7">
        <f>IF($R179="完了",$D179&amp;"|"&amp;TEXT($B179,"0"),"")</f>
        <v/>
      </c>
    </row>
    <row r="180">
      <c r="A180" s="7">
        <f>IF($B180="","",TEXT(YEAR($B180),"0000")&amp;"-"&amp;TEXT(SUMPRODUCT((YEAR($B$2:$B180)=YEAR($B180))*($B$2:$B180&lt;&gt;"")),"000"))</f>
        <v/>
      </c>
      <c r="B180" s="8" t="n"/>
      <c r="C180" s="7" t="n"/>
      <c r="D180" s="9" t="n"/>
      <c r="E180" s="7">
        <f>IFERROR(VLOOKUP($D180,商品マスタ範囲,4,FALSE),"")</f>
        <v/>
      </c>
      <c r="F180" s="7">
        <f>IFERROR(VLOOKUP($D180,商品マスタ範囲,2,FALSE),"")</f>
        <v/>
      </c>
      <c r="G180" s="7">
        <f>IFERROR(VLOOKUP($D180,商品マスタ範囲,3,FALSE),"")</f>
        <v/>
      </c>
      <c r="H180" s="40">
        <f>IFERROR(IF(SUMPRODUCT(MAX((案件入力!$D$2:$D$179=$D180)*(案件入力!$R$2:$R$179="完了")*(案件入力!$B$2:$B$179)))=0,VLOOKUP($D180,商品マスタ範囲,5,FALSE),INDEX(案件入力!$I$2:$I$179,MATCH($D180&amp;"|"&amp;TEXT(SUMPRODUCT(MAX((案件入力!$D$2:$D$179=$D180)*(案件入力!$R$2:$R$179="完了")*(案件入力!$B$2:$B$179))),"0"),案件入力!$T$2:$T$179,0))),"")</f>
        <v/>
      </c>
      <c r="I180" s="40" t="n"/>
      <c r="J180" s="11">
        <f>IF(OR($H180="",$I180=""),"",IFERROR(($I180-$H180)/$H180,""))</f>
        <v/>
      </c>
      <c r="K180" s="8" t="n"/>
      <c r="L180" s="40">
        <f>IFERROR(IF(SUMPRODUCT(MAX((案件入力!$D$2:$D$179=$D180)*(案件入力!$R$2:$R$179="完了")*(案件入力!$B$2:$B$179)))=0,VLOOKUP($D180,商品マスタ範囲,6,FALSE),INDEX(案件入力!$M$2:$M$179,MATCH($D180&amp;"|"&amp;TEXT(SUMPRODUCT(MAX((案件入力!$D$2:$D$179=$D180)*(案件入力!$R$2:$R$179="完了")*(案件入力!$B$2:$B$179))),"0"),案件入力!$T$2:$T$179,0))),"")</f>
        <v/>
      </c>
      <c r="M180" s="40" t="n"/>
      <c r="N180" s="11">
        <f>IF(OR($L180="",$M180=""),"",IFERROR(($M180-$L180)/$L180,""))</f>
        <v/>
      </c>
      <c r="O180" s="8" t="n"/>
      <c r="P180" s="9" t="n"/>
      <c r="Q180" s="7" t="n"/>
      <c r="R180" s="7" t="n"/>
      <c r="S180" s="7" t="n"/>
      <c r="T180" s="7">
        <f>IF($R180="完了",$D180&amp;"|"&amp;TEXT($B180,"0"),"")</f>
        <v/>
      </c>
    </row>
    <row r="181">
      <c r="A181" s="7">
        <f>IF($B181="","",TEXT(YEAR($B181),"0000")&amp;"-"&amp;TEXT(SUMPRODUCT((YEAR($B$2:$B181)=YEAR($B181))*($B$2:$B181&lt;&gt;"")),"000"))</f>
        <v/>
      </c>
      <c r="B181" s="8" t="n"/>
      <c r="C181" s="7" t="n"/>
      <c r="D181" s="9" t="n"/>
      <c r="E181" s="7">
        <f>IFERROR(VLOOKUP($D181,商品マスタ範囲,4,FALSE),"")</f>
        <v/>
      </c>
      <c r="F181" s="7">
        <f>IFERROR(VLOOKUP($D181,商品マスタ範囲,2,FALSE),"")</f>
        <v/>
      </c>
      <c r="G181" s="7">
        <f>IFERROR(VLOOKUP($D181,商品マスタ範囲,3,FALSE),"")</f>
        <v/>
      </c>
      <c r="H181" s="40">
        <f>IFERROR(IF(SUMPRODUCT(MAX((案件入力!$D$2:$D$180=$D181)*(案件入力!$R$2:$R$180="完了")*(案件入力!$B$2:$B$180)))=0,VLOOKUP($D181,商品マスタ範囲,5,FALSE),INDEX(案件入力!$I$2:$I$180,MATCH($D181&amp;"|"&amp;TEXT(SUMPRODUCT(MAX((案件入力!$D$2:$D$180=$D181)*(案件入力!$R$2:$R$180="完了")*(案件入力!$B$2:$B$180))),"0"),案件入力!$T$2:$T$180,0))),"")</f>
        <v/>
      </c>
      <c r="I181" s="40" t="n"/>
      <c r="J181" s="11">
        <f>IF(OR($H181="",$I181=""),"",IFERROR(($I181-$H181)/$H181,""))</f>
        <v/>
      </c>
      <c r="K181" s="8" t="n"/>
      <c r="L181" s="40">
        <f>IFERROR(IF(SUMPRODUCT(MAX((案件入力!$D$2:$D$180=$D181)*(案件入力!$R$2:$R$180="完了")*(案件入力!$B$2:$B$180)))=0,VLOOKUP($D181,商品マスタ範囲,6,FALSE),INDEX(案件入力!$M$2:$M$180,MATCH($D181&amp;"|"&amp;TEXT(SUMPRODUCT(MAX((案件入力!$D$2:$D$180=$D181)*(案件入力!$R$2:$R$180="完了")*(案件入力!$B$2:$B$180))),"0"),案件入力!$T$2:$T$180,0))),"")</f>
        <v/>
      </c>
      <c r="M181" s="40" t="n"/>
      <c r="N181" s="11">
        <f>IF(OR($L181="",$M181=""),"",IFERROR(($M181-$L181)/$L181,""))</f>
        <v/>
      </c>
      <c r="O181" s="8" t="n"/>
      <c r="P181" s="9" t="n"/>
      <c r="Q181" s="7" t="n"/>
      <c r="R181" s="7" t="n"/>
      <c r="S181" s="7" t="n"/>
      <c r="T181" s="7">
        <f>IF($R181="完了",$D181&amp;"|"&amp;TEXT($B181,"0"),"")</f>
        <v/>
      </c>
    </row>
    <row r="182">
      <c r="A182" s="7">
        <f>IF($B182="","",TEXT(YEAR($B182),"0000")&amp;"-"&amp;TEXT(SUMPRODUCT((YEAR($B$2:$B182)=YEAR($B182))*($B$2:$B182&lt;&gt;"")),"000"))</f>
        <v/>
      </c>
      <c r="B182" s="8" t="n"/>
      <c r="C182" s="7" t="n"/>
      <c r="D182" s="9" t="n"/>
      <c r="E182" s="7">
        <f>IFERROR(VLOOKUP($D182,商品マスタ範囲,4,FALSE),"")</f>
        <v/>
      </c>
      <c r="F182" s="7">
        <f>IFERROR(VLOOKUP($D182,商品マスタ範囲,2,FALSE),"")</f>
        <v/>
      </c>
      <c r="G182" s="7">
        <f>IFERROR(VLOOKUP($D182,商品マスタ範囲,3,FALSE),"")</f>
        <v/>
      </c>
      <c r="H182" s="40">
        <f>IFERROR(IF(SUMPRODUCT(MAX((案件入力!$D$2:$D$181=$D182)*(案件入力!$R$2:$R$181="完了")*(案件入力!$B$2:$B$181)))=0,VLOOKUP($D182,商品マスタ範囲,5,FALSE),INDEX(案件入力!$I$2:$I$181,MATCH($D182&amp;"|"&amp;TEXT(SUMPRODUCT(MAX((案件入力!$D$2:$D$181=$D182)*(案件入力!$R$2:$R$181="完了")*(案件入力!$B$2:$B$181))),"0"),案件入力!$T$2:$T$181,0))),"")</f>
        <v/>
      </c>
      <c r="I182" s="40" t="n"/>
      <c r="J182" s="11">
        <f>IF(OR($H182="",$I182=""),"",IFERROR(($I182-$H182)/$H182,""))</f>
        <v/>
      </c>
      <c r="K182" s="8" t="n"/>
      <c r="L182" s="40">
        <f>IFERROR(IF(SUMPRODUCT(MAX((案件入力!$D$2:$D$181=$D182)*(案件入力!$R$2:$R$181="完了")*(案件入力!$B$2:$B$181)))=0,VLOOKUP($D182,商品マスタ範囲,6,FALSE),INDEX(案件入力!$M$2:$M$181,MATCH($D182&amp;"|"&amp;TEXT(SUMPRODUCT(MAX((案件入力!$D$2:$D$181=$D182)*(案件入力!$R$2:$R$181="完了")*(案件入力!$B$2:$B$181))),"0"),案件入力!$T$2:$T$181,0))),"")</f>
        <v/>
      </c>
      <c r="M182" s="40" t="n"/>
      <c r="N182" s="11">
        <f>IF(OR($L182="",$M182=""),"",IFERROR(($M182-$L182)/$L182,""))</f>
        <v/>
      </c>
      <c r="O182" s="8" t="n"/>
      <c r="P182" s="9" t="n"/>
      <c r="Q182" s="7" t="n"/>
      <c r="R182" s="7" t="n"/>
      <c r="S182" s="7" t="n"/>
      <c r="T182" s="7">
        <f>IF($R182="完了",$D182&amp;"|"&amp;TEXT($B182,"0"),"")</f>
        <v/>
      </c>
    </row>
    <row r="183">
      <c r="A183" s="7">
        <f>IF($B183="","",TEXT(YEAR($B183),"0000")&amp;"-"&amp;TEXT(SUMPRODUCT((YEAR($B$2:$B183)=YEAR($B183))*($B$2:$B183&lt;&gt;"")),"000"))</f>
        <v/>
      </c>
      <c r="B183" s="8" t="n"/>
      <c r="C183" s="7" t="n"/>
      <c r="D183" s="9" t="n"/>
      <c r="E183" s="7">
        <f>IFERROR(VLOOKUP($D183,商品マスタ範囲,4,FALSE),"")</f>
        <v/>
      </c>
      <c r="F183" s="7">
        <f>IFERROR(VLOOKUP($D183,商品マスタ範囲,2,FALSE),"")</f>
        <v/>
      </c>
      <c r="G183" s="7">
        <f>IFERROR(VLOOKUP($D183,商品マスタ範囲,3,FALSE),"")</f>
        <v/>
      </c>
      <c r="H183" s="40">
        <f>IFERROR(IF(SUMPRODUCT(MAX((案件入力!$D$2:$D$182=$D183)*(案件入力!$R$2:$R$182="完了")*(案件入力!$B$2:$B$182)))=0,VLOOKUP($D183,商品マスタ範囲,5,FALSE),INDEX(案件入力!$I$2:$I$182,MATCH($D183&amp;"|"&amp;TEXT(SUMPRODUCT(MAX((案件入力!$D$2:$D$182=$D183)*(案件入力!$R$2:$R$182="完了")*(案件入力!$B$2:$B$182))),"0"),案件入力!$T$2:$T$182,0))),"")</f>
        <v/>
      </c>
      <c r="I183" s="40" t="n"/>
      <c r="J183" s="11">
        <f>IF(OR($H183="",$I183=""),"",IFERROR(($I183-$H183)/$H183,""))</f>
        <v/>
      </c>
      <c r="K183" s="8" t="n"/>
      <c r="L183" s="40">
        <f>IFERROR(IF(SUMPRODUCT(MAX((案件入力!$D$2:$D$182=$D183)*(案件入力!$R$2:$R$182="完了")*(案件入力!$B$2:$B$182)))=0,VLOOKUP($D183,商品マスタ範囲,6,FALSE),INDEX(案件入力!$M$2:$M$182,MATCH($D183&amp;"|"&amp;TEXT(SUMPRODUCT(MAX((案件入力!$D$2:$D$182=$D183)*(案件入力!$R$2:$R$182="完了")*(案件入力!$B$2:$B$182))),"0"),案件入力!$T$2:$T$182,0))),"")</f>
        <v/>
      </c>
      <c r="M183" s="40" t="n"/>
      <c r="N183" s="11">
        <f>IF(OR($L183="",$M183=""),"",IFERROR(($M183-$L183)/$L183,""))</f>
        <v/>
      </c>
      <c r="O183" s="8" t="n"/>
      <c r="P183" s="9" t="n"/>
      <c r="Q183" s="7" t="n"/>
      <c r="R183" s="7" t="n"/>
      <c r="S183" s="7" t="n"/>
      <c r="T183" s="7">
        <f>IF($R183="完了",$D183&amp;"|"&amp;TEXT($B183,"0"),"")</f>
        <v/>
      </c>
    </row>
    <row r="184">
      <c r="A184" s="7">
        <f>IF($B184="","",TEXT(YEAR($B184),"0000")&amp;"-"&amp;TEXT(SUMPRODUCT((YEAR($B$2:$B184)=YEAR($B184))*($B$2:$B184&lt;&gt;"")),"000"))</f>
        <v/>
      </c>
      <c r="B184" s="8" t="n"/>
      <c r="C184" s="7" t="n"/>
      <c r="D184" s="9" t="n"/>
      <c r="E184" s="7">
        <f>IFERROR(VLOOKUP($D184,商品マスタ範囲,4,FALSE),"")</f>
        <v/>
      </c>
      <c r="F184" s="7">
        <f>IFERROR(VLOOKUP($D184,商品マスタ範囲,2,FALSE),"")</f>
        <v/>
      </c>
      <c r="G184" s="7">
        <f>IFERROR(VLOOKUP($D184,商品マスタ範囲,3,FALSE),"")</f>
        <v/>
      </c>
      <c r="H184" s="40">
        <f>IFERROR(IF(SUMPRODUCT(MAX((案件入力!$D$2:$D$183=$D184)*(案件入力!$R$2:$R$183="完了")*(案件入力!$B$2:$B$183)))=0,VLOOKUP($D184,商品マスタ範囲,5,FALSE),INDEX(案件入力!$I$2:$I$183,MATCH($D184&amp;"|"&amp;TEXT(SUMPRODUCT(MAX((案件入力!$D$2:$D$183=$D184)*(案件入力!$R$2:$R$183="完了")*(案件入力!$B$2:$B$183))),"0"),案件入力!$T$2:$T$183,0))),"")</f>
        <v/>
      </c>
      <c r="I184" s="40" t="n"/>
      <c r="J184" s="11">
        <f>IF(OR($H184="",$I184=""),"",IFERROR(($I184-$H184)/$H184,""))</f>
        <v/>
      </c>
      <c r="K184" s="8" t="n"/>
      <c r="L184" s="40">
        <f>IFERROR(IF(SUMPRODUCT(MAX((案件入力!$D$2:$D$183=$D184)*(案件入力!$R$2:$R$183="完了")*(案件入力!$B$2:$B$183)))=0,VLOOKUP($D184,商品マスタ範囲,6,FALSE),INDEX(案件入力!$M$2:$M$183,MATCH($D184&amp;"|"&amp;TEXT(SUMPRODUCT(MAX((案件入力!$D$2:$D$183=$D184)*(案件入力!$R$2:$R$183="完了")*(案件入力!$B$2:$B$183))),"0"),案件入力!$T$2:$T$183,0))),"")</f>
        <v/>
      </c>
      <c r="M184" s="40" t="n"/>
      <c r="N184" s="11">
        <f>IF(OR($L184="",$M184=""),"",IFERROR(($M184-$L184)/$L184,""))</f>
        <v/>
      </c>
      <c r="O184" s="8" t="n"/>
      <c r="P184" s="9" t="n"/>
      <c r="Q184" s="7" t="n"/>
      <c r="R184" s="7" t="n"/>
      <c r="S184" s="7" t="n"/>
      <c r="T184" s="7">
        <f>IF($R184="完了",$D184&amp;"|"&amp;TEXT($B184,"0"),"")</f>
        <v/>
      </c>
    </row>
    <row r="185">
      <c r="A185" s="7">
        <f>IF($B185="","",TEXT(YEAR($B185),"0000")&amp;"-"&amp;TEXT(SUMPRODUCT((YEAR($B$2:$B185)=YEAR($B185))*($B$2:$B185&lt;&gt;"")),"000"))</f>
        <v/>
      </c>
      <c r="B185" s="8" t="n"/>
      <c r="C185" s="7" t="n"/>
      <c r="D185" s="9" t="n"/>
      <c r="E185" s="7">
        <f>IFERROR(VLOOKUP($D185,商品マスタ範囲,4,FALSE),"")</f>
        <v/>
      </c>
      <c r="F185" s="7">
        <f>IFERROR(VLOOKUP($D185,商品マスタ範囲,2,FALSE),"")</f>
        <v/>
      </c>
      <c r="G185" s="7">
        <f>IFERROR(VLOOKUP($D185,商品マスタ範囲,3,FALSE),"")</f>
        <v/>
      </c>
      <c r="H185" s="40">
        <f>IFERROR(IF(SUMPRODUCT(MAX((案件入力!$D$2:$D$184=$D185)*(案件入力!$R$2:$R$184="完了")*(案件入力!$B$2:$B$184)))=0,VLOOKUP($D185,商品マスタ範囲,5,FALSE),INDEX(案件入力!$I$2:$I$184,MATCH($D185&amp;"|"&amp;TEXT(SUMPRODUCT(MAX((案件入力!$D$2:$D$184=$D185)*(案件入力!$R$2:$R$184="完了")*(案件入力!$B$2:$B$184))),"0"),案件入力!$T$2:$T$184,0))),"")</f>
        <v/>
      </c>
      <c r="I185" s="40" t="n"/>
      <c r="J185" s="11">
        <f>IF(OR($H185="",$I185=""),"",IFERROR(($I185-$H185)/$H185,""))</f>
        <v/>
      </c>
      <c r="K185" s="8" t="n"/>
      <c r="L185" s="40">
        <f>IFERROR(IF(SUMPRODUCT(MAX((案件入力!$D$2:$D$184=$D185)*(案件入力!$R$2:$R$184="完了")*(案件入力!$B$2:$B$184)))=0,VLOOKUP($D185,商品マスタ範囲,6,FALSE),INDEX(案件入力!$M$2:$M$184,MATCH($D185&amp;"|"&amp;TEXT(SUMPRODUCT(MAX((案件入力!$D$2:$D$184=$D185)*(案件入力!$R$2:$R$184="完了")*(案件入力!$B$2:$B$184))),"0"),案件入力!$T$2:$T$184,0))),"")</f>
        <v/>
      </c>
      <c r="M185" s="40" t="n"/>
      <c r="N185" s="11">
        <f>IF(OR($L185="",$M185=""),"",IFERROR(($M185-$L185)/$L185,""))</f>
        <v/>
      </c>
      <c r="O185" s="8" t="n"/>
      <c r="P185" s="9" t="n"/>
      <c r="Q185" s="7" t="n"/>
      <c r="R185" s="7" t="n"/>
      <c r="S185" s="7" t="n"/>
      <c r="T185" s="7">
        <f>IF($R185="完了",$D185&amp;"|"&amp;TEXT($B185,"0"),"")</f>
        <v/>
      </c>
    </row>
    <row r="186">
      <c r="A186" s="7">
        <f>IF($B186="","",TEXT(YEAR($B186),"0000")&amp;"-"&amp;TEXT(SUMPRODUCT((YEAR($B$2:$B186)=YEAR($B186))*($B$2:$B186&lt;&gt;"")),"000"))</f>
        <v/>
      </c>
      <c r="B186" s="8" t="n"/>
      <c r="C186" s="7" t="n"/>
      <c r="D186" s="9" t="n"/>
      <c r="E186" s="7">
        <f>IFERROR(VLOOKUP($D186,商品マスタ範囲,4,FALSE),"")</f>
        <v/>
      </c>
      <c r="F186" s="7">
        <f>IFERROR(VLOOKUP($D186,商品マスタ範囲,2,FALSE),"")</f>
        <v/>
      </c>
      <c r="G186" s="7">
        <f>IFERROR(VLOOKUP($D186,商品マスタ範囲,3,FALSE),"")</f>
        <v/>
      </c>
      <c r="H186" s="40">
        <f>IFERROR(IF(SUMPRODUCT(MAX((案件入力!$D$2:$D$185=$D186)*(案件入力!$R$2:$R$185="完了")*(案件入力!$B$2:$B$185)))=0,VLOOKUP($D186,商品マスタ範囲,5,FALSE),INDEX(案件入力!$I$2:$I$185,MATCH($D186&amp;"|"&amp;TEXT(SUMPRODUCT(MAX((案件入力!$D$2:$D$185=$D186)*(案件入力!$R$2:$R$185="完了")*(案件入力!$B$2:$B$185))),"0"),案件入力!$T$2:$T$185,0))),"")</f>
        <v/>
      </c>
      <c r="I186" s="40" t="n"/>
      <c r="J186" s="11">
        <f>IF(OR($H186="",$I186=""),"",IFERROR(($I186-$H186)/$H186,""))</f>
        <v/>
      </c>
      <c r="K186" s="8" t="n"/>
      <c r="L186" s="40">
        <f>IFERROR(IF(SUMPRODUCT(MAX((案件入力!$D$2:$D$185=$D186)*(案件入力!$R$2:$R$185="完了")*(案件入力!$B$2:$B$185)))=0,VLOOKUP($D186,商品マスタ範囲,6,FALSE),INDEX(案件入力!$M$2:$M$185,MATCH($D186&amp;"|"&amp;TEXT(SUMPRODUCT(MAX((案件入力!$D$2:$D$185=$D186)*(案件入力!$R$2:$R$185="完了")*(案件入力!$B$2:$B$185))),"0"),案件入力!$T$2:$T$185,0))),"")</f>
        <v/>
      </c>
      <c r="M186" s="40" t="n"/>
      <c r="N186" s="11">
        <f>IF(OR($L186="",$M186=""),"",IFERROR(($M186-$L186)/$L186,""))</f>
        <v/>
      </c>
      <c r="O186" s="8" t="n"/>
      <c r="P186" s="9" t="n"/>
      <c r="Q186" s="7" t="n"/>
      <c r="R186" s="7" t="n"/>
      <c r="S186" s="7" t="n"/>
      <c r="T186" s="7">
        <f>IF($R186="完了",$D186&amp;"|"&amp;TEXT($B186,"0"),"")</f>
        <v/>
      </c>
    </row>
    <row r="187">
      <c r="A187" s="7">
        <f>IF($B187="","",TEXT(YEAR($B187),"0000")&amp;"-"&amp;TEXT(SUMPRODUCT((YEAR($B$2:$B187)=YEAR($B187))*($B$2:$B187&lt;&gt;"")),"000"))</f>
        <v/>
      </c>
      <c r="B187" s="8" t="n"/>
      <c r="C187" s="7" t="n"/>
      <c r="D187" s="9" t="n"/>
      <c r="E187" s="7">
        <f>IFERROR(VLOOKUP($D187,商品マスタ範囲,4,FALSE),"")</f>
        <v/>
      </c>
      <c r="F187" s="7">
        <f>IFERROR(VLOOKUP($D187,商品マスタ範囲,2,FALSE),"")</f>
        <v/>
      </c>
      <c r="G187" s="7">
        <f>IFERROR(VLOOKUP($D187,商品マスタ範囲,3,FALSE),"")</f>
        <v/>
      </c>
      <c r="H187" s="40">
        <f>IFERROR(IF(SUMPRODUCT(MAX((案件入力!$D$2:$D$186=$D187)*(案件入力!$R$2:$R$186="完了")*(案件入力!$B$2:$B$186)))=0,VLOOKUP($D187,商品マスタ範囲,5,FALSE),INDEX(案件入力!$I$2:$I$186,MATCH($D187&amp;"|"&amp;TEXT(SUMPRODUCT(MAX((案件入力!$D$2:$D$186=$D187)*(案件入力!$R$2:$R$186="完了")*(案件入力!$B$2:$B$186))),"0"),案件入力!$T$2:$T$186,0))),"")</f>
        <v/>
      </c>
      <c r="I187" s="40" t="n"/>
      <c r="J187" s="11">
        <f>IF(OR($H187="",$I187=""),"",IFERROR(($I187-$H187)/$H187,""))</f>
        <v/>
      </c>
      <c r="K187" s="8" t="n"/>
      <c r="L187" s="40">
        <f>IFERROR(IF(SUMPRODUCT(MAX((案件入力!$D$2:$D$186=$D187)*(案件入力!$R$2:$R$186="完了")*(案件入力!$B$2:$B$186)))=0,VLOOKUP($D187,商品マスタ範囲,6,FALSE),INDEX(案件入力!$M$2:$M$186,MATCH($D187&amp;"|"&amp;TEXT(SUMPRODUCT(MAX((案件入力!$D$2:$D$186=$D187)*(案件入力!$R$2:$R$186="完了")*(案件入力!$B$2:$B$186))),"0"),案件入力!$T$2:$T$186,0))),"")</f>
        <v/>
      </c>
      <c r="M187" s="40" t="n"/>
      <c r="N187" s="11">
        <f>IF(OR($L187="",$M187=""),"",IFERROR(($M187-$L187)/$L187,""))</f>
        <v/>
      </c>
      <c r="O187" s="8" t="n"/>
      <c r="P187" s="9" t="n"/>
      <c r="Q187" s="7" t="n"/>
      <c r="R187" s="7" t="n"/>
      <c r="S187" s="7" t="n"/>
      <c r="T187" s="7">
        <f>IF($R187="完了",$D187&amp;"|"&amp;TEXT($B187,"0"),"")</f>
        <v/>
      </c>
    </row>
    <row r="188">
      <c r="A188" s="7">
        <f>IF($B188="","",TEXT(YEAR($B188),"0000")&amp;"-"&amp;TEXT(SUMPRODUCT((YEAR($B$2:$B188)=YEAR($B188))*($B$2:$B188&lt;&gt;"")),"000"))</f>
        <v/>
      </c>
      <c r="B188" s="8" t="n"/>
      <c r="C188" s="7" t="n"/>
      <c r="D188" s="9" t="n"/>
      <c r="E188" s="7">
        <f>IFERROR(VLOOKUP($D188,商品マスタ範囲,4,FALSE),"")</f>
        <v/>
      </c>
      <c r="F188" s="7">
        <f>IFERROR(VLOOKUP($D188,商品マスタ範囲,2,FALSE),"")</f>
        <v/>
      </c>
      <c r="G188" s="7">
        <f>IFERROR(VLOOKUP($D188,商品マスタ範囲,3,FALSE),"")</f>
        <v/>
      </c>
      <c r="H188" s="40">
        <f>IFERROR(IF(SUMPRODUCT(MAX((案件入力!$D$2:$D$187=$D188)*(案件入力!$R$2:$R$187="完了")*(案件入力!$B$2:$B$187)))=0,VLOOKUP($D188,商品マスタ範囲,5,FALSE),INDEX(案件入力!$I$2:$I$187,MATCH($D188&amp;"|"&amp;TEXT(SUMPRODUCT(MAX((案件入力!$D$2:$D$187=$D188)*(案件入力!$R$2:$R$187="完了")*(案件入力!$B$2:$B$187))),"0"),案件入力!$T$2:$T$187,0))),"")</f>
        <v/>
      </c>
      <c r="I188" s="40" t="n"/>
      <c r="J188" s="11">
        <f>IF(OR($H188="",$I188=""),"",IFERROR(($I188-$H188)/$H188,""))</f>
        <v/>
      </c>
      <c r="K188" s="8" t="n"/>
      <c r="L188" s="40">
        <f>IFERROR(IF(SUMPRODUCT(MAX((案件入力!$D$2:$D$187=$D188)*(案件入力!$R$2:$R$187="完了")*(案件入力!$B$2:$B$187)))=0,VLOOKUP($D188,商品マスタ範囲,6,FALSE),INDEX(案件入力!$M$2:$M$187,MATCH($D188&amp;"|"&amp;TEXT(SUMPRODUCT(MAX((案件入力!$D$2:$D$187=$D188)*(案件入力!$R$2:$R$187="完了")*(案件入力!$B$2:$B$187))),"0"),案件入力!$T$2:$T$187,0))),"")</f>
        <v/>
      </c>
      <c r="M188" s="40" t="n"/>
      <c r="N188" s="11">
        <f>IF(OR($L188="",$M188=""),"",IFERROR(($M188-$L188)/$L188,""))</f>
        <v/>
      </c>
      <c r="O188" s="8" t="n"/>
      <c r="P188" s="9" t="n"/>
      <c r="Q188" s="7" t="n"/>
      <c r="R188" s="7" t="n"/>
      <c r="S188" s="7" t="n"/>
      <c r="T188" s="7">
        <f>IF($R188="完了",$D188&amp;"|"&amp;TEXT($B188,"0"),"")</f>
        <v/>
      </c>
    </row>
    <row r="189">
      <c r="A189" s="7">
        <f>IF($B189="","",TEXT(YEAR($B189),"0000")&amp;"-"&amp;TEXT(SUMPRODUCT((YEAR($B$2:$B189)=YEAR($B189))*($B$2:$B189&lt;&gt;"")),"000"))</f>
        <v/>
      </c>
      <c r="B189" s="8" t="n"/>
      <c r="C189" s="7" t="n"/>
      <c r="D189" s="9" t="n"/>
      <c r="E189" s="7">
        <f>IFERROR(VLOOKUP($D189,商品マスタ範囲,4,FALSE),"")</f>
        <v/>
      </c>
      <c r="F189" s="7">
        <f>IFERROR(VLOOKUP($D189,商品マスタ範囲,2,FALSE),"")</f>
        <v/>
      </c>
      <c r="G189" s="7">
        <f>IFERROR(VLOOKUP($D189,商品マスタ範囲,3,FALSE),"")</f>
        <v/>
      </c>
      <c r="H189" s="40">
        <f>IFERROR(IF(SUMPRODUCT(MAX((案件入力!$D$2:$D$188=$D189)*(案件入力!$R$2:$R$188="完了")*(案件入力!$B$2:$B$188)))=0,VLOOKUP($D189,商品マスタ範囲,5,FALSE),INDEX(案件入力!$I$2:$I$188,MATCH($D189&amp;"|"&amp;TEXT(SUMPRODUCT(MAX((案件入力!$D$2:$D$188=$D189)*(案件入力!$R$2:$R$188="完了")*(案件入力!$B$2:$B$188))),"0"),案件入力!$T$2:$T$188,0))),"")</f>
        <v/>
      </c>
      <c r="I189" s="40" t="n"/>
      <c r="J189" s="11">
        <f>IF(OR($H189="",$I189=""),"",IFERROR(($I189-$H189)/$H189,""))</f>
        <v/>
      </c>
      <c r="K189" s="8" t="n"/>
      <c r="L189" s="40">
        <f>IFERROR(IF(SUMPRODUCT(MAX((案件入力!$D$2:$D$188=$D189)*(案件入力!$R$2:$R$188="完了")*(案件入力!$B$2:$B$188)))=0,VLOOKUP($D189,商品マスタ範囲,6,FALSE),INDEX(案件入力!$M$2:$M$188,MATCH($D189&amp;"|"&amp;TEXT(SUMPRODUCT(MAX((案件入力!$D$2:$D$188=$D189)*(案件入力!$R$2:$R$188="完了")*(案件入力!$B$2:$B$188))),"0"),案件入力!$T$2:$T$188,0))),"")</f>
        <v/>
      </c>
      <c r="M189" s="40" t="n"/>
      <c r="N189" s="11">
        <f>IF(OR($L189="",$M189=""),"",IFERROR(($M189-$L189)/$L189,""))</f>
        <v/>
      </c>
      <c r="O189" s="8" t="n"/>
      <c r="P189" s="9" t="n"/>
      <c r="Q189" s="7" t="n"/>
      <c r="R189" s="7" t="n"/>
      <c r="S189" s="7" t="n"/>
      <c r="T189" s="7">
        <f>IF($R189="完了",$D189&amp;"|"&amp;TEXT($B189,"0"),"")</f>
        <v/>
      </c>
    </row>
    <row r="190">
      <c r="A190" s="7">
        <f>IF($B190="","",TEXT(YEAR($B190),"0000")&amp;"-"&amp;TEXT(SUMPRODUCT((YEAR($B$2:$B190)=YEAR($B190))*($B$2:$B190&lt;&gt;"")),"000"))</f>
        <v/>
      </c>
      <c r="B190" s="8" t="n"/>
      <c r="C190" s="7" t="n"/>
      <c r="D190" s="9" t="n"/>
      <c r="E190" s="7">
        <f>IFERROR(VLOOKUP($D190,商品マスタ範囲,4,FALSE),"")</f>
        <v/>
      </c>
      <c r="F190" s="7">
        <f>IFERROR(VLOOKUP($D190,商品マスタ範囲,2,FALSE),"")</f>
        <v/>
      </c>
      <c r="G190" s="7">
        <f>IFERROR(VLOOKUP($D190,商品マスタ範囲,3,FALSE),"")</f>
        <v/>
      </c>
      <c r="H190" s="40">
        <f>IFERROR(IF(SUMPRODUCT(MAX((案件入力!$D$2:$D$189=$D190)*(案件入力!$R$2:$R$189="完了")*(案件入力!$B$2:$B$189)))=0,VLOOKUP($D190,商品マスタ範囲,5,FALSE),INDEX(案件入力!$I$2:$I$189,MATCH($D190&amp;"|"&amp;TEXT(SUMPRODUCT(MAX((案件入力!$D$2:$D$189=$D190)*(案件入力!$R$2:$R$189="完了")*(案件入力!$B$2:$B$189))),"0"),案件入力!$T$2:$T$189,0))),"")</f>
        <v/>
      </c>
      <c r="I190" s="40" t="n"/>
      <c r="J190" s="11">
        <f>IF(OR($H190="",$I190=""),"",IFERROR(($I190-$H190)/$H190,""))</f>
        <v/>
      </c>
      <c r="K190" s="8" t="n"/>
      <c r="L190" s="40">
        <f>IFERROR(IF(SUMPRODUCT(MAX((案件入力!$D$2:$D$189=$D190)*(案件入力!$R$2:$R$189="完了")*(案件入力!$B$2:$B$189)))=0,VLOOKUP($D190,商品マスタ範囲,6,FALSE),INDEX(案件入力!$M$2:$M$189,MATCH($D190&amp;"|"&amp;TEXT(SUMPRODUCT(MAX((案件入力!$D$2:$D$189=$D190)*(案件入力!$R$2:$R$189="完了")*(案件入力!$B$2:$B$189))),"0"),案件入力!$T$2:$T$189,0))),"")</f>
        <v/>
      </c>
      <c r="M190" s="40" t="n"/>
      <c r="N190" s="11">
        <f>IF(OR($L190="",$M190=""),"",IFERROR(($M190-$L190)/$L190,""))</f>
        <v/>
      </c>
      <c r="O190" s="8" t="n"/>
      <c r="P190" s="9" t="n"/>
      <c r="Q190" s="7" t="n"/>
      <c r="R190" s="7" t="n"/>
      <c r="S190" s="7" t="n"/>
      <c r="T190" s="7">
        <f>IF($R190="完了",$D190&amp;"|"&amp;TEXT($B190,"0"),"")</f>
        <v/>
      </c>
    </row>
    <row r="191">
      <c r="A191" s="7">
        <f>IF($B191="","",TEXT(YEAR($B191),"0000")&amp;"-"&amp;TEXT(SUMPRODUCT((YEAR($B$2:$B191)=YEAR($B191))*($B$2:$B191&lt;&gt;"")),"000"))</f>
        <v/>
      </c>
      <c r="B191" s="8" t="n"/>
      <c r="C191" s="7" t="n"/>
      <c r="D191" s="9" t="n"/>
      <c r="E191" s="7">
        <f>IFERROR(VLOOKUP($D191,商品マスタ範囲,4,FALSE),"")</f>
        <v/>
      </c>
      <c r="F191" s="7">
        <f>IFERROR(VLOOKUP($D191,商品マスタ範囲,2,FALSE),"")</f>
        <v/>
      </c>
      <c r="G191" s="7">
        <f>IFERROR(VLOOKUP($D191,商品マスタ範囲,3,FALSE),"")</f>
        <v/>
      </c>
      <c r="H191" s="40">
        <f>IFERROR(IF(SUMPRODUCT(MAX((案件入力!$D$2:$D$190=$D191)*(案件入力!$R$2:$R$190="完了")*(案件入力!$B$2:$B$190)))=0,VLOOKUP($D191,商品マスタ範囲,5,FALSE),INDEX(案件入力!$I$2:$I$190,MATCH($D191&amp;"|"&amp;TEXT(SUMPRODUCT(MAX((案件入力!$D$2:$D$190=$D191)*(案件入力!$R$2:$R$190="完了")*(案件入力!$B$2:$B$190))),"0"),案件入力!$T$2:$T$190,0))),"")</f>
        <v/>
      </c>
      <c r="I191" s="40" t="n"/>
      <c r="J191" s="11">
        <f>IF(OR($H191="",$I191=""),"",IFERROR(($I191-$H191)/$H191,""))</f>
        <v/>
      </c>
      <c r="K191" s="8" t="n"/>
      <c r="L191" s="40">
        <f>IFERROR(IF(SUMPRODUCT(MAX((案件入力!$D$2:$D$190=$D191)*(案件入力!$R$2:$R$190="完了")*(案件入力!$B$2:$B$190)))=0,VLOOKUP($D191,商品マスタ範囲,6,FALSE),INDEX(案件入力!$M$2:$M$190,MATCH($D191&amp;"|"&amp;TEXT(SUMPRODUCT(MAX((案件入力!$D$2:$D$190=$D191)*(案件入力!$R$2:$R$190="完了")*(案件入力!$B$2:$B$190))),"0"),案件入力!$T$2:$T$190,0))),"")</f>
        <v/>
      </c>
      <c r="M191" s="40" t="n"/>
      <c r="N191" s="11">
        <f>IF(OR($L191="",$M191=""),"",IFERROR(($M191-$L191)/$L191,""))</f>
        <v/>
      </c>
      <c r="O191" s="8" t="n"/>
      <c r="P191" s="9" t="n"/>
      <c r="Q191" s="7" t="n"/>
      <c r="R191" s="7" t="n"/>
      <c r="S191" s="7" t="n"/>
      <c r="T191" s="7">
        <f>IF($R191="完了",$D191&amp;"|"&amp;TEXT($B191,"0"),"")</f>
        <v/>
      </c>
    </row>
    <row r="192">
      <c r="A192" s="7">
        <f>IF($B192="","",TEXT(YEAR($B192),"0000")&amp;"-"&amp;TEXT(SUMPRODUCT((YEAR($B$2:$B192)=YEAR($B192))*($B$2:$B192&lt;&gt;"")),"000"))</f>
        <v/>
      </c>
      <c r="B192" s="8" t="n"/>
      <c r="C192" s="7" t="n"/>
      <c r="D192" s="9" t="n"/>
      <c r="E192" s="7">
        <f>IFERROR(VLOOKUP($D192,商品マスタ範囲,4,FALSE),"")</f>
        <v/>
      </c>
      <c r="F192" s="7">
        <f>IFERROR(VLOOKUP($D192,商品マスタ範囲,2,FALSE),"")</f>
        <v/>
      </c>
      <c r="G192" s="7">
        <f>IFERROR(VLOOKUP($D192,商品マスタ範囲,3,FALSE),"")</f>
        <v/>
      </c>
      <c r="H192" s="40">
        <f>IFERROR(IF(SUMPRODUCT(MAX((案件入力!$D$2:$D$191=$D192)*(案件入力!$R$2:$R$191="完了")*(案件入力!$B$2:$B$191)))=0,VLOOKUP($D192,商品マスタ範囲,5,FALSE),INDEX(案件入力!$I$2:$I$191,MATCH($D192&amp;"|"&amp;TEXT(SUMPRODUCT(MAX((案件入力!$D$2:$D$191=$D192)*(案件入力!$R$2:$R$191="完了")*(案件入力!$B$2:$B$191))),"0"),案件入力!$T$2:$T$191,0))),"")</f>
        <v/>
      </c>
      <c r="I192" s="40" t="n"/>
      <c r="J192" s="11">
        <f>IF(OR($H192="",$I192=""),"",IFERROR(($I192-$H192)/$H192,""))</f>
        <v/>
      </c>
      <c r="K192" s="8" t="n"/>
      <c r="L192" s="40">
        <f>IFERROR(IF(SUMPRODUCT(MAX((案件入力!$D$2:$D$191=$D192)*(案件入力!$R$2:$R$191="完了")*(案件入力!$B$2:$B$191)))=0,VLOOKUP($D192,商品マスタ範囲,6,FALSE),INDEX(案件入力!$M$2:$M$191,MATCH($D192&amp;"|"&amp;TEXT(SUMPRODUCT(MAX((案件入力!$D$2:$D$191=$D192)*(案件入力!$R$2:$R$191="完了")*(案件入力!$B$2:$B$191))),"0"),案件入力!$T$2:$T$191,0))),"")</f>
        <v/>
      </c>
      <c r="M192" s="40" t="n"/>
      <c r="N192" s="11">
        <f>IF(OR($L192="",$M192=""),"",IFERROR(($M192-$L192)/$L192,""))</f>
        <v/>
      </c>
      <c r="O192" s="8" t="n"/>
      <c r="P192" s="9" t="n"/>
      <c r="Q192" s="7" t="n"/>
      <c r="R192" s="7" t="n"/>
      <c r="S192" s="7" t="n"/>
      <c r="T192" s="7">
        <f>IF($R192="完了",$D192&amp;"|"&amp;TEXT($B192,"0"),"")</f>
        <v/>
      </c>
    </row>
    <row r="193">
      <c r="A193" s="7">
        <f>IF($B193="","",TEXT(YEAR($B193),"0000")&amp;"-"&amp;TEXT(SUMPRODUCT((YEAR($B$2:$B193)=YEAR($B193))*($B$2:$B193&lt;&gt;"")),"000"))</f>
        <v/>
      </c>
      <c r="B193" s="8" t="n"/>
      <c r="C193" s="7" t="n"/>
      <c r="D193" s="9" t="n"/>
      <c r="E193" s="7">
        <f>IFERROR(VLOOKUP($D193,商品マスタ範囲,4,FALSE),"")</f>
        <v/>
      </c>
      <c r="F193" s="7">
        <f>IFERROR(VLOOKUP($D193,商品マスタ範囲,2,FALSE),"")</f>
        <v/>
      </c>
      <c r="G193" s="7">
        <f>IFERROR(VLOOKUP($D193,商品マスタ範囲,3,FALSE),"")</f>
        <v/>
      </c>
      <c r="H193" s="40">
        <f>IFERROR(IF(SUMPRODUCT(MAX((案件入力!$D$2:$D$192=$D193)*(案件入力!$R$2:$R$192="完了")*(案件入力!$B$2:$B$192)))=0,VLOOKUP($D193,商品マスタ範囲,5,FALSE),INDEX(案件入力!$I$2:$I$192,MATCH($D193&amp;"|"&amp;TEXT(SUMPRODUCT(MAX((案件入力!$D$2:$D$192=$D193)*(案件入力!$R$2:$R$192="完了")*(案件入力!$B$2:$B$192))),"0"),案件入力!$T$2:$T$192,0))),"")</f>
        <v/>
      </c>
      <c r="I193" s="40" t="n"/>
      <c r="J193" s="11">
        <f>IF(OR($H193="",$I193=""),"",IFERROR(($I193-$H193)/$H193,""))</f>
        <v/>
      </c>
      <c r="K193" s="8" t="n"/>
      <c r="L193" s="40">
        <f>IFERROR(IF(SUMPRODUCT(MAX((案件入力!$D$2:$D$192=$D193)*(案件入力!$R$2:$R$192="完了")*(案件入力!$B$2:$B$192)))=0,VLOOKUP($D193,商品マスタ範囲,6,FALSE),INDEX(案件入力!$M$2:$M$192,MATCH($D193&amp;"|"&amp;TEXT(SUMPRODUCT(MAX((案件入力!$D$2:$D$192=$D193)*(案件入力!$R$2:$R$192="完了")*(案件入力!$B$2:$B$192))),"0"),案件入力!$T$2:$T$192,0))),"")</f>
        <v/>
      </c>
      <c r="M193" s="40" t="n"/>
      <c r="N193" s="11">
        <f>IF(OR($L193="",$M193=""),"",IFERROR(($M193-$L193)/$L193,""))</f>
        <v/>
      </c>
      <c r="O193" s="8" t="n"/>
      <c r="P193" s="9" t="n"/>
      <c r="Q193" s="7" t="n"/>
      <c r="R193" s="7" t="n"/>
      <c r="S193" s="7" t="n"/>
      <c r="T193" s="7">
        <f>IF($R193="完了",$D193&amp;"|"&amp;TEXT($B193,"0"),"")</f>
        <v/>
      </c>
    </row>
    <row r="194">
      <c r="A194" s="7">
        <f>IF($B194="","",TEXT(YEAR($B194),"0000")&amp;"-"&amp;TEXT(SUMPRODUCT((YEAR($B$2:$B194)=YEAR($B194))*($B$2:$B194&lt;&gt;"")),"000"))</f>
        <v/>
      </c>
      <c r="B194" s="8" t="n"/>
      <c r="C194" s="7" t="n"/>
      <c r="D194" s="9" t="n"/>
      <c r="E194" s="7">
        <f>IFERROR(VLOOKUP($D194,商品マスタ範囲,4,FALSE),"")</f>
        <v/>
      </c>
      <c r="F194" s="7">
        <f>IFERROR(VLOOKUP($D194,商品マスタ範囲,2,FALSE),"")</f>
        <v/>
      </c>
      <c r="G194" s="7">
        <f>IFERROR(VLOOKUP($D194,商品マスタ範囲,3,FALSE),"")</f>
        <v/>
      </c>
      <c r="H194" s="40">
        <f>IFERROR(IF(SUMPRODUCT(MAX((案件入力!$D$2:$D$193=$D194)*(案件入力!$R$2:$R$193="完了")*(案件入力!$B$2:$B$193)))=0,VLOOKUP($D194,商品マスタ範囲,5,FALSE),INDEX(案件入力!$I$2:$I$193,MATCH($D194&amp;"|"&amp;TEXT(SUMPRODUCT(MAX((案件入力!$D$2:$D$193=$D194)*(案件入力!$R$2:$R$193="完了")*(案件入力!$B$2:$B$193))),"0"),案件入力!$T$2:$T$193,0))),"")</f>
        <v/>
      </c>
      <c r="I194" s="40" t="n"/>
      <c r="J194" s="11">
        <f>IF(OR($H194="",$I194=""),"",IFERROR(($I194-$H194)/$H194,""))</f>
        <v/>
      </c>
      <c r="K194" s="8" t="n"/>
      <c r="L194" s="40">
        <f>IFERROR(IF(SUMPRODUCT(MAX((案件入力!$D$2:$D$193=$D194)*(案件入力!$R$2:$R$193="完了")*(案件入力!$B$2:$B$193)))=0,VLOOKUP($D194,商品マスタ範囲,6,FALSE),INDEX(案件入力!$M$2:$M$193,MATCH($D194&amp;"|"&amp;TEXT(SUMPRODUCT(MAX((案件入力!$D$2:$D$193=$D194)*(案件入力!$R$2:$R$193="完了")*(案件入力!$B$2:$B$193))),"0"),案件入力!$T$2:$T$193,0))),"")</f>
        <v/>
      </c>
      <c r="M194" s="40" t="n"/>
      <c r="N194" s="11">
        <f>IF(OR($L194="",$M194=""),"",IFERROR(($M194-$L194)/$L194,""))</f>
        <v/>
      </c>
      <c r="O194" s="8" t="n"/>
      <c r="P194" s="9" t="n"/>
      <c r="Q194" s="7" t="n"/>
      <c r="R194" s="7" t="n"/>
      <c r="S194" s="7" t="n"/>
      <c r="T194" s="7">
        <f>IF($R194="完了",$D194&amp;"|"&amp;TEXT($B194,"0"),"")</f>
        <v/>
      </c>
    </row>
    <row r="195">
      <c r="A195" s="7">
        <f>IF($B195="","",TEXT(YEAR($B195),"0000")&amp;"-"&amp;TEXT(SUMPRODUCT((YEAR($B$2:$B195)=YEAR($B195))*($B$2:$B195&lt;&gt;"")),"000"))</f>
        <v/>
      </c>
      <c r="B195" s="8" t="n"/>
      <c r="C195" s="7" t="n"/>
      <c r="D195" s="9" t="n"/>
      <c r="E195" s="7">
        <f>IFERROR(VLOOKUP($D195,商品マスタ範囲,4,FALSE),"")</f>
        <v/>
      </c>
      <c r="F195" s="7">
        <f>IFERROR(VLOOKUP($D195,商品マスタ範囲,2,FALSE),"")</f>
        <v/>
      </c>
      <c r="G195" s="7">
        <f>IFERROR(VLOOKUP($D195,商品マスタ範囲,3,FALSE),"")</f>
        <v/>
      </c>
      <c r="H195" s="40">
        <f>IFERROR(IF(SUMPRODUCT(MAX((案件入力!$D$2:$D$194=$D195)*(案件入力!$R$2:$R$194="完了")*(案件入力!$B$2:$B$194)))=0,VLOOKUP($D195,商品マスタ範囲,5,FALSE),INDEX(案件入力!$I$2:$I$194,MATCH($D195&amp;"|"&amp;TEXT(SUMPRODUCT(MAX((案件入力!$D$2:$D$194=$D195)*(案件入力!$R$2:$R$194="完了")*(案件入力!$B$2:$B$194))),"0"),案件入力!$T$2:$T$194,0))),"")</f>
        <v/>
      </c>
      <c r="I195" s="40" t="n"/>
      <c r="J195" s="11">
        <f>IF(OR($H195="",$I195=""),"",IFERROR(($I195-$H195)/$H195,""))</f>
        <v/>
      </c>
      <c r="K195" s="8" t="n"/>
      <c r="L195" s="40">
        <f>IFERROR(IF(SUMPRODUCT(MAX((案件入力!$D$2:$D$194=$D195)*(案件入力!$R$2:$R$194="完了")*(案件入力!$B$2:$B$194)))=0,VLOOKUP($D195,商品マスタ範囲,6,FALSE),INDEX(案件入力!$M$2:$M$194,MATCH($D195&amp;"|"&amp;TEXT(SUMPRODUCT(MAX((案件入力!$D$2:$D$194=$D195)*(案件入力!$R$2:$R$194="完了")*(案件入力!$B$2:$B$194))),"0"),案件入力!$T$2:$T$194,0))),"")</f>
        <v/>
      </c>
      <c r="M195" s="40" t="n"/>
      <c r="N195" s="11">
        <f>IF(OR($L195="",$M195=""),"",IFERROR(($M195-$L195)/$L195,""))</f>
        <v/>
      </c>
      <c r="O195" s="8" t="n"/>
      <c r="P195" s="9" t="n"/>
      <c r="Q195" s="7" t="n"/>
      <c r="R195" s="7" t="n"/>
      <c r="S195" s="7" t="n"/>
      <c r="T195" s="7">
        <f>IF($R195="完了",$D195&amp;"|"&amp;TEXT($B195,"0"),"")</f>
        <v/>
      </c>
    </row>
    <row r="196">
      <c r="A196" s="7">
        <f>IF($B196="","",TEXT(YEAR($B196),"0000")&amp;"-"&amp;TEXT(SUMPRODUCT((YEAR($B$2:$B196)=YEAR($B196))*($B$2:$B196&lt;&gt;"")),"000"))</f>
        <v/>
      </c>
      <c r="B196" s="8" t="n"/>
      <c r="C196" s="7" t="n"/>
      <c r="D196" s="9" t="n"/>
      <c r="E196" s="7">
        <f>IFERROR(VLOOKUP($D196,商品マスタ範囲,4,FALSE),"")</f>
        <v/>
      </c>
      <c r="F196" s="7">
        <f>IFERROR(VLOOKUP($D196,商品マスタ範囲,2,FALSE),"")</f>
        <v/>
      </c>
      <c r="G196" s="7">
        <f>IFERROR(VLOOKUP($D196,商品マスタ範囲,3,FALSE),"")</f>
        <v/>
      </c>
      <c r="H196" s="40">
        <f>IFERROR(IF(SUMPRODUCT(MAX((案件入力!$D$2:$D$195=$D196)*(案件入力!$R$2:$R$195="完了")*(案件入力!$B$2:$B$195)))=0,VLOOKUP($D196,商品マスタ範囲,5,FALSE),INDEX(案件入力!$I$2:$I$195,MATCH($D196&amp;"|"&amp;TEXT(SUMPRODUCT(MAX((案件入力!$D$2:$D$195=$D196)*(案件入力!$R$2:$R$195="完了")*(案件入力!$B$2:$B$195))),"0"),案件入力!$T$2:$T$195,0))),"")</f>
        <v/>
      </c>
      <c r="I196" s="40" t="n"/>
      <c r="J196" s="11">
        <f>IF(OR($H196="",$I196=""),"",IFERROR(($I196-$H196)/$H196,""))</f>
        <v/>
      </c>
      <c r="K196" s="8" t="n"/>
      <c r="L196" s="40">
        <f>IFERROR(IF(SUMPRODUCT(MAX((案件入力!$D$2:$D$195=$D196)*(案件入力!$R$2:$R$195="完了")*(案件入力!$B$2:$B$195)))=0,VLOOKUP($D196,商品マスタ範囲,6,FALSE),INDEX(案件入力!$M$2:$M$195,MATCH($D196&amp;"|"&amp;TEXT(SUMPRODUCT(MAX((案件入力!$D$2:$D$195=$D196)*(案件入力!$R$2:$R$195="完了")*(案件入力!$B$2:$B$195))),"0"),案件入力!$T$2:$T$195,0))),"")</f>
        <v/>
      </c>
      <c r="M196" s="40" t="n"/>
      <c r="N196" s="11">
        <f>IF(OR($L196="",$M196=""),"",IFERROR(($M196-$L196)/$L196,""))</f>
        <v/>
      </c>
      <c r="O196" s="8" t="n"/>
      <c r="P196" s="9" t="n"/>
      <c r="Q196" s="7" t="n"/>
      <c r="R196" s="7" t="n"/>
      <c r="S196" s="7" t="n"/>
      <c r="T196" s="7">
        <f>IF($R196="完了",$D196&amp;"|"&amp;TEXT($B196,"0"),"")</f>
        <v/>
      </c>
    </row>
    <row r="197">
      <c r="A197" s="7">
        <f>IF($B197="","",TEXT(YEAR($B197),"0000")&amp;"-"&amp;TEXT(SUMPRODUCT((YEAR($B$2:$B197)=YEAR($B197))*($B$2:$B197&lt;&gt;"")),"000"))</f>
        <v/>
      </c>
      <c r="B197" s="8" t="n"/>
      <c r="C197" s="7" t="n"/>
      <c r="D197" s="9" t="n"/>
      <c r="E197" s="7">
        <f>IFERROR(VLOOKUP($D197,商品マスタ範囲,4,FALSE),"")</f>
        <v/>
      </c>
      <c r="F197" s="7">
        <f>IFERROR(VLOOKUP($D197,商品マスタ範囲,2,FALSE),"")</f>
        <v/>
      </c>
      <c r="G197" s="7">
        <f>IFERROR(VLOOKUP($D197,商品マスタ範囲,3,FALSE),"")</f>
        <v/>
      </c>
      <c r="H197" s="40">
        <f>IFERROR(IF(SUMPRODUCT(MAX((案件入力!$D$2:$D$196=$D197)*(案件入力!$R$2:$R$196="完了")*(案件入力!$B$2:$B$196)))=0,VLOOKUP($D197,商品マスタ範囲,5,FALSE),INDEX(案件入力!$I$2:$I$196,MATCH($D197&amp;"|"&amp;TEXT(SUMPRODUCT(MAX((案件入力!$D$2:$D$196=$D197)*(案件入力!$R$2:$R$196="完了")*(案件入力!$B$2:$B$196))),"0"),案件入力!$T$2:$T$196,0))),"")</f>
        <v/>
      </c>
      <c r="I197" s="40" t="n"/>
      <c r="J197" s="11">
        <f>IF(OR($H197="",$I197=""),"",IFERROR(($I197-$H197)/$H197,""))</f>
        <v/>
      </c>
      <c r="K197" s="8" t="n"/>
      <c r="L197" s="40">
        <f>IFERROR(IF(SUMPRODUCT(MAX((案件入力!$D$2:$D$196=$D197)*(案件入力!$R$2:$R$196="完了")*(案件入力!$B$2:$B$196)))=0,VLOOKUP($D197,商品マスタ範囲,6,FALSE),INDEX(案件入力!$M$2:$M$196,MATCH($D197&amp;"|"&amp;TEXT(SUMPRODUCT(MAX((案件入力!$D$2:$D$196=$D197)*(案件入力!$R$2:$R$196="完了")*(案件入力!$B$2:$B$196))),"0"),案件入力!$T$2:$T$196,0))),"")</f>
        <v/>
      </c>
      <c r="M197" s="40" t="n"/>
      <c r="N197" s="11">
        <f>IF(OR($L197="",$M197=""),"",IFERROR(($M197-$L197)/$L197,""))</f>
        <v/>
      </c>
      <c r="O197" s="8" t="n"/>
      <c r="P197" s="9" t="n"/>
      <c r="Q197" s="7" t="n"/>
      <c r="R197" s="7" t="n"/>
      <c r="S197" s="7" t="n"/>
      <c r="T197" s="7">
        <f>IF($R197="完了",$D197&amp;"|"&amp;TEXT($B197,"0"),"")</f>
        <v/>
      </c>
    </row>
    <row r="198">
      <c r="A198" s="7">
        <f>IF($B198="","",TEXT(YEAR($B198),"0000")&amp;"-"&amp;TEXT(SUMPRODUCT((YEAR($B$2:$B198)=YEAR($B198))*($B$2:$B198&lt;&gt;"")),"000"))</f>
        <v/>
      </c>
      <c r="B198" s="8" t="n"/>
      <c r="C198" s="7" t="n"/>
      <c r="D198" s="9" t="n"/>
      <c r="E198" s="7">
        <f>IFERROR(VLOOKUP($D198,商品マスタ範囲,4,FALSE),"")</f>
        <v/>
      </c>
      <c r="F198" s="7">
        <f>IFERROR(VLOOKUP($D198,商品マスタ範囲,2,FALSE),"")</f>
        <v/>
      </c>
      <c r="G198" s="7">
        <f>IFERROR(VLOOKUP($D198,商品マスタ範囲,3,FALSE),"")</f>
        <v/>
      </c>
      <c r="H198" s="40">
        <f>IFERROR(IF(SUMPRODUCT(MAX((案件入力!$D$2:$D$197=$D198)*(案件入力!$R$2:$R$197="完了")*(案件入力!$B$2:$B$197)))=0,VLOOKUP($D198,商品マスタ範囲,5,FALSE),INDEX(案件入力!$I$2:$I$197,MATCH($D198&amp;"|"&amp;TEXT(SUMPRODUCT(MAX((案件入力!$D$2:$D$197=$D198)*(案件入力!$R$2:$R$197="完了")*(案件入力!$B$2:$B$197))),"0"),案件入力!$T$2:$T$197,0))),"")</f>
        <v/>
      </c>
      <c r="I198" s="40" t="n"/>
      <c r="J198" s="11">
        <f>IF(OR($H198="",$I198=""),"",IFERROR(($I198-$H198)/$H198,""))</f>
        <v/>
      </c>
      <c r="K198" s="8" t="n"/>
      <c r="L198" s="40">
        <f>IFERROR(IF(SUMPRODUCT(MAX((案件入力!$D$2:$D$197=$D198)*(案件入力!$R$2:$R$197="完了")*(案件入力!$B$2:$B$197)))=0,VLOOKUP($D198,商品マスタ範囲,6,FALSE),INDEX(案件入力!$M$2:$M$197,MATCH($D198&amp;"|"&amp;TEXT(SUMPRODUCT(MAX((案件入力!$D$2:$D$197=$D198)*(案件入力!$R$2:$R$197="完了")*(案件入力!$B$2:$B$197))),"0"),案件入力!$T$2:$T$197,0))),"")</f>
        <v/>
      </c>
      <c r="M198" s="40" t="n"/>
      <c r="N198" s="11">
        <f>IF(OR($L198="",$M198=""),"",IFERROR(($M198-$L198)/$L198,""))</f>
        <v/>
      </c>
      <c r="O198" s="8" t="n"/>
      <c r="P198" s="9" t="n"/>
      <c r="Q198" s="7" t="n"/>
      <c r="R198" s="7" t="n"/>
      <c r="S198" s="7" t="n"/>
      <c r="T198" s="7">
        <f>IF($R198="完了",$D198&amp;"|"&amp;TEXT($B198,"0"),"")</f>
        <v/>
      </c>
    </row>
    <row r="199">
      <c r="A199" s="7">
        <f>IF($B199="","",TEXT(YEAR($B199),"0000")&amp;"-"&amp;TEXT(SUMPRODUCT((YEAR($B$2:$B199)=YEAR($B199))*($B$2:$B199&lt;&gt;"")),"000"))</f>
        <v/>
      </c>
      <c r="B199" s="8" t="n"/>
      <c r="C199" s="7" t="n"/>
      <c r="D199" s="9" t="n"/>
      <c r="E199" s="7">
        <f>IFERROR(VLOOKUP($D199,商品マスタ範囲,4,FALSE),"")</f>
        <v/>
      </c>
      <c r="F199" s="7">
        <f>IFERROR(VLOOKUP($D199,商品マスタ範囲,2,FALSE),"")</f>
        <v/>
      </c>
      <c r="G199" s="7">
        <f>IFERROR(VLOOKUP($D199,商品マスタ範囲,3,FALSE),"")</f>
        <v/>
      </c>
      <c r="H199" s="40">
        <f>IFERROR(IF(SUMPRODUCT(MAX((案件入力!$D$2:$D$198=$D199)*(案件入力!$R$2:$R$198="完了")*(案件入力!$B$2:$B$198)))=0,VLOOKUP($D199,商品マスタ範囲,5,FALSE),INDEX(案件入力!$I$2:$I$198,MATCH($D199&amp;"|"&amp;TEXT(SUMPRODUCT(MAX((案件入力!$D$2:$D$198=$D199)*(案件入力!$R$2:$R$198="完了")*(案件入力!$B$2:$B$198))),"0"),案件入力!$T$2:$T$198,0))),"")</f>
        <v/>
      </c>
      <c r="I199" s="40" t="n"/>
      <c r="J199" s="11">
        <f>IF(OR($H199="",$I199=""),"",IFERROR(($I199-$H199)/$H199,""))</f>
        <v/>
      </c>
      <c r="K199" s="8" t="n"/>
      <c r="L199" s="40">
        <f>IFERROR(IF(SUMPRODUCT(MAX((案件入力!$D$2:$D$198=$D199)*(案件入力!$R$2:$R$198="完了")*(案件入力!$B$2:$B$198)))=0,VLOOKUP($D199,商品マスタ範囲,6,FALSE),INDEX(案件入力!$M$2:$M$198,MATCH($D199&amp;"|"&amp;TEXT(SUMPRODUCT(MAX((案件入力!$D$2:$D$198=$D199)*(案件入力!$R$2:$R$198="完了")*(案件入力!$B$2:$B$198))),"0"),案件入力!$T$2:$T$198,0))),"")</f>
        <v/>
      </c>
      <c r="M199" s="40" t="n"/>
      <c r="N199" s="11">
        <f>IF(OR($L199="",$M199=""),"",IFERROR(($M199-$L199)/$L199,""))</f>
        <v/>
      </c>
      <c r="O199" s="8" t="n"/>
      <c r="P199" s="9" t="n"/>
      <c r="Q199" s="7" t="n"/>
      <c r="R199" s="7" t="n"/>
      <c r="S199" s="7" t="n"/>
      <c r="T199" s="7">
        <f>IF($R199="完了",$D199&amp;"|"&amp;TEXT($B199,"0"),"")</f>
        <v/>
      </c>
    </row>
    <row r="200">
      <c r="A200" s="7">
        <f>IF($B200="","",TEXT(YEAR($B200),"0000")&amp;"-"&amp;TEXT(SUMPRODUCT((YEAR($B$2:$B200)=YEAR($B200))*($B$2:$B200&lt;&gt;"")),"000"))</f>
        <v/>
      </c>
      <c r="B200" s="8" t="n"/>
      <c r="C200" s="7" t="n"/>
      <c r="D200" s="9" t="n"/>
      <c r="E200" s="7">
        <f>IFERROR(VLOOKUP($D200,商品マスタ範囲,4,FALSE),"")</f>
        <v/>
      </c>
      <c r="F200" s="7">
        <f>IFERROR(VLOOKUP($D200,商品マスタ範囲,2,FALSE),"")</f>
        <v/>
      </c>
      <c r="G200" s="7">
        <f>IFERROR(VLOOKUP($D200,商品マスタ範囲,3,FALSE),"")</f>
        <v/>
      </c>
      <c r="H200" s="40">
        <f>IFERROR(IF(SUMPRODUCT(MAX((案件入力!$D$2:$D$199=$D200)*(案件入力!$R$2:$R$199="完了")*(案件入力!$B$2:$B$199)))=0,VLOOKUP($D200,商品マスタ範囲,5,FALSE),INDEX(案件入力!$I$2:$I$199,MATCH($D200&amp;"|"&amp;TEXT(SUMPRODUCT(MAX((案件入力!$D$2:$D$199=$D200)*(案件入力!$R$2:$R$199="完了")*(案件入力!$B$2:$B$199))),"0"),案件入力!$T$2:$T$199,0))),"")</f>
        <v/>
      </c>
      <c r="I200" s="40" t="n"/>
      <c r="J200" s="11">
        <f>IF(OR($H200="",$I200=""),"",IFERROR(($I200-$H200)/$H200,""))</f>
        <v/>
      </c>
      <c r="K200" s="8" t="n"/>
      <c r="L200" s="40">
        <f>IFERROR(IF(SUMPRODUCT(MAX((案件入力!$D$2:$D$199=$D200)*(案件入力!$R$2:$R$199="完了")*(案件入力!$B$2:$B$199)))=0,VLOOKUP($D200,商品マスタ範囲,6,FALSE),INDEX(案件入力!$M$2:$M$199,MATCH($D200&amp;"|"&amp;TEXT(SUMPRODUCT(MAX((案件入力!$D$2:$D$199=$D200)*(案件入力!$R$2:$R$199="完了")*(案件入力!$B$2:$B$199))),"0"),案件入力!$T$2:$T$199,0))),"")</f>
        <v/>
      </c>
      <c r="M200" s="40" t="n"/>
      <c r="N200" s="11">
        <f>IF(OR($L200="",$M200=""),"",IFERROR(($M200-$L200)/$L200,""))</f>
        <v/>
      </c>
      <c r="O200" s="8" t="n"/>
      <c r="P200" s="9" t="n"/>
      <c r="Q200" s="7" t="n"/>
      <c r="R200" s="7" t="n"/>
      <c r="S200" s="7" t="n"/>
      <c r="T200" s="7">
        <f>IF($R200="完了",$D200&amp;"|"&amp;TEXT($B200,"0"),"")</f>
        <v/>
      </c>
    </row>
    <row r="201">
      <c r="A201" s="7">
        <f>IF($B201="","",TEXT(YEAR($B201),"0000")&amp;"-"&amp;TEXT(SUMPRODUCT((YEAR($B$2:$B201)=YEAR($B201))*($B$2:$B201&lt;&gt;"")),"000"))</f>
        <v/>
      </c>
      <c r="B201" s="8" t="n"/>
      <c r="C201" s="7" t="n"/>
      <c r="D201" s="9" t="n"/>
      <c r="E201" s="7">
        <f>IFERROR(VLOOKUP($D201,商品マスタ範囲,4,FALSE),"")</f>
        <v/>
      </c>
      <c r="F201" s="7">
        <f>IFERROR(VLOOKUP($D201,商品マスタ範囲,2,FALSE),"")</f>
        <v/>
      </c>
      <c r="G201" s="7">
        <f>IFERROR(VLOOKUP($D201,商品マスタ範囲,3,FALSE),"")</f>
        <v/>
      </c>
      <c r="H201" s="40">
        <f>IFERROR(IF(SUMPRODUCT(MAX((案件入力!$D$2:$D$200=$D201)*(案件入力!$R$2:$R$200="完了")*(案件入力!$B$2:$B$200)))=0,VLOOKUP($D201,商品マスタ範囲,5,FALSE),INDEX(案件入力!$I$2:$I$200,MATCH($D201&amp;"|"&amp;TEXT(SUMPRODUCT(MAX((案件入力!$D$2:$D$200=$D201)*(案件入力!$R$2:$R$200="完了")*(案件入力!$B$2:$B$200))),"0"),案件入力!$T$2:$T$200,0))),"")</f>
        <v/>
      </c>
      <c r="I201" s="40" t="n"/>
      <c r="J201" s="11">
        <f>IF(OR($H201="",$I201=""),"",IFERROR(($I201-$H201)/$H201,""))</f>
        <v/>
      </c>
      <c r="K201" s="8" t="n"/>
      <c r="L201" s="40">
        <f>IFERROR(IF(SUMPRODUCT(MAX((案件入力!$D$2:$D$200=$D201)*(案件入力!$R$2:$R$200="完了")*(案件入力!$B$2:$B$200)))=0,VLOOKUP($D201,商品マスタ範囲,6,FALSE),INDEX(案件入力!$M$2:$M$200,MATCH($D201&amp;"|"&amp;TEXT(SUMPRODUCT(MAX((案件入力!$D$2:$D$200=$D201)*(案件入力!$R$2:$R$200="完了")*(案件入力!$B$2:$B$200))),"0"),案件入力!$T$2:$T$200,0))),"")</f>
        <v/>
      </c>
      <c r="M201" s="40" t="n"/>
      <c r="N201" s="11">
        <f>IF(OR($L201="",$M201=""),"",IFERROR(($M201-$L201)/$L201,""))</f>
        <v/>
      </c>
      <c r="O201" s="8" t="n"/>
      <c r="P201" s="9" t="n"/>
      <c r="Q201" s="7" t="n"/>
      <c r="R201" s="7" t="n"/>
      <c r="S201" s="7" t="n"/>
      <c r="T201" s="7">
        <f>IF($R201="完了",$D201&amp;"|"&amp;TEXT($B201,"0"),"")</f>
        <v/>
      </c>
    </row>
    <row r="202">
      <c r="A202" s="7">
        <f>IF($B202="","",TEXT(YEAR($B202),"0000")&amp;"-"&amp;TEXT(SUMPRODUCT((YEAR($B$2:$B202)=YEAR($B202))*($B$2:$B202&lt;&gt;"")),"000"))</f>
        <v/>
      </c>
      <c r="B202" s="8" t="n"/>
      <c r="C202" s="7" t="n"/>
      <c r="D202" s="9" t="n"/>
      <c r="E202" s="7">
        <f>IFERROR(VLOOKUP($D202,商品マスタ範囲,4,FALSE),"")</f>
        <v/>
      </c>
      <c r="F202" s="7">
        <f>IFERROR(VLOOKUP($D202,商品マスタ範囲,2,FALSE),"")</f>
        <v/>
      </c>
      <c r="G202" s="7">
        <f>IFERROR(VLOOKUP($D202,商品マスタ範囲,3,FALSE),"")</f>
        <v/>
      </c>
      <c r="H202" s="40">
        <f>IFERROR(IF(SUMPRODUCT(MAX((案件入力!$D$2:$D$201=$D202)*(案件入力!$R$2:$R$201="完了")*(案件入力!$B$2:$B$201)))=0,VLOOKUP($D202,商品マスタ範囲,5,FALSE),INDEX(案件入力!$I$2:$I$201,MATCH($D202&amp;"|"&amp;TEXT(SUMPRODUCT(MAX((案件入力!$D$2:$D$201=$D202)*(案件入力!$R$2:$R$201="完了")*(案件入力!$B$2:$B$201))),"0"),案件入力!$T$2:$T$201,0))),"")</f>
        <v/>
      </c>
      <c r="I202" s="40" t="n"/>
      <c r="J202" s="11">
        <f>IF(OR($H202="",$I202=""),"",IFERROR(($I202-$H202)/$H202,""))</f>
        <v/>
      </c>
      <c r="K202" s="8" t="n"/>
      <c r="L202" s="40">
        <f>IFERROR(IF(SUMPRODUCT(MAX((案件入力!$D$2:$D$201=$D202)*(案件入力!$R$2:$R$201="完了")*(案件入力!$B$2:$B$201)))=0,VLOOKUP($D202,商品マスタ範囲,6,FALSE),INDEX(案件入力!$M$2:$M$201,MATCH($D202&amp;"|"&amp;TEXT(SUMPRODUCT(MAX((案件入力!$D$2:$D$201=$D202)*(案件入力!$R$2:$R$201="完了")*(案件入力!$B$2:$B$201))),"0"),案件入力!$T$2:$T$201,0))),"")</f>
        <v/>
      </c>
      <c r="M202" s="40" t="n"/>
      <c r="N202" s="11">
        <f>IF(OR($L202="",$M202=""),"",IFERROR(($M202-$L202)/$L202,""))</f>
        <v/>
      </c>
      <c r="O202" s="8" t="n"/>
      <c r="P202" s="9" t="n"/>
      <c r="Q202" s="7" t="n"/>
      <c r="R202" s="7" t="n"/>
      <c r="S202" s="7" t="n"/>
      <c r="T202" s="7">
        <f>IF($R202="完了",$D202&amp;"|"&amp;TEXT($B202,"0"),"")</f>
        <v/>
      </c>
    </row>
    <row r="203">
      <c r="A203" s="7">
        <f>IF($B203="","",TEXT(YEAR($B203),"0000")&amp;"-"&amp;TEXT(SUMPRODUCT((YEAR($B$2:$B203)=YEAR($B203))*($B$2:$B203&lt;&gt;"")),"000"))</f>
        <v/>
      </c>
      <c r="B203" s="8" t="n"/>
      <c r="C203" s="7" t="n"/>
      <c r="D203" s="9" t="n"/>
      <c r="E203" s="7">
        <f>IFERROR(VLOOKUP($D203,商品マスタ範囲,4,FALSE),"")</f>
        <v/>
      </c>
      <c r="F203" s="7">
        <f>IFERROR(VLOOKUP($D203,商品マスタ範囲,2,FALSE),"")</f>
        <v/>
      </c>
      <c r="G203" s="7">
        <f>IFERROR(VLOOKUP($D203,商品マスタ範囲,3,FALSE),"")</f>
        <v/>
      </c>
      <c r="H203" s="40">
        <f>IFERROR(IF(SUMPRODUCT(MAX((案件入力!$D$2:$D$202=$D203)*(案件入力!$R$2:$R$202="完了")*(案件入力!$B$2:$B$202)))=0,VLOOKUP($D203,商品マスタ範囲,5,FALSE),INDEX(案件入力!$I$2:$I$202,MATCH($D203&amp;"|"&amp;TEXT(SUMPRODUCT(MAX((案件入力!$D$2:$D$202=$D203)*(案件入力!$R$2:$R$202="完了")*(案件入力!$B$2:$B$202))),"0"),案件入力!$T$2:$T$202,0))),"")</f>
        <v/>
      </c>
      <c r="I203" s="40" t="n"/>
      <c r="J203" s="11">
        <f>IF(OR($H203="",$I203=""),"",IFERROR(($I203-$H203)/$H203,""))</f>
        <v/>
      </c>
      <c r="K203" s="8" t="n"/>
      <c r="L203" s="40">
        <f>IFERROR(IF(SUMPRODUCT(MAX((案件入力!$D$2:$D$202=$D203)*(案件入力!$R$2:$R$202="完了")*(案件入力!$B$2:$B$202)))=0,VLOOKUP($D203,商品マスタ範囲,6,FALSE),INDEX(案件入力!$M$2:$M$202,MATCH($D203&amp;"|"&amp;TEXT(SUMPRODUCT(MAX((案件入力!$D$2:$D$202=$D203)*(案件入力!$R$2:$R$202="完了")*(案件入力!$B$2:$B$202))),"0"),案件入力!$T$2:$T$202,0))),"")</f>
        <v/>
      </c>
      <c r="M203" s="40" t="n"/>
      <c r="N203" s="11">
        <f>IF(OR($L203="",$M203=""),"",IFERROR(($M203-$L203)/$L203,""))</f>
        <v/>
      </c>
      <c r="O203" s="8" t="n"/>
      <c r="P203" s="9" t="n"/>
      <c r="Q203" s="7" t="n"/>
      <c r="R203" s="7" t="n"/>
      <c r="S203" s="7" t="n"/>
      <c r="T203" s="7">
        <f>IF($R203="完了",$D203&amp;"|"&amp;TEXT($B203,"0"),"")</f>
        <v/>
      </c>
    </row>
    <row r="204">
      <c r="A204" s="7">
        <f>IF($B204="","",TEXT(YEAR($B204),"0000")&amp;"-"&amp;TEXT(SUMPRODUCT((YEAR($B$2:$B204)=YEAR($B204))*($B$2:$B204&lt;&gt;"")),"000"))</f>
        <v/>
      </c>
      <c r="B204" s="8" t="n"/>
      <c r="C204" s="7" t="n"/>
      <c r="D204" s="9" t="n"/>
      <c r="E204" s="7">
        <f>IFERROR(VLOOKUP($D204,商品マスタ範囲,4,FALSE),"")</f>
        <v/>
      </c>
      <c r="F204" s="7">
        <f>IFERROR(VLOOKUP($D204,商品マスタ範囲,2,FALSE),"")</f>
        <v/>
      </c>
      <c r="G204" s="7">
        <f>IFERROR(VLOOKUP($D204,商品マスタ範囲,3,FALSE),"")</f>
        <v/>
      </c>
      <c r="H204" s="40">
        <f>IFERROR(IF(SUMPRODUCT(MAX((案件入力!$D$2:$D$203=$D204)*(案件入力!$R$2:$R$203="完了")*(案件入力!$B$2:$B$203)))=0,VLOOKUP($D204,商品マスタ範囲,5,FALSE),INDEX(案件入力!$I$2:$I$203,MATCH($D204&amp;"|"&amp;TEXT(SUMPRODUCT(MAX((案件入力!$D$2:$D$203=$D204)*(案件入力!$R$2:$R$203="完了")*(案件入力!$B$2:$B$203))),"0"),案件入力!$T$2:$T$203,0))),"")</f>
        <v/>
      </c>
      <c r="I204" s="40" t="n"/>
      <c r="J204" s="11">
        <f>IF(OR($H204="",$I204=""),"",IFERROR(($I204-$H204)/$H204,""))</f>
        <v/>
      </c>
      <c r="K204" s="8" t="n"/>
      <c r="L204" s="40">
        <f>IFERROR(IF(SUMPRODUCT(MAX((案件入力!$D$2:$D$203=$D204)*(案件入力!$R$2:$R$203="完了")*(案件入力!$B$2:$B$203)))=0,VLOOKUP($D204,商品マスタ範囲,6,FALSE),INDEX(案件入力!$M$2:$M$203,MATCH($D204&amp;"|"&amp;TEXT(SUMPRODUCT(MAX((案件入力!$D$2:$D$203=$D204)*(案件入力!$R$2:$R$203="完了")*(案件入力!$B$2:$B$203))),"0"),案件入力!$T$2:$T$203,0))),"")</f>
        <v/>
      </c>
      <c r="M204" s="40" t="n"/>
      <c r="N204" s="11">
        <f>IF(OR($L204="",$M204=""),"",IFERROR(($M204-$L204)/$L204,""))</f>
        <v/>
      </c>
      <c r="O204" s="8" t="n"/>
      <c r="P204" s="9" t="n"/>
      <c r="Q204" s="7" t="n"/>
      <c r="R204" s="7" t="n"/>
      <c r="S204" s="7" t="n"/>
      <c r="T204" s="7">
        <f>IF($R204="完了",$D204&amp;"|"&amp;TEXT($B204,"0"),"")</f>
        <v/>
      </c>
    </row>
    <row r="205">
      <c r="A205" s="7">
        <f>IF($B205="","",TEXT(YEAR($B205),"0000")&amp;"-"&amp;TEXT(SUMPRODUCT((YEAR($B$2:$B205)=YEAR($B205))*($B$2:$B205&lt;&gt;"")),"000"))</f>
        <v/>
      </c>
      <c r="B205" s="8" t="n"/>
      <c r="C205" s="7" t="n"/>
      <c r="D205" s="9" t="n"/>
      <c r="E205" s="7">
        <f>IFERROR(VLOOKUP($D205,商品マスタ範囲,4,FALSE),"")</f>
        <v/>
      </c>
      <c r="F205" s="7">
        <f>IFERROR(VLOOKUP($D205,商品マスタ範囲,2,FALSE),"")</f>
        <v/>
      </c>
      <c r="G205" s="7">
        <f>IFERROR(VLOOKUP($D205,商品マスタ範囲,3,FALSE),"")</f>
        <v/>
      </c>
      <c r="H205" s="40">
        <f>IFERROR(IF(SUMPRODUCT(MAX((案件入力!$D$2:$D$204=$D205)*(案件入力!$R$2:$R$204="完了")*(案件入力!$B$2:$B$204)))=0,VLOOKUP($D205,商品マスタ範囲,5,FALSE),INDEX(案件入力!$I$2:$I$204,MATCH($D205&amp;"|"&amp;TEXT(SUMPRODUCT(MAX((案件入力!$D$2:$D$204=$D205)*(案件入力!$R$2:$R$204="完了")*(案件入力!$B$2:$B$204))),"0"),案件入力!$T$2:$T$204,0))),"")</f>
        <v/>
      </c>
      <c r="I205" s="40" t="n"/>
      <c r="J205" s="11">
        <f>IF(OR($H205="",$I205=""),"",IFERROR(($I205-$H205)/$H205,""))</f>
        <v/>
      </c>
      <c r="K205" s="8" t="n"/>
      <c r="L205" s="40">
        <f>IFERROR(IF(SUMPRODUCT(MAX((案件入力!$D$2:$D$204=$D205)*(案件入力!$R$2:$R$204="完了")*(案件入力!$B$2:$B$204)))=0,VLOOKUP($D205,商品マスタ範囲,6,FALSE),INDEX(案件入力!$M$2:$M$204,MATCH($D205&amp;"|"&amp;TEXT(SUMPRODUCT(MAX((案件入力!$D$2:$D$204=$D205)*(案件入力!$R$2:$R$204="完了")*(案件入力!$B$2:$B$204))),"0"),案件入力!$T$2:$T$204,0))),"")</f>
        <v/>
      </c>
      <c r="M205" s="40" t="n"/>
      <c r="N205" s="11">
        <f>IF(OR($L205="",$M205=""),"",IFERROR(($M205-$L205)/$L205,""))</f>
        <v/>
      </c>
      <c r="O205" s="8" t="n"/>
      <c r="P205" s="9" t="n"/>
      <c r="Q205" s="7" t="n"/>
      <c r="R205" s="7" t="n"/>
      <c r="S205" s="7" t="n"/>
      <c r="T205" s="7">
        <f>IF($R205="完了",$D205&amp;"|"&amp;TEXT($B205,"0"),"")</f>
        <v/>
      </c>
    </row>
    <row r="206">
      <c r="A206" s="7">
        <f>IF($B206="","",TEXT(YEAR($B206),"0000")&amp;"-"&amp;TEXT(SUMPRODUCT((YEAR($B$2:$B206)=YEAR($B206))*($B$2:$B206&lt;&gt;"")),"000"))</f>
        <v/>
      </c>
      <c r="B206" s="8" t="n"/>
      <c r="C206" s="7" t="n"/>
      <c r="D206" s="9" t="n"/>
      <c r="E206" s="7">
        <f>IFERROR(VLOOKUP($D206,商品マスタ範囲,4,FALSE),"")</f>
        <v/>
      </c>
      <c r="F206" s="7">
        <f>IFERROR(VLOOKUP($D206,商品マスタ範囲,2,FALSE),"")</f>
        <v/>
      </c>
      <c r="G206" s="7">
        <f>IFERROR(VLOOKUP($D206,商品マスタ範囲,3,FALSE),"")</f>
        <v/>
      </c>
      <c r="H206" s="40">
        <f>IFERROR(IF(SUMPRODUCT(MAX((案件入力!$D$2:$D$205=$D206)*(案件入力!$R$2:$R$205="完了")*(案件入力!$B$2:$B$205)))=0,VLOOKUP($D206,商品マスタ範囲,5,FALSE),INDEX(案件入力!$I$2:$I$205,MATCH($D206&amp;"|"&amp;TEXT(SUMPRODUCT(MAX((案件入力!$D$2:$D$205=$D206)*(案件入力!$R$2:$R$205="完了")*(案件入力!$B$2:$B$205))),"0"),案件入力!$T$2:$T$205,0))),"")</f>
        <v/>
      </c>
      <c r="I206" s="40" t="n"/>
      <c r="J206" s="11">
        <f>IF(OR($H206="",$I206=""),"",IFERROR(($I206-$H206)/$H206,""))</f>
        <v/>
      </c>
      <c r="K206" s="8" t="n"/>
      <c r="L206" s="40">
        <f>IFERROR(IF(SUMPRODUCT(MAX((案件入力!$D$2:$D$205=$D206)*(案件入力!$R$2:$R$205="完了")*(案件入力!$B$2:$B$205)))=0,VLOOKUP($D206,商品マスタ範囲,6,FALSE),INDEX(案件入力!$M$2:$M$205,MATCH($D206&amp;"|"&amp;TEXT(SUMPRODUCT(MAX((案件入力!$D$2:$D$205=$D206)*(案件入力!$R$2:$R$205="完了")*(案件入力!$B$2:$B$205))),"0"),案件入力!$T$2:$T$205,0))),"")</f>
        <v/>
      </c>
      <c r="M206" s="40" t="n"/>
      <c r="N206" s="11">
        <f>IF(OR($L206="",$M206=""),"",IFERROR(($M206-$L206)/$L206,""))</f>
        <v/>
      </c>
      <c r="O206" s="8" t="n"/>
      <c r="P206" s="9" t="n"/>
      <c r="Q206" s="7" t="n"/>
      <c r="R206" s="7" t="n"/>
      <c r="S206" s="7" t="n"/>
      <c r="T206" s="7">
        <f>IF($R206="完了",$D206&amp;"|"&amp;TEXT($B206,"0"),"")</f>
        <v/>
      </c>
    </row>
    <row r="207">
      <c r="A207" s="7">
        <f>IF($B207="","",TEXT(YEAR($B207),"0000")&amp;"-"&amp;TEXT(SUMPRODUCT((YEAR($B$2:$B207)=YEAR($B207))*($B$2:$B207&lt;&gt;"")),"000"))</f>
        <v/>
      </c>
      <c r="B207" s="8" t="n"/>
      <c r="C207" s="7" t="n"/>
      <c r="D207" s="9" t="n"/>
      <c r="E207" s="7">
        <f>IFERROR(VLOOKUP($D207,商品マスタ範囲,4,FALSE),"")</f>
        <v/>
      </c>
      <c r="F207" s="7">
        <f>IFERROR(VLOOKUP($D207,商品マスタ範囲,2,FALSE),"")</f>
        <v/>
      </c>
      <c r="G207" s="7">
        <f>IFERROR(VLOOKUP($D207,商品マスタ範囲,3,FALSE),"")</f>
        <v/>
      </c>
      <c r="H207" s="40">
        <f>IFERROR(IF(SUMPRODUCT(MAX((案件入力!$D$2:$D$206=$D207)*(案件入力!$R$2:$R$206="完了")*(案件入力!$B$2:$B$206)))=0,VLOOKUP($D207,商品マスタ範囲,5,FALSE),INDEX(案件入力!$I$2:$I$206,MATCH($D207&amp;"|"&amp;TEXT(SUMPRODUCT(MAX((案件入力!$D$2:$D$206=$D207)*(案件入力!$R$2:$R$206="完了")*(案件入力!$B$2:$B$206))),"0"),案件入力!$T$2:$T$206,0))),"")</f>
        <v/>
      </c>
      <c r="I207" s="40" t="n"/>
      <c r="J207" s="11">
        <f>IF(OR($H207="",$I207=""),"",IFERROR(($I207-$H207)/$H207,""))</f>
        <v/>
      </c>
      <c r="K207" s="8" t="n"/>
      <c r="L207" s="40">
        <f>IFERROR(IF(SUMPRODUCT(MAX((案件入力!$D$2:$D$206=$D207)*(案件入力!$R$2:$R$206="完了")*(案件入力!$B$2:$B$206)))=0,VLOOKUP($D207,商品マスタ範囲,6,FALSE),INDEX(案件入力!$M$2:$M$206,MATCH($D207&amp;"|"&amp;TEXT(SUMPRODUCT(MAX((案件入力!$D$2:$D$206=$D207)*(案件入力!$R$2:$R$206="完了")*(案件入力!$B$2:$B$206))),"0"),案件入力!$T$2:$T$206,0))),"")</f>
        <v/>
      </c>
      <c r="M207" s="40" t="n"/>
      <c r="N207" s="11">
        <f>IF(OR($L207="",$M207=""),"",IFERROR(($M207-$L207)/$L207,""))</f>
        <v/>
      </c>
      <c r="O207" s="8" t="n"/>
      <c r="P207" s="9" t="n"/>
      <c r="Q207" s="7" t="n"/>
      <c r="R207" s="7" t="n"/>
      <c r="S207" s="7" t="n"/>
      <c r="T207" s="7">
        <f>IF($R207="完了",$D207&amp;"|"&amp;TEXT($B207,"0"),"")</f>
        <v/>
      </c>
    </row>
    <row r="208">
      <c r="A208" s="7">
        <f>IF($B208="","",TEXT(YEAR($B208),"0000")&amp;"-"&amp;TEXT(SUMPRODUCT((YEAR($B$2:$B208)=YEAR($B208))*($B$2:$B208&lt;&gt;"")),"000"))</f>
        <v/>
      </c>
      <c r="B208" s="8" t="n"/>
      <c r="C208" s="7" t="n"/>
      <c r="D208" s="9" t="n"/>
      <c r="E208" s="7">
        <f>IFERROR(VLOOKUP($D208,商品マスタ範囲,4,FALSE),"")</f>
        <v/>
      </c>
      <c r="F208" s="7">
        <f>IFERROR(VLOOKUP($D208,商品マスタ範囲,2,FALSE),"")</f>
        <v/>
      </c>
      <c r="G208" s="7">
        <f>IFERROR(VLOOKUP($D208,商品マスタ範囲,3,FALSE),"")</f>
        <v/>
      </c>
      <c r="H208" s="40">
        <f>IFERROR(IF(SUMPRODUCT(MAX((案件入力!$D$2:$D$207=$D208)*(案件入力!$R$2:$R$207="完了")*(案件入力!$B$2:$B$207)))=0,VLOOKUP($D208,商品マスタ範囲,5,FALSE),INDEX(案件入力!$I$2:$I$207,MATCH($D208&amp;"|"&amp;TEXT(SUMPRODUCT(MAX((案件入力!$D$2:$D$207=$D208)*(案件入力!$R$2:$R$207="完了")*(案件入力!$B$2:$B$207))),"0"),案件入力!$T$2:$T$207,0))),"")</f>
        <v/>
      </c>
      <c r="I208" s="40" t="n"/>
      <c r="J208" s="11">
        <f>IF(OR($H208="",$I208=""),"",IFERROR(($I208-$H208)/$H208,""))</f>
        <v/>
      </c>
      <c r="K208" s="8" t="n"/>
      <c r="L208" s="40">
        <f>IFERROR(IF(SUMPRODUCT(MAX((案件入力!$D$2:$D$207=$D208)*(案件入力!$R$2:$R$207="完了")*(案件入力!$B$2:$B$207)))=0,VLOOKUP($D208,商品マスタ範囲,6,FALSE),INDEX(案件入力!$M$2:$M$207,MATCH($D208&amp;"|"&amp;TEXT(SUMPRODUCT(MAX((案件入力!$D$2:$D$207=$D208)*(案件入力!$R$2:$R$207="完了")*(案件入力!$B$2:$B$207))),"0"),案件入力!$T$2:$T$207,0))),"")</f>
        <v/>
      </c>
      <c r="M208" s="40" t="n"/>
      <c r="N208" s="11">
        <f>IF(OR($L208="",$M208=""),"",IFERROR(($M208-$L208)/$L208,""))</f>
        <v/>
      </c>
      <c r="O208" s="8" t="n"/>
      <c r="P208" s="9" t="n"/>
      <c r="Q208" s="7" t="n"/>
      <c r="R208" s="7" t="n"/>
      <c r="S208" s="7" t="n"/>
      <c r="T208" s="7">
        <f>IF($R208="完了",$D208&amp;"|"&amp;TEXT($B208,"0"),"")</f>
        <v/>
      </c>
    </row>
    <row r="209">
      <c r="A209" s="7">
        <f>IF($B209="","",TEXT(YEAR($B209),"0000")&amp;"-"&amp;TEXT(SUMPRODUCT((YEAR($B$2:$B209)=YEAR($B209))*($B$2:$B209&lt;&gt;"")),"000"))</f>
        <v/>
      </c>
      <c r="B209" s="8" t="n"/>
      <c r="C209" s="7" t="n"/>
      <c r="D209" s="9" t="n"/>
      <c r="E209" s="7">
        <f>IFERROR(VLOOKUP($D209,商品マスタ範囲,4,FALSE),"")</f>
        <v/>
      </c>
      <c r="F209" s="7">
        <f>IFERROR(VLOOKUP($D209,商品マスタ範囲,2,FALSE),"")</f>
        <v/>
      </c>
      <c r="G209" s="7">
        <f>IFERROR(VLOOKUP($D209,商品マスタ範囲,3,FALSE),"")</f>
        <v/>
      </c>
      <c r="H209" s="40">
        <f>IFERROR(IF(SUMPRODUCT(MAX((案件入力!$D$2:$D$208=$D209)*(案件入力!$R$2:$R$208="完了")*(案件入力!$B$2:$B$208)))=0,VLOOKUP($D209,商品マスタ範囲,5,FALSE),INDEX(案件入力!$I$2:$I$208,MATCH($D209&amp;"|"&amp;TEXT(SUMPRODUCT(MAX((案件入力!$D$2:$D$208=$D209)*(案件入力!$R$2:$R$208="完了")*(案件入力!$B$2:$B$208))),"0"),案件入力!$T$2:$T$208,0))),"")</f>
        <v/>
      </c>
      <c r="I209" s="40" t="n"/>
      <c r="J209" s="11">
        <f>IF(OR($H209="",$I209=""),"",IFERROR(($I209-$H209)/$H209,""))</f>
        <v/>
      </c>
      <c r="K209" s="8" t="n"/>
      <c r="L209" s="40">
        <f>IFERROR(IF(SUMPRODUCT(MAX((案件入力!$D$2:$D$208=$D209)*(案件入力!$R$2:$R$208="完了")*(案件入力!$B$2:$B$208)))=0,VLOOKUP($D209,商品マスタ範囲,6,FALSE),INDEX(案件入力!$M$2:$M$208,MATCH($D209&amp;"|"&amp;TEXT(SUMPRODUCT(MAX((案件入力!$D$2:$D$208=$D209)*(案件入力!$R$2:$R$208="完了")*(案件入力!$B$2:$B$208))),"0"),案件入力!$T$2:$T$208,0))),"")</f>
        <v/>
      </c>
      <c r="M209" s="40" t="n"/>
      <c r="N209" s="11">
        <f>IF(OR($L209="",$M209=""),"",IFERROR(($M209-$L209)/$L209,""))</f>
        <v/>
      </c>
      <c r="O209" s="8" t="n"/>
      <c r="P209" s="9" t="n"/>
      <c r="Q209" s="7" t="n"/>
      <c r="R209" s="7" t="n"/>
      <c r="S209" s="7" t="n"/>
      <c r="T209" s="7">
        <f>IF($R209="完了",$D209&amp;"|"&amp;TEXT($B209,"0"),"")</f>
        <v/>
      </c>
    </row>
    <row r="210">
      <c r="A210" s="7">
        <f>IF($B210="","",TEXT(YEAR($B210),"0000")&amp;"-"&amp;TEXT(SUMPRODUCT((YEAR($B$2:$B210)=YEAR($B210))*($B$2:$B210&lt;&gt;"")),"000"))</f>
        <v/>
      </c>
      <c r="B210" s="8" t="n"/>
      <c r="C210" s="7" t="n"/>
      <c r="D210" s="9" t="n"/>
      <c r="E210" s="7">
        <f>IFERROR(VLOOKUP($D210,商品マスタ範囲,4,FALSE),"")</f>
        <v/>
      </c>
      <c r="F210" s="7">
        <f>IFERROR(VLOOKUP($D210,商品マスタ範囲,2,FALSE),"")</f>
        <v/>
      </c>
      <c r="G210" s="7">
        <f>IFERROR(VLOOKUP($D210,商品マスタ範囲,3,FALSE),"")</f>
        <v/>
      </c>
      <c r="H210" s="40">
        <f>IFERROR(IF(SUMPRODUCT(MAX((案件入力!$D$2:$D$209=$D210)*(案件入力!$R$2:$R$209="完了")*(案件入力!$B$2:$B$209)))=0,VLOOKUP($D210,商品マスタ範囲,5,FALSE),INDEX(案件入力!$I$2:$I$209,MATCH($D210&amp;"|"&amp;TEXT(SUMPRODUCT(MAX((案件入力!$D$2:$D$209=$D210)*(案件入力!$R$2:$R$209="完了")*(案件入力!$B$2:$B$209))),"0"),案件入力!$T$2:$T$209,0))),"")</f>
        <v/>
      </c>
      <c r="I210" s="40" t="n"/>
      <c r="J210" s="11">
        <f>IF(OR($H210="",$I210=""),"",IFERROR(($I210-$H210)/$H210,""))</f>
        <v/>
      </c>
      <c r="K210" s="8" t="n"/>
      <c r="L210" s="40">
        <f>IFERROR(IF(SUMPRODUCT(MAX((案件入力!$D$2:$D$209=$D210)*(案件入力!$R$2:$R$209="完了")*(案件入力!$B$2:$B$209)))=0,VLOOKUP($D210,商品マスタ範囲,6,FALSE),INDEX(案件入力!$M$2:$M$209,MATCH($D210&amp;"|"&amp;TEXT(SUMPRODUCT(MAX((案件入力!$D$2:$D$209=$D210)*(案件入力!$R$2:$R$209="完了")*(案件入力!$B$2:$B$209))),"0"),案件入力!$T$2:$T$209,0))),"")</f>
        <v/>
      </c>
      <c r="M210" s="40" t="n"/>
      <c r="N210" s="11">
        <f>IF(OR($L210="",$M210=""),"",IFERROR(($M210-$L210)/$L210,""))</f>
        <v/>
      </c>
      <c r="O210" s="8" t="n"/>
      <c r="P210" s="9" t="n"/>
      <c r="Q210" s="7" t="n"/>
      <c r="R210" s="7" t="n"/>
      <c r="S210" s="7" t="n"/>
      <c r="T210" s="7">
        <f>IF($R210="完了",$D210&amp;"|"&amp;TEXT($B210,"0"),"")</f>
        <v/>
      </c>
    </row>
    <row r="211">
      <c r="A211" s="7">
        <f>IF($B211="","",TEXT(YEAR($B211),"0000")&amp;"-"&amp;TEXT(SUMPRODUCT((YEAR($B$2:$B211)=YEAR($B211))*($B$2:$B211&lt;&gt;"")),"000"))</f>
        <v/>
      </c>
      <c r="B211" s="8" t="n"/>
      <c r="C211" s="7" t="n"/>
      <c r="D211" s="9" t="n"/>
      <c r="E211" s="7">
        <f>IFERROR(VLOOKUP($D211,商品マスタ範囲,4,FALSE),"")</f>
        <v/>
      </c>
      <c r="F211" s="7">
        <f>IFERROR(VLOOKUP($D211,商品マスタ範囲,2,FALSE),"")</f>
        <v/>
      </c>
      <c r="G211" s="7">
        <f>IFERROR(VLOOKUP($D211,商品マスタ範囲,3,FALSE),"")</f>
        <v/>
      </c>
      <c r="H211" s="40">
        <f>IFERROR(IF(SUMPRODUCT(MAX((案件入力!$D$2:$D$210=$D211)*(案件入力!$R$2:$R$210="完了")*(案件入力!$B$2:$B$210)))=0,VLOOKUP($D211,商品マスタ範囲,5,FALSE),INDEX(案件入力!$I$2:$I$210,MATCH($D211&amp;"|"&amp;TEXT(SUMPRODUCT(MAX((案件入力!$D$2:$D$210=$D211)*(案件入力!$R$2:$R$210="完了")*(案件入力!$B$2:$B$210))),"0"),案件入力!$T$2:$T$210,0))),"")</f>
        <v/>
      </c>
      <c r="I211" s="40" t="n"/>
      <c r="J211" s="11">
        <f>IF(OR($H211="",$I211=""),"",IFERROR(($I211-$H211)/$H211,""))</f>
        <v/>
      </c>
      <c r="K211" s="8" t="n"/>
      <c r="L211" s="40">
        <f>IFERROR(IF(SUMPRODUCT(MAX((案件入力!$D$2:$D$210=$D211)*(案件入力!$R$2:$R$210="完了")*(案件入力!$B$2:$B$210)))=0,VLOOKUP($D211,商品マスタ範囲,6,FALSE),INDEX(案件入力!$M$2:$M$210,MATCH($D211&amp;"|"&amp;TEXT(SUMPRODUCT(MAX((案件入力!$D$2:$D$210=$D211)*(案件入力!$R$2:$R$210="完了")*(案件入力!$B$2:$B$210))),"0"),案件入力!$T$2:$T$210,0))),"")</f>
        <v/>
      </c>
      <c r="M211" s="40" t="n"/>
      <c r="N211" s="11">
        <f>IF(OR($L211="",$M211=""),"",IFERROR(($M211-$L211)/$L211,""))</f>
        <v/>
      </c>
      <c r="O211" s="8" t="n"/>
      <c r="P211" s="9" t="n"/>
      <c r="Q211" s="7" t="n"/>
      <c r="R211" s="7" t="n"/>
      <c r="S211" s="7" t="n"/>
      <c r="T211" s="7">
        <f>IF($R211="完了",$D211&amp;"|"&amp;TEXT($B211,"0"),"")</f>
        <v/>
      </c>
    </row>
    <row r="212">
      <c r="A212" s="7">
        <f>IF($B212="","",TEXT(YEAR($B212),"0000")&amp;"-"&amp;TEXT(SUMPRODUCT((YEAR($B$2:$B212)=YEAR($B212))*($B$2:$B212&lt;&gt;"")),"000"))</f>
        <v/>
      </c>
      <c r="B212" s="8" t="n"/>
      <c r="C212" s="7" t="n"/>
      <c r="D212" s="9" t="n"/>
      <c r="E212" s="7">
        <f>IFERROR(VLOOKUP($D212,商品マスタ範囲,4,FALSE),"")</f>
        <v/>
      </c>
      <c r="F212" s="7">
        <f>IFERROR(VLOOKUP($D212,商品マスタ範囲,2,FALSE),"")</f>
        <v/>
      </c>
      <c r="G212" s="7">
        <f>IFERROR(VLOOKUP($D212,商品マスタ範囲,3,FALSE),"")</f>
        <v/>
      </c>
      <c r="H212" s="40">
        <f>IFERROR(IF(SUMPRODUCT(MAX((案件入力!$D$2:$D$211=$D212)*(案件入力!$R$2:$R$211="完了")*(案件入力!$B$2:$B$211)))=0,VLOOKUP($D212,商品マスタ範囲,5,FALSE),INDEX(案件入力!$I$2:$I$211,MATCH($D212&amp;"|"&amp;TEXT(SUMPRODUCT(MAX((案件入力!$D$2:$D$211=$D212)*(案件入力!$R$2:$R$211="完了")*(案件入力!$B$2:$B$211))),"0"),案件入力!$T$2:$T$211,0))),"")</f>
        <v/>
      </c>
      <c r="I212" s="40" t="n"/>
      <c r="J212" s="11">
        <f>IF(OR($H212="",$I212=""),"",IFERROR(($I212-$H212)/$H212,""))</f>
        <v/>
      </c>
      <c r="K212" s="8" t="n"/>
      <c r="L212" s="40">
        <f>IFERROR(IF(SUMPRODUCT(MAX((案件入力!$D$2:$D$211=$D212)*(案件入力!$R$2:$R$211="完了")*(案件入力!$B$2:$B$211)))=0,VLOOKUP($D212,商品マスタ範囲,6,FALSE),INDEX(案件入力!$M$2:$M$211,MATCH($D212&amp;"|"&amp;TEXT(SUMPRODUCT(MAX((案件入力!$D$2:$D$211=$D212)*(案件入力!$R$2:$R$211="完了")*(案件入力!$B$2:$B$211))),"0"),案件入力!$T$2:$T$211,0))),"")</f>
        <v/>
      </c>
      <c r="M212" s="40" t="n"/>
      <c r="N212" s="11">
        <f>IF(OR($L212="",$M212=""),"",IFERROR(($M212-$L212)/$L212,""))</f>
        <v/>
      </c>
      <c r="O212" s="8" t="n"/>
      <c r="P212" s="9" t="n"/>
      <c r="Q212" s="7" t="n"/>
      <c r="R212" s="7" t="n"/>
      <c r="S212" s="7" t="n"/>
      <c r="T212" s="7">
        <f>IF($R212="完了",$D212&amp;"|"&amp;TEXT($B212,"0"),"")</f>
        <v/>
      </c>
    </row>
    <row r="213">
      <c r="A213" s="7">
        <f>IF($B213="","",TEXT(YEAR($B213),"0000")&amp;"-"&amp;TEXT(SUMPRODUCT((YEAR($B$2:$B213)=YEAR($B213))*($B$2:$B213&lt;&gt;"")),"000"))</f>
        <v/>
      </c>
      <c r="B213" s="8" t="n"/>
      <c r="C213" s="7" t="n"/>
      <c r="D213" s="9" t="n"/>
      <c r="E213" s="7">
        <f>IFERROR(VLOOKUP($D213,商品マスタ範囲,4,FALSE),"")</f>
        <v/>
      </c>
      <c r="F213" s="7">
        <f>IFERROR(VLOOKUP($D213,商品マスタ範囲,2,FALSE),"")</f>
        <v/>
      </c>
      <c r="G213" s="7">
        <f>IFERROR(VLOOKUP($D213,商品マスタ範囲,3,FALSE),"")</f>
        <v/>
      </c>
      <c r="H213" s="40">
        <f>IFERROR(IF(SUMPRODUCT(MAX((案件入力!$D$2:$D$212=$D213)*(案件入力!$R$2:$R$212="完了")*(案件入力!$B$2:$B$212)))=0,VLOOKUP($D213,商品マスタ範囲,5,FALSE),INDEX(案件入力!$I$2:$I$212,MATCH($D213&amp;"|"&amp;TEXT(SUMPRODUCT(MAX((案件入力!$D$2:$D$212=$D213)*(案件入力!$R$2:$R$212="完了")*(案件入力!$B$2:$B$212))),"0"),案件入力!$T$2:$T$212,0))),"")</f>
        <v/>
      </c>
      <c r="I213" s="40" t="n"/>
      <c r="J213" s="11">
        <f>IF(OR($H213="",$I213=""),"",IFERROR(($I213-$H213)/$H213,""))</f>
        <v/>
      </c>
      <c r="K213" s="8" t="n"/>
      <c r="L213" s="40">
        <f>IFERROR(IF(SUMPRODUCT(MAX((案件入力!$D$2:$D$212=$D213)*(案件入力!$R$2:$R$212="完了")*(案件入力!$B$2:$B$212)))=0,VLOOKUP($D213,商品マスタ範囲,6,FALSE),INDEX(案件入力!$M$2:$M$212,MATCH($D213&amp;"|"&amp;TEXT(SUMPRODUCT(MAX((案件入力!$D$2:$D$212=$D213)*(案件入力!$R$2:$R$212="完了")*(案件入力!$B$2:$B$212))),"0"),案件入力!$T$2:$T$212,0))),"")</f>
        <v/>
      </c>
      <c r="M213" s="40" t="n"/>
      <c r="N213" s="11">
        <f>IF(OR($L213="",$M213=""),"",IFERROR(($M213-$L213)/$L213,""))</f>
        <v/>
      </c>
      <c r="O213" s="8" t="n"/>
      <c r="P213" s="9" t="n"/>
      <c r="Q213" s="7" t="n"/>
      <c r="R213" s="7" t="n"/>
      <c r="S213" s="7" t="n"/>
      <c r="T213" s="7">
        <f>IF($R213="完了",$D213&amp;"|"&amp;TEXT($B213,"0"),"")</f>
        <v/>
      </c>
    </row>
    <row r="214">
      <c r="A214" s="7">
        <f>IF($B214="","",TEXT(YEAR($B214),"0000")&amp;"-"&amp;TEXT(SUMPRODUCT((YEAR($B$2:$B214)=YEAR($B214))*($B$2:$B214&lt;&gt;"")),"000"))</f>
        <v/>
      </c>
      <c r="B214" s="8" t="n"/>
      <c r="C214" s="7" t="n"/>
      <c r="D214" s="9" t="n"/>
      <c r="E214" s="7">
        <f>IFERROR(VLOOKUP($D214,商品マスタ範囲,4,FALSE),"")</f>
        <v/>
      </c>
      <c r="F214" s="7">
        <f>IFERROR(VLOOKUP($D214,商品マスタ範囲,2,FALSE),"")</f>
        <v/>
      </c>
      <c r="G214" s="7">
        <f>IFERROR(VLOOKUP($D214,商品マスタ範囲,3,FALSE),"")</f>
        <v/>
      </c>
      <c r="H214" s="40">
        <f>IFERROR(IF(SUMPRODUCT(MAX((案件入力!$D$2:$D$213=$D214)*(案件入力!$R$2:$R$213="完了")*(案件入力!$B$2:$B$213)))=0,VLOOKUP($D214,商品マスタ範囲,5,FALSE),INDEX(案件入力!$I$2:$I$213,MATCH($D214&amp;"|"&amp;TEXT(SUMPRODUCT(MAX((案件入力!$D$2:$D$213=$D214)*(案件入力!$R$2:$R$213="完了")*(案件入力!$B$2:$B$213))),"0"),案件入力!$T$2:$T$213,0))),"")</f>
        <v/>
      </c>
      <c r="I214" s="40" t="n"/>
      <c r="J214" s="11">
        <f>IF(OR($H214="",$I214=""),"",IFERROR(($I214-$H214)/$H214,""))</f>
        <v/>
      </c>
      <c r="K214" s="8" t="n"/>
      <c r="L214" s="40">
        <f>IFERROR(IF(SUMPRODUCT(MAX((案件入力!$D$2:$D$213=$D214)*(案件入力!$R$2:$R$213="完了")*(案件入力!$B$2:$B$213)))=0,VLOOKUP($D214,商品マスタ範囲,6,FALSE),INDEX(案件入力!$M$2:$M$213,MATCH($D214&amp;"|"&amp;TEXT(SUMPRODUCT(MAX((案件入力!$D$2:$D$213=$D214)*(案件入力!$R$2:$R$213="完了")*(案件入力!$B$2:$B$213))),"0"),案件入力!$T$2:$T$213,0))),"")</f>
        <v/>
      </c>
      <c r="M214" s="40" t="n"/>
      <c r="N214" s="11">
        <f>IF(OR($L214="",$M214=""),"",IFERROR(($M214-$L214)/$L214,""))</f>
        <v/>
      </c>
      <c r="O214" s="8" t="n"/>
      <c r="P214" s="9" t="n"/>
      <c r="Q214" s="7" t="n"/>
      <c r="R214" s="7" t="n"/>
      <c r="S214" s="7" t="n"/>
      <c r="T214" s="7">
        <f>IF($R214="完了",$D214&amp;"|"&amp;TEXT($B214,"0"),"")</f>
        <v/>
      </c>
    </row>
    <row r="215">
      <c r="A215" s="7">
        <f>IF($B215="","",TEXT(YEAR($B215),"0000")&amp;"-"&amp;TEXT(SUMPRODUCT((YEAR($B$2:$B215)=YEAR($B215))*($B$2:$B215&lt;&gt;"")),"000"))</f>
        <v/>
      </c>
      <c r="B215" s="8" t="n"/>
      <c r="C215" s="7" t="n"/>
      <c r="D215" s="9" t="n"/>
      <c r="E215" s="7">
        <f>IFERROR(VLOOKUP($D215,商品マスタ範囲,4,FALSE),"")</f>
        <v/>
      </c>
      <c r="F215" s="7">
        <f>IFERROR(VLOOKUP($D215,商品マスタ範囲,2,FALSE),"")</f>
        <v/>
      </c>
      <c r="G215" s="7">
        <f>IFERROR(VLOOKUP($D215,商品マスタ範囲,3,FALSE),"")</f>
        <v/>
      </c>
      <c r="H215" s="40">
        <f>IFERROR(IF(SUMPRODUCT(MAX((案件入力!$D$2:$D$214=$D215)*(案件入力!$R$2:$R$214="完了")*(案件入力!$B$2:$B$214)))=0,VLOOKUP($D215,商品マスタ範囲,5,FALSE),INDEX(案件入力!$I$2:$I$214,MATCH($D215&amp;"|"&amp;TEXT(SUMPRODUCT(MAX((案件入力!$D$2:$D$214=$D215)*(案件入力!$R$2:$R$214="完了")*(案件入力!$B$2:$B$214))),"0"),案件入力!$T$2:$T$214,0))),"")</f>
        <v/>
      </c>
      <c r="I215" s="40" t="n"/>
      <c r="J215" s="11">
        <f>IF(OR($H215="",$I215=""),"",IFERROR(($I215-$H215)/$H215,""))</f>
        <v/>
      </c>
      <c r="K215" s="8" t="n"/>
      <c r="L215" s="40">
        <f>IFERROR(IF(SUMPRODUCT(MAX((案件入力!$D$2:$D$214=$D215)*(案件入力!$R$2:$R$214="完了")*(案件入力!$B$2:$B$214)))=0,VLOOKUP($D215,商品マスタ範囲,6,FALSE),INDEX(案件入力!$M$2:$M$214,MATCH($D215&amp;"|"&amp;TEXT(SUMPRODUCT(MAX((案件入力!$D$2:$D$214=$D215)*(案件入力!$R$2:$R$214="完了")*(案件入力!$B$2:$B$214))),"0"),案件入力!$T$2:$T$214,0))),"")</f>
        <v/>
      </c>
      <c r="M215" s="40" t="n"/>
      <c r="N215" s="11">
        <f>IF(OR($L215="",$M215=""),"",IFERROR(($M215-$L215)/$L215,""))</f>
        <v/>
      </c>
      <c r="O215" s="8" t="n"/>
      <c r="P215" s="9" t="n"/>
      <c r="Q215" s="7" t="n"/>
      <c r="R215" s="7" t="n"/>
      <c r="S215" s="7" t="n"/>
      <c r="T215" s="7">
        <f>IF($R215="完了",$D215&amp;"|"&amp;TEXT($B215,"0"),"")</f>
        <v/>
      </c>
    </row>
    <row r="216">
      <c r="A216" s="7">
        <f>IF($B216="","",TEXT(YEAR($B216),"0000")&amp;"-"&amp;TEXT(SUMPRODUCT((YEAR($B$2:$B216)=YEAR($B216))*($B$2:$B216&lt;&gt;"")),"000"))</f>
        <v/>
      </c>
      <c r="B216" s="8" t="n"/>
      <c r="C216" s="7" t="n"/>
      <c r="D216" s="9" t="n"/>
      <c r="E216" s="7">
        <f>IFERROR(VLOOKUP($D216,商品マスタ範囲,4,FALSE),"")</f>
        <v/>
      </c>
      <c r="F216" s="7">
        <f>IFERROR(VLOOKUP($D216,商品マスタ範囲,2,FALSE),"")</f>
        <v/>
      </c>
      <c r="G216" s="7">
        <f>IFERROR(VLOOKUP($D216,商品マスタ範囲,3,FALSE),"")</f>
        <v/>
      </c>
      <c r="H216" s="40">
        <f>IFERROR(IF(SUMPRODUCT(MAX((案件入力!$D$2:$D$215=$D216)*(案件入力!$R$2:$R$215="完了")*(案件入力!$B$2:$B$215)))=0,VLOOKUP($D216,商品マスタ範囲,5,FALSE),INDEX(案件入力!$I$2:$I$215,MATCH($D216&amp;"|"&amp;TEXT(SUMPRODUCT(MAX((案件入力!$D$2:$D$215=$D216)*(案件入力!$R$2:$R$215="完了")*(案件入力!$B$2:$B$215))),"0"),案件入力!$T$2:$T$215,0))),"")</f>
        <v/>
      </c>
      <c r="I216" s="40" t="n"/>
      <c r="J216" s="11">
        <f>IF(OR($H216="",$I216=""),"",IFERROR(($I216-$H216)/$H216,""))</f>
        <v/>
      </c>
      <c r="K216" s="8" t="n"/>
      <c r="L216" s="40">
        <f>IFERROR(IF(SUMPRODUCT(MAX((案件入力!$D$2:$D$215=$D216)*(案件入力!$R$2:$R$215="完了")*(案件入力!$B$2:$B$215)))=0,VLOOKUP($D216,商品マスタ範囲,6,FALSE),INDEX(案件入力!$M$2:$M$215,MATCH($D216&amp;"|"&amp;TEXT(SUMPRODUCT(MAX((案件入力!$D$2:$D$215=$D216)*(案件入力!$R$2:$R$215="完了")*(案件入力!$B$2:$B$215))),"0"),案件入力!$T$2:$T$215,0))),"")</f>
        <v/>
      </c>
      <c r="M216" s="40" t="n"/>
      <c r="N216" s="11">
        <f>IF(OR($L216="",$M216=""),"",IFERROR(($M216-$L216)/$L216,""))</f>
        <v/>
      </c>
      <c r="O216" s="8" t="n"/>
      <c r="P216" s="9" t="n"/>
      <c r="Q216" s="7" t="n"/>
      <c r="R216" s="7" t="n"/>
      <c r="S216" s="7" t="n"/>
      <c r="T216" s="7">
        <f>IF($R216="完了",$D216&amp;"|"&amp;TEXT($B216,"0"),"")</f>
        <v/>
      </c>
    </row>
    <row r="217">
      <c r="A217" s="7">
        <f>IF($B217="","",TEXT(YEAR($B217),"0000")&amp;"-"&amp;TEXT(SUMPRODUCT((YEAR($B$2:$B217)=YEAR($B217))*($B$2:$B217&lt;&gt;"")),"000"))</f>
        <v/>
      </c>
      <c r="B217" s="8" t="n"/>
      <c r="C217" s="7" t="n"/>
      <c r="D217" s="9" t="n"/>
      <c r="E217" s="7">
        <f>IFERROR(VLOOKUP($D217,商品マスタ範囲,4,FALSE),"")</f>
        <v/>
      </c>
      <c r="F217" s="7">
        <f>IFERROR(VLOOKUP($D217,商品マスタ範囲,2,FALSE),"")</f>
        <v/>
      </c>
      <c r="G217" s="7">
        <f>IFERROR(VLOOKUP($D217,商品マスタ範囲,3,FALSE),"")</f>
        <v/>
      </c>
      <c r="H217" s="40">
        <f>IFERROR(IF(SUMPRODUCT(MAX((案件入力!$D$2:$D$216=$D217)*(案件入力!$R$2:$R$216="完了")*(案件入力!$B$2:$B$216)))=0,VLOOKUP($D217,商品マスタ範囲,5,FALSE),INDEX(案件入力!$I$2:$I$216,MATCH($D217&amp;"|"&amp;TEXT(SUMPRODUCT(MAX((案件入力!$D$2:$D$216=$D217)*(案件入力!$R$2:$R$216="完了")*(案件入力!$B$2:$B$216))),"0"),案件入力!$T$2:$T$216,0))),"")</f>
        <v/>
      </c>
      <c r="I217" s="40" t="n"/>
      <c r="J217" s="11">
        <f>IF(OR($H217="",$I217=""),"",IFERROR(($I217-$H217)/$H217,""))</f>
        <v/>
      </c>
      <c r="K217" s="8" t="n"/>
      <c r="L217" s="40">
        <f>IFERROR(IF(SUMPRODUCT(MAX((案件入力!$D$2:$D$216=$D217)*(案件入力!$R$2:$R$216="完了")*(案件入力!$B$2:$B$216)))=0,VLOOKUP($D217,商品マスタ範囲,6,FALSE),INDEX(案件入力!$M$2:$M$216,MATCH($D217&amp;"|"&amp;TEXT(SUMPRODUCT(MAX((案件入力!$D$2:$D$216=$D217)*(案件入力!$R$2:$R$216="完了")*(案件入力!$B$2:$B$216))),"0"),案件入力!$T$2:$T$216,0))),"")</f>
        <v/>
      </c>
      <c r="M217" s="40" t="n"/>
      <c r="N217" s="11">
        <f>IF(OR($L217="",$M217=""),"",IFERROR(($M217-$L217)/$L217,""))</f>
        <v/>
      </c>
      <c r="O217" s="8" t="n"/>
      <c r="P217" s="9" t="n"/>
      <c r="Q217" s="7" t="n"/>
      <c r="R217" s="7" t="n"/>
      <c r="S217" s="7" t="n"/>
      <c r="T217" s="7">
        <f>IF($R217="完了",$D217&amp;"|"&amp;TEXT($B217,"0"),"")</f>
        <v/>
      </c>
    </row>
    <row r="218">
      <c r="A218" s="7">
        <f>IF($B218="","",TEXT(YEAR($B218),"0000")&amp;"-"&amp;TEXT(SUMPRODUCT((YEAR($B$2:$B218)=YEAR($B218))*($B$2:$B218&lt;&gt;"")),"000"))</f>
        <v/>
      </c>
      <c r="B218" s="8" t="n"/>
      <c r="C218" s="7" t="n"/>
      <c r="D218" s="9" t="n"/>
      <c r="E218" s="7">
        <f>IFERROR(VLOOKUP($D218,商品マスタ範囲,4,FALSE),"")</f>
        <v/>
      </c>
      <c r="F218" s="7">
        <f>IFERROR(VLOOKUP($D218,商品マスタ範囲,2,FALSE),"")</f>
        <v/>
      </c>
      <c r="G218" s="7">
        <f>IFERROR(VLOOKUP($D218,商品マスタ範囲,3,FALSE),"")</f>
        <v/>
      </c>
      <c r="H218" s="40">
        <f>IFERROR(IF(SUMPRODUCT(MAX((案件入力!$D$2:$D$217=$D218)*(案件入力!$R$2:$R$217="完了")*(案件入力!$B$2:$B$217)))=0,VLOOKUP($D218,商品マスタ範囲,5,FALSE),INDEX(案件入力!$I$2:$I$217,MATCH($D218&amp;"|"&amp;TEXT(SUMPRODUCT(MAX((案件入力!$D$2:$D$217=$D218)*(案件入力!$R$2:$R$217="完了")*(案件入力!$B$2:$B$217))),"0"),案件入力!$T$2:$T$217,0))),"")</f>
        <v/>
      </c>
      <c r="I218" s="40" t="n"/>
      <c r="J218" s="11">
        <f>IF(OR($H218="",$I218=""),"",IFERROR(($I218-$H218)/$H218,""))</f>
        <v/>
      </c>
      <c r="K218" s="8" t="n"/>
      <c r="L218" s="40">
        <f>IFERROR(IF(SUMPRODUCT(MAX((案件入力!$D$2:$D$217=$D218)*(案件入力!$R$2:$R$217="完了")*(案件入力!$B$2:$B$217)))=0,VLOOKUP($D218,商品マスタ範囲,6,FALSE),INDEX(案件入力!$M$2:$M$217,MATCH($D218&amp;"|"&amp;TEXT(SUMPRODUCT(MAX((案件入力!$D$2:$D$217=$D218)*(案件入力!$R$2:$R$217="完了")*(案件入力!$B$2:$B$217))),"0"),案件入力!$T$2:$T$217,0))),"")</f>
        <v/>
      </c>
      <c r="M218" s="40" t="n"/>
      <c r="N218" s="11">
        <f>IF(OR($L218="",$M218=""),"",IFERROR(($M218-$L218)/$L218,""))</f>
        <v/>
      </c>
      <c r="O218" s="8" t="n"/>
      <c r="P218" s="9" t="n"/>
      <c r="Q218" s="7" t="n"/>
      <c r="R218" s="7" t="n"/>
      <c r="S218" s="7" t="n"/>
      <c r="T218" s="7">
        <f>IF($R218="完了",$D218&amp;"|"&amp;TEXT($B218,"0"),"")</f>
        <v/>
      </c>
    </row>
    <row r="219">
      <c r="A219" s="7">
        <f>IF($B219="","",TEXT(YEAR($B219),"0000")&amp;"-"&amp;TEXT(SUMPRODUCT((YEAR($B$2:$B219)=YEAR($B219))*($B$2:$B219&lt;&gt;"")),"000"))</f>
        <v/>
      </c>
      <c r="B219" s="8" t="n"/>
      <c r="C219" s="7" t="n"/>
      <c r="D219" s="9" t="n"/>
      <c r="E219" s="7">
        <f>IFERROR(VLOOKUP($D219,商品マスタ範囲,4,FALSE),"")</f>
        <v/>
      </c>
      <c r="F219" s="7">
        <f>IFERROR(VLOOKUP($D219,商品マスタ範囲,2,FALSE),"")</f>
        <v/>
      </c>
      <c r="G219" s="7">
        <f>IFERROR(VLOOKUP($D219,商品マスタ範囲,3,FALSE),"")</f>
        <v/>
      </c>
      <c r="H219" s="40">
        <f>IFERROR(IF(SUMPRODUCT(MAX((案件入力!$D$2:$D$218=$D219)*(案件入力!$R$2:$R$218="完了")*(案件入力!$B$2:$B$218)))=0,VLOOKUP($D219,商品マスタ範囲,5,FALSE),INDEX(案件入力!$I$2:$I$218,MATCH($D219&amp;"|"&amp;TEXT(SUMPRODUCT(MAX((案件入力!$D$2:$D$218=$D219)*(案件入力!$R$2:$R$218="完了")*(案件入力!$B$2:$B$218))),"0"),案件入力!$T$2:$T$218,0))),"")</f>
        <v/>
      </c>
      <c r="I219" s="40" t="n"/>
      <c r="J219" s="11">
        <f>IF(OR($H219="",$I219=""),"",IFERROR(($I219-$H219)/$H219,""))</f>
        <v/>
      </c>
      <c r="K219" s="8" t="n"/>
      <c r="L219" s="40">
        <f>IFERROR(IF(SUMPRODUCT(MAX((案件入力!$D$2:$D$218=$D219)*(案件入力!$R$2:$R$218="完了")*(案件入力!$B$2:$B$218)))=0,VLOOKUP($D219,商品マスタ範囲,6,FALSE),INDEX(案件入力!$M$2:$M$218,MATCH($D219&amp;"|"&amp;TEXT(SUMPRODUCT(MAX((案件入力!$D$2:$D$218=$D219)*(案件入力!$R$2:$R$218="完了")*(案件入力!$B$2:$B$218))),"0"),案件入力!$T$2:$T$218,0))),"")</f>
        <v/>
      </c>
      <c r="M219" s="40" t="n"/>
      <c r="N219" s="11">
        <f>IF(OR($L219="",$M219=""),"",IFERROR(($M219-$L219)/$L219,""))</f>
        <v/>
      </c>
      <c r="O219" s="8" t="n"/>
      <c r="P219" s="9" t="n"/>
      <c r="Q219" s="7" t="n"/>
      <c r="R219" s="7" t="n"/>
      <c r="S219" s="7" t="n"/>
      <c r="T219" s="7">
        <f>IF($R219="完了",$D219&amp;"|"&amp;TEXT($B219,"0"),"")</f>
        <v/>
      </c>
    </row>
    <row r="220">
      <c r="A220" s="7">
        <f>IF($B220="","",TEXT(YEAR($B220),"0000")&amp;"-"&amp;TEXT(SUMPRODUCT((YEAR($B$2:$B220)=YEAR($B220))*($B$2:$B220&lt;&gt;"")),"000"))</f>
        <v/>
      </c>
      <c r="B220" s="8" t="n"/>
      <c r="C220" s="7" t="n"/>
      <c r="D220" s="9" t="n"/>
      <c r="E220" s="7">
        <f>IFERROR(VLOOKUP($D220,商品マスタ範囲,4,FALSE),"")</f>
        <v/>
      </c>
      <c r="F220" s="7">
        <f>IFERROR(VLOOKUP($D220,商品マスタ範囲,2,FALSE),"")</f>
        <v/>
      </c>
      <c r="G220" s="7">
        <f>IFERROR(VLOOKUP($D220,商品マスタ範囲,3,FALSE),"")</f>
        <v/>
      </c>
      <c r="H220" s="40">
        <f>IFERROR(IF(SUMPRODUCT(MAX((案件入力!$D$2:$D$219=$D220)*(案件入力!$R$2:$R$219="完了")*(案件入力!$B$2:$B$219)))=0,VLOOKUP($D220,商品マスタ範囲,5,FALSE),INDEX(案件入力!$I$2:$I$219,MATCH($D220&amp;"|"&amp;TEXT(SUMPRODUCT(MAX((案件入力!$D$2:$D$219=$D220)*(案件入力!$R$2:$R$219="完了")*(案件入力!$B$2:$B$219))),"0"),案件入力!$T$2:$T$219,0))),"")</f>
        <v/>
      </c>
      <c r="I220" s="40" t="n"/>
      <c r="J220" s="11">
        <f>IF(OR($H220="",$I220=""),"",IFERROR(($I220-$H220)/$H220,""))</f>
        <v/>
      </c>
      <c r="K220" s="8" t="n"/>
      <c r="L220" s="40">
        <f>IFERROR(IF(SUMPRODUCT(MAX((案件入力!$D$2:$D$219=$D220)*(案件入力!$R$2:$R$219="完了")*(案件入力!$B$2:$B$219)))=0,VLOOKUP($D220,商品マスタ範囲,6,FALSE),INDEX(案件入力!$M$2:$M$219,MATCH($D220&amp;"|"&amp;TEXT(SUMPRODUCT(MAX((案件入力!$D$2:$D$219=$D220)*(案件入力!$R$2:$R$219="完了")*(案件入力!$B$2:$B$219))),"0"),案件入力!$T$2:$T$219,0))),"")</f>
        <v/>
      </c>
      <c r="M220" s="40" t="n"/>
      <c r="N220" s="11">
        <f>IF(OR($L220="",$M220=""),"",IFERROR(($M220-$L220)/$L220,""))</f>
        <v/>
      </c>
      <c r="O220" s="8" t="n"/>
      <c r="P220" s="9" t="n"/>
      <c r="Q220" s="7" t="n"/>
      <c r="R220" s="7" t="n"/>
      <c r="S220" s="7" t="n"/>
      <c r="T220" s="7">
        <f>IF($R220="完了",$D220&amp;"|"&amp;TEXT($B220,"0"),"")</f>
        <v/>
      </c>
    </row>
    <row r="221">
      <c r="A221" s="7">
        <f>IF($B221="","",TEXT(YEAR($B221),"0000")&amp;"-"&amp;TEXT(SUMPRODUCT((YEAR($B$2:$B221)=YEAR($B221))*($B$2:$B221&lt;&gt;"")),"000"))</f>
        <v/>
      </c>
      <c r="B221" s="8" t="n"/>
      <c r="C221" s="7" t="n"/>
      <c r="D221" s="9" t="n"/>
      <c r="E221" s="7">
        <f>IFERROR(VLOOKUP($D221,商品マスタ範囲,4,FALSE),"")</f>
        <v/>
      </c>
      <c r="F221" s="7">
        <f>IFERROR(VLOOKUP($D221,商品マスタ範囲,2,FALSE),"")</f>
        <v/>
      </c>
      <c r="G221" s="7">
        <f>IFERROR(VLOOKUP($D221,商品マスタ範囲,3,FALSE),"")</f>
        <v/>
      </c>
      <c r="H221" s="40">
        <f>IFERROR(IF(SUMPRODUCT(MAX((案件入力!$D$2:$D$220=$D221)*(案件入力!$R$2:$R$220="完了")*(案件入力!$B$2:$B$220)))=0,VLOOKUP($D221,商品マスタ範囲,5,FALSE),INDEX(案件入力!$I$2:$I$220,MATCH($D221&amp;"|"&amp;TEXT(SUMPRODUCT(MAX((案件入力!$D$2:$D$220=$D221)*(案件入力!$R$2:$R$220="完了")*(案件入力!$B$2:$B$220))),"0"),案件入力!$T$2:$T$220,0))),"")</f>
        <v/>
      </c>
      <c r="I221" s="40" t="n"/>
      <c r="J221" s="11">
        <f>IF(OR($H221="",$I221=""),"",IFERROR(($I221-$H221)/$H221,""))</f>
        <v/>
      </c>
      <c r="K221" s="8" t="n"/>
      <c r="L221" s="40">
        <f>IFERROR(IF(SUMPRODUCT(MAX((案件入力!$D$2:$D$220=$D221)*(案件入力!$R$2:$R$220="完了")*(案件入力!$B$2:$B$220)))=0,VLOOKUP($D221,商品マスタ範囲,6,FALSE),INDEX(案件入力!$M$2:$M$220,MATCH($D221&amp;"|"&amp;TEXT(SUMPRODUCT(MAX((案件入力!$D$2:$D$220=$D221)*(案件入力!$R$2:$R$220="完了")*(案件入力!$B$2:$B$220))),"0"),案件入力!$T$2:$T$220,0))),"")</f>
        <v/>
      </c>
      <c r="M221" s="40" t="n"/>
      <c r="N221" s="11">
        <f>IF(OR($L221="",$M221=""),"",IFERROR(($M221-$L221)/$L221,""))</f>
        <v/>
      </c>
      <c r="O221" s="8" t="n"/>
      <c r="P221" s="9" t="n"/>
      <c r="Q221" s="7" t="n"/>
      <c r="R221" s="7" t="n"/>
      <c r="S221" s="7" t="n"/>
      <c r="T221" s="7">
        <f>IF($R221="完了",$D221&amp;"|"&amp;TEXT($B221,"0"),"")</f>
        <v/>
      </c>
    </row>
    <row r="222">
      <c r="A222" s="7">
        <f>IF($B222="","",TEXT(YEAR($B222),"0000")&amp;"-"&amp;TEXT(SUMPRODUCT((YEAR($B$2:$B222)=YEAR($B222))*($B$2:$B222&lt;&gt;"")),"000"))</f>
        <v/>
      </c>
      <c r="B222" s="8" t="n"/>
      <c r="C222" s="7" t="n"/>
      <c r="D222" s="9" t="n"/>
      <c r="E222" s="7">
        <f>IFERROR(VLOOKUP($D222,商品マスタ範囲,4,FALSE),"")</f>
        <v/>
      </c>
      <c r="F222" s="7">
        <f>IFERROR(VLOOKUP($D222,商品マスタ範囲,2,FALSE),"")</f>
        <v/>
      </c>
      <c r="G222" s="7">
        <f>IFERROR(VLOOKUP($D222,商品マスタ範囲,3,FALSE),"")</f>
        <v/>
      </c>
      <c r="H222" s="40">
        <f>IFERROR(IF(SUMPRODUCT(MAX((案件入力!$D$2:$D$221=$D222)*(案件入力!$R$2:$R$221="完了")*(案件入力!$B$2:$B$221)))=0,VLOOKUP($D222,商品マスタ範囲,5,FALSE),INDEX(案件入力!$I$2:$I$221,MATCH($D222&amp;"|"&amp;TEXT(SUMPRODUCT(MAX((案件入力!$D$2:$D$221=$D222)*(案件入力!$R$2:$R$221="完了")*(案件入力!$B$2:$B$221))),"0"),案件入力!$T$2:$T$221,0))),"")</f>
        <v/>
      </c>
      <c r="I222" s="40" t="n"/>
      <c r="J222" s="11">
        <f>IF(OR($H222="",$I222=""),"",IFERROR(($I222-$H222)/$H222,""))</f>
        <v/>
      </c>
      <c r="K222" s="8" t="n"/>
      <c r="L222" s="40">
        <f>IFERROR(IF(SUMPRODUCT(MAX((案件入力!$D$2:$D$221=$D222)*(案件入力!$R$2:$R$221="完了")*(案件入力!$B$2:$B$221)))=0,VLOOKUP($D222,商品マスタ範囲,6,FALSE),INDEX(案件入力!$M$2:$M$221,MATCH($D222&amp;"|"&amp;TEXT(SUMPRODUCT(MAX((案件入力!$D$2:$D$221=$D222)*(案件入力!$R$2:$R$221="完了")*(案件入力!$B$2:$B$221))),"0"),案件入力!$T$2:$T$221,0))),"")</f>
        <v/>
      </c>
      <c r="M222" s="40" t="n"/>
      <c r="N222" s="11">
        <f>IF(OR($L222="",$M222=""),"",IFERROR(($M222-$L222)/$L222,""))</f>
        <v/>
      </c>
      <c r="O222" s="8" t="n"/>
      <c r="P222" s="9" t="n"/>
      <c r="Q222" s="7" t="n"/>
      <c r="R222" s="7" t="n"/>
      <c r="S222" s="7" t="n"/>
      <c r="T222" s="7">
        <f>IF($R222="完了",$D222&amp;"|"&amp;TEXT($B222,"0"),"")</f>
        <v/>
      </c>
    </row>
    <row r="223">
      <c r="A223" s="7">
        <f>IF($B223="","",TEXT(YEAR($B223),"0000")&amp;"-"&amp;TEXT(SUMPRODUCT((YEAR($B$2:$B223)=YEAR($B223))*($B$2:$B223&lt;&gt;"")),"000"))</f>
        <v/>
      </c>
      <c r="B223" s="8" t="n"/>
      <c r="C223" s="7" t="n"/>
      <c r="D223" s="9" t="n"/>
      <c r="E223" s="7">
        <f>IFERROR(VLOOKUP($D223,商品マスタ範囲,4,FALSE),"")</f>
        <v/>
      </c>
      <c r="F223" s="7">
        <f>IFERROR(VLOOKUP($D223,商品マスタ範囲,2,FALSE),"")</f>
        <v/>
      </c>
      <c r="G223" s="7">
        <f>IFERROR(VLOOKUP($D223,商品マスタ範囲,3,FALSE),"")</f>
        <v/>
      </c>
      <c r="H223" s="40">
        <f>IFERROR(IF(SUMPRODUCT(MAX((案件入力!$D$2:$D$222=$D223)*(案件入力!$R$2:$R$222="完了")*(案件入力!$B$2:$B$222)))=0,VLOOKUP($D223,商品マスタ範囲,5,FALSE),INDEX(案件入力!$I$2:$I$222,MATCH($D223&amp;"|"&amp;TEXT(SUMPRODUCT(MAX((案件入力!$D$2:$D$222=$D223)*(案件入力!$R$2:$R$222="完了")*(案件入力!$B$2:$B$222))),"0"),案件入力!$T$2:$T$222,0))),"")</f>
        <v/>
      </c>
      <c r="I223" s="40" t="n"/>
      <c r="J223" s="11">
        <f>IF(OR($H223="",$I223=""),"",IFERROR(($I223-$H223)/$H223,""))</f>
        <v/>
      </c>
      <c r="K223" s="8" t="n"/>
      <c r="L223" s="40">
        <f>IFERROR(IF(SUMPRODUCT(MAX((案件入力!$D$2:$D$222=$D223)*(案件入力!$R$2:$R$222="完了")*(案件入力!$B$2:$B$222)))=0,VLOOKUP($D223,商品マスタ範囲,6,FALSE),INDEX(案件入力!$M$2:$M$222,MATCH($D223&amp;"|"&amp;TEXT(SUMPRODUCT(MAX((案件入力!$D$2:$D$222=$D223)*(案件入力!$R$2:$R$222="完了")*(案件入力!$B$2:$B$222))),"0"),案件入力!$T$2:$T$222,0))),"")</f>
        <v/>
      </c>
      <c r="M223" s="40" t="n"/>
      <c r="N223" s="11">
        <f>IF(OR($L223="",$M223=""),"",IFERROR(($M223-$L223)/$L223,""))</f>
        <v/>
      </c>
      <c r="O223" s="8" t="n"/>
      <c r="P223" s="9" t="n"/>
      <c r="Q223" s="7" t="n"/>
      <c r="R223" s="7" t="n"/>
      <c r="S223" s="7" t="n"/>
      <c r="T223" s="7">
        <f>IF($R223="完了",$D223&amp;"|"&amp;TEXT($B223,"0"),"")</f>
        <v/>
      </c>
    </row>
    <row r="224">
      <c r="A224" s="7">
        <f>IF($B224="","",TEXT(YEAR($B224),"0000")&amp;"-"&amp;TEXT(SUMPRODUCT((YEAR($B$2:$B224)=YEAR($B224))*($B$2:$B224&lt;&gt;"")),"000"))</f>
        <v/>
      </c>
      <c r="B224" s="8" t="n"/>
      <c r="C224" s="7" t="n"/>
      <c r="D224" s="9" t="n"/>
      <c r="E224" s="7">
        <f>IFERROR(VLOOKUP($D224,商品マスタ範囲,4,FALSE),"")</f>
        <v/>
      </c>
      <c r="F224" s="7">
        <f>IFERROR(VLOOKUP($D224,商品マスタ範囲,2,FALSE),"")</f>
        <v/>
      </c>
      <c r="G224" s="7">
        <f>IFERROR(VLOOKUP($D224,商品マスタ範囲,3,FALSE),"")</f>
        <v/>
      </c>
      <c r="H224" s="40">
        <f>IFERROR(IF(SUMPRODUCT(MAX((案件入力!$D$2:$D$223=$D224)*(案件入力!$R$2:$R$223="完了")*(案件入力!$B$2:$B$223)))=0,VLOOKUP($D224,商品マスタ範囲,5,FALSE),INDEX(案件入力!$I$2:$I$223,MATCH($D224&amp;"|"&amp;TEXT(SUMPRODUCT(MAX((案件入力!$D$2:$D$223=$D224)*(案件入力!$R$2:$R$223="完了")*(案件入力!$B$2:$B$223))),"0"),案件入力!$T$2:$T$223,0))),"")</f>
        <v/>
      </c>
      <c r="I224" s="40" t="n"/>
      <c r="J224" s="11">
        <f>IF(OR($H224="",$I224=""),"",IFERROR(($I224-$H224)/$H224,""))</f>
        <v/>
      </c>
      <c r="K224" s="8" t="n"/>
      <c r="L224" s="40">
        <f>IFERROR(IF(SUMPRODUCT(MAX((案件入力!$D$2:$D$223=$D224)*(案件入力!$R$2:$R$223="完了")*(案件入力!$B$2:$B$223)))=0,VLOOKUP($D224,商品マスタ範囲,6,FALSE),INDEX(案件入力!$M$2:$M$223,MATCH($D224&amp;"|"&amp;TEXT(SUMPRODUCT(MAX((案件入力!$D$2:$D$223=$D224)*(案件入力!$R$2:$R$223="完了")*(案件入力!$B$2:$B$223))),"0"),案件入力!$T$2:$T$223,0))),"")</f>
        <v/>
      </c>
      <c r="M224" s="40" t="n"/>
      <c r="N224" s="11">
        <f>IF(OR($L224="",$M224=""),"",IFERROR(($M224-$L224)/$L224,""))</f>
        <v/>
      </c>
      <c r="O224" s="8" t="n"/>
      <c r="P224" s="9" t="n"/>
      <c r="Q224" s="7" t="n"/>
      <c r="R224" s="7" t="n"/>
      <c r="S224" s="7" t="n"/>
      <c r="T224" s="7">
        <f>IF($R224="完了",$D224&amp;"|"&amp;TEXT($B224,"0"),"")</f>
        <v/>
      </c>
    </row>
    <row r="225">
      <c r="A225" s="7">
        <f>IF($B225="","",TEXT(YEAR($B225),"0000")&amp;"-"&amp;TEXT(SUMPRODUCT((YEAR($B$2:$B225)=YEAR($B225))*($B$2:$B225&lt;&gt;"")),"000"))</f>
        <v/>
      </c>
      <c r="B225" s="8" t="n"/>
      <c r="C225" s="7" t="n"/>
      <c r="D225" s="9" t="n"/>
      <c r="E225" s="7">
        <f>IFERROR(VLOOKUP($D225,商品マスタ範囲,4,FALSE),"")</f>
        <v/>
      </c>
      <c r="F225" s="7">
        <f>IFERROR(VLOOKUP($D225,商品マスタ範囲,2,FALSE),"")</f>
        <v/>
      </c>
      <c r="G225" s="7">
        <f>IFERROR(VLOOKUP($D225,商品マスタ範囲,3,FALSE),"")</f>
        <v/>
      </c>
      <c r="H225" s="40">
        <f>IFERROR(IF(SUMPRODUCT(MAX((案件入力!$D$2:$D$224=$D225)*(案件入力!$R$2:$R$224="完了")*(案件入力!$B$2:$B$224)))=0,VLOOKUP($D225,商品マスタ範囲,5,FALSE),INDEX(案件入力!$I$2:$I$224,MATCH($D225&amp;"|"&amp;TEXT(SUMPRODUCT(MAX((案件入力!$D$2:$D$224=$D225)*(案件入力!$R$2:$R$224="完了")*(案件入力!$B$2:$B$224))),"0"),案件入力!$T$2:$T$224,0))),"")</f>
        <v/>
      </c>
      <c r="I225" s="40" t="n"/>
      <c r="J225" s="11">
        <f>IF(OR($H225="",$I225=""),"",IFERROR(($I225-$H225)/$H225,""))</f>
        <v/>
      </c>
      <c r="K225" s="8" t="n"/>
      <c r="L225" s="40">
        <f>IFERROR(IF(SUMPRODUCT(MAX((案件入力!$D$2:$D$224=$D225)*(案件入力!$R$2:$R$224="完了")*(案件入力!$B$2:$B$224)))=0,VLOOKUP($D225,商品マスタ範囲,6,FALSE),INDEX(案件入力!$M$2:$M$224,MATCH($D225&amp;"|"&amp;TEXT(SUMPRODUCT(MAX((案件入力!$D$2:$D$224=$D225)*(案件入力!$R$2:$R$224="完了")*(案件入力!$B$2:$B$224))),"0"),案件入力!$T$2:$T$224,0))),"")</f>
        <v/>
      </c>
      <c r="M225" s="40" t="n"/>
      <c r="N225" s="11">
        <f>IF(OR($L225="",$M225=""),"",IFERROR(($M225-$L225)/$L225,""))</f>
        <v/>
      </c>
      <c r="O225" s="8" t="n"/>
      <c r="P225" s="9" t="n"/>
      <c r="Q225" s="7" t="n"/>
      <c r="R225" s="7" t="n"/>
      <c r="S225" s="7" t="n"/>
      <c r="T225" s="7">
        <f>IF($R225="完了",$D225&amp;"|"&amp;TEXT($B225,"0"),"")</f>
        <v/>
      </c>
    </row>
    <row r="226">
      <c r="A226" s="7">
        <f>IF($B226="","",TEXT(YEAR($B226),"0000")&amp;"-"&amp;TEXT(SUMPRODUCT((YEAR($B$2:$B226)=YEAR($B226))*($B$2:$B226&lt;&gt;"")),"000"))</f>
        <v/>
      </c>
      <c r="B226" s="8" t="n"/>
      <c r="C226" s="7" t="n"/>
      <c r="D226" s="9" t="n"/>
      <c r="E226" s="7">
        <f>IFERROR(VLOOKUP($D226,商品マスタ範囲,4,FALSE),"")</f>
        <v/>
      </c>
      <c r="F226" s="7">
        <f>IFERROR(VLOOKUP($D226,商品マスタ範囲,2,FALSE),"")</f>
        <v/>
      </c>
      <c r="G226" s="7">
        <f>IFERROR(VLOOKUP($D226,商品マスタ範囲,3,FALSE),"")</f>
        <v/>
      </c>
      <c r="H226" s="40">
        <f>IFERROR(IF(SUMPRODUCT(MAX((案件入力!$D$2:$D$225=$D226)*(案件入力!$R$2:$R$225="完了")*(案件入力!$B$2:$B$225)))=0,VLOOKUP($D226,商品マスタ範囲,5,FALSE),INDEX(案件入力!$I$2:$I$225,MATCH($D226&amp;"|"&amp;TEXT(SUMPRODUCT(MAX((案件入力!$D$2:$D$225=$D226)*(案件入力!$R$2:$R$225="完了")*(案件入力!$B$2:$B$225))),"0"),案件入力!$T$2:$T$225,0))),"")</f>
        <v/>
      </c>
      <c r="I226" s="40" t="n"/>
      <c r="J226" s="11">
        <f>IF(OR($H226="",$I226=""),"",IFERROR(($I226-$H226)/$H226,""))</f>
        <v/>
      </c>
      <c r="K226" s="8" t="n"/>
      <c r="L226" s="40">
        <f>IFERROR(IF(SUMPRODUCT(MAX((案件入力!$D$2:$D$225=$D226)*(案件入力!$R$2:$R$225="完了")*(案件入力!$B$2:$B$225)))=0,VLOOKUP($D226,商品マスタ範囲,6,FALSE),INDEX(案件入力!$M$2:$M$225,MATCH($D226&amp;"|"&amp;TEXT(SUMPRODUCT(MAX((案件入力!$D$2:$D$225=$D226)*(案件入力!$R$2:$R$225="完了")*(案件入力!$B$2:$B$225))),"0"),案件入力!$T$2:$T$225,0))),"")</f>
        <v/>
      </c>
      <c r="M226" s="40" t="n"/>
      <c r="N226" s="11">
        <f>IF(OR($L226="",$M226=""),"",IFERROR(($M226-$L226)/$L226,""))</f>
        <v/>
      </c>
      <c r="O226" s="8" t="n"/>
      <c r="P226" s="9" t="n"/>
      <c r="Q226" s="7" t="n"/>
      <c r="R226" s="7" t="n"/>
      <c r="S226" s="7" t="n"/>
      <c r="T226" s="7">
        <f>IF($R226="完了",$D226&amp;"|"&amp;TEXT($B226,"0"),"")</f>
        <v/>
      </c>
    </row>
    <row r="227">
      <c r="A227" s="7">
        <f>IF($B227="","",TEXT(YEAR($B227),"0000")&amp;"-"&amp;TEXT(SUMPRODUCT((YEAR($B$2:$B227)=YEAR($B227))*($B$2:$B227&lt;&gt;"")),"000"))</f>
        <v/>
      </c>
      <c r="B227" s="8" t="n"/>
      <c r="C227" s="7" t="n"/>
      <c r="D227" s="9" t="n"/>
      <c r="E227" s="7">
        <f>IFERROR(VLOOKUP($D227,商品マスタ範囲,4,FALSE),"")</f>
        <v/>
      </c>
      <c r="F227" s="7">
        <f>IFERROR(VLOOKUP($D227,商品マスタ範囲,2,FALSE),"")</f>
        <v/>
      </c>
      <c r="G227" s="7">
        <f>IFERROR(VLOOKUP($D227,商品マスタ範囲,3,FALSE),"")</f>
        <v/>
      </c>
      <c r="H227" s="40">
        <f>IFERROR(IF(SUMPRODUCT(MAX((案件入力!$D$2:$D$226=$D227)*(案件入力!$R$2:$R$226="完了")*(案件入力!$B$2:$B$226)))=0,VLOOKUP($D227,商品マスタ範囲,5,FALSE),INDEX(案件入力!$I$2:$I$226,MATCH($D227&amp;"|"&amp;TEXT(SUMPRODUCT(MAX((案件入力!$D$2:$D$226=$D227)*(案件入力!$R$2:$R$226="完了")*(案件入力!$B$2:$B$226))),"0"),案件入力!$T$2:$T$226,0))),"")</f>
        <v/>
      </c>
      <c r="I227" s="40" t="n"/>
      <c r="J227" s="11">
        <f>IF(OR($H227="",$I227=""),"",IFERROR(($I227-$H227)/$H227,""))</f>
        <v/>
      </c>
      <c r="K227" s="8" t="n"/>
      <c r="L227" s="40">
        <f>IFERROR(IF(SUMPRODUCT(MAX((案件入力!$D$2:$D$226=$D227)*(案件入力!$R$2:$R$226="完了")*(案件入力!$B$2:$B$226)))=0,VLOOKUP($D227,商品マスタ範囲,6,FALSE),INDEX(案件入力!$M$2:$M$226,MATCH($D227&amp;"|"&amp;TEXT(SUMPRODUCT(MAX((案件入力!$D$2:$D$226=$D227)*(案件入力!$R$2:$R$226="完了")*(案件入力!$B$2:$B$226))),"0"),案件入力!$T$2:$T$226,0))),"")</f>
        <v/>
      </c>
      <c r="M227" s="40" t="n"/>
      <c r="N227" s="11">
        <f>IF(OR($L227="",$M227=""),"",IFERROR(($M227-$L227)/$L227,""))</f>
        <v/>
      </c>
      <c r="O227" s="8" t="n"/>
      <c r="P227" s="9" t="n"/>
      <c r="Q227" s="7" t="n"/>
      <c r="R227" s="7" t="n"/>
      <c r="S227" s="7" t="n"/>
      <c r="T227" s="7">
        <f>IF($R227="完了",$D227&amp;"|"&amp;TEXT($B227,"0"),"")</f>
        <v/>
      </c>
    </row>
    <row r="228">
      <c r="A228" s="7">
        <f>IF($B228="","",TEXT(YEAR($B228),"0000")&amp;"-"&amp;TEXT(SUMPRODUCT((YEAR($B$2:$B228)=YEAR($B228))*($B$2:$B228&lt;&gt;"")),"000"))</f>
        <v/>
      </c>
      <c r="B228" s="8" t="n"/>
      <c r="C228" s="7" t="n"/>
      <c r="D228" s="9" t="n"/>
      <c r="E228" s="7">
        <f>IFERROR(VLOOKUP($D228,商品マスタ範囲,4,FALSE),"")</f>
        <v/>
      </c>
      <c r="F228" s="7">
        <f>IFERROR(VLOOKUP($D228,商品マスタ範囲,2,FALSE),"")</f>
        <v/>
      </c>
      <c r="G228" s="7">
        <f>IFERROR(VLOOKUP($D228,商品マスタ範囲,3,FALSE),"")</f>
        <v/>
      </c>
      <c r="H228" s="40">
        <f>IFERROR(IF(SUMPRODUCT(MAX((案件入力!$D$2:$D$227=$D228)*(案件入力!$R$2:$R$227="完了")*(案件入力!$B$2:$B$227)))=0,VLOOKUP($D228,商品マスタ範囲,5,FALSE),INDEX(案件入力!$I$2:$I$227,MATCH($D228&amp;"|"&amp;TEXT(SUMPRODUCT(MAX((案件入力!$D$2:$D$227=$D228)*(案件入力!$R$2:$R$227="完了")*(案件入力!$B$2:$B$227))),"0"),案件入力!$T$2:$T$227,0))),"")</f>
        <v/>
      </c>
      <c r="I228" s="40" t="n"/>
      <c r="J228" s="11">
        <f>IF(OR($H228="",$I228=""),"",IFERROR(($I228-$H228)/$H228,""))</f>
        <v/>
      </c>
      <c r="K228" s="8" t="n"/>
      <c r="L228" s="40">
        <f>IFERROR(IF(SUMPRODUCT(MAX((案件入力!$D$2:$D$227=$D228)*(案件入力!$R$2:$R$227="完了")*(案件入力!$B$2:$B$227)))=0,VLOOKUP($D228,商品マスタ範囲,6,FALSE),INDEX(案件入力!$M$2:$M$227,MATCH($D228&amp;"|"&amp;TEXT(SUMPRODUCT(MAX((案件入力!$D$2:$D$227=$D228)*(案件入力!$R$2:$R$227="完了")*(案件入力!$B$2:$B$227))),"0"),案件入力!$T$2:$T$227,0))),"")</f>
        <v/>
      </c>
      <c r="M228" s="40" t="n"/>
      <c r="N228" s="11">
        <f>IF(OR($L228="",$M228=""),"",IFERROR(($M228-$L228)/$L228,""))</f>
        <v/>
      </c>
      <c r="O228" s="8" t="n"/>
      <c r="P228" s="9" t="n"/>
      <c r="Q228" s="7" t="n"/>
      <c r="R228" s="7" t="n"/>
      <c r="S228" s="7" t="n"/>
      <c r="T228" s="7">
        <f>IF($R228="完了",$D228&amp;"|"&amp;TEXT($B228,"0"),"")</f>
        <v/>
      </c>
    </row>
    <row r="229">
      <c r="A229" s="7">
        <f>IF($B229="","",TEXT(YEAR($B229),"0000")&amp;"-"&amp;TEXT(SUMPRODUCT((YEAR($B$2:$B229)=YEAR($B229))*($B$2:$B229&lt;&gt;"")),"000"))</f>
        <v/>
      </c>
      <c r="B229" s="8" t="n"/>
      <c r="C229" s="7" t="n"/>
      <c r="D229" s="9" t="n"/>
      <c r="E229" s="7">
        <f>IFERROR(VLOOKUP($D229,商品マスタ範囲,4,FALSE),"")</f>
        <v/>
      </c>
      <c r="F229" s="7">
        <f>IFERROR(VLOOKUP($D229,商品マスタ範囲,2,FALSE),"")</f>
        <v/>
      </c>
      <c r="G229" s="7">
        <f>IFERROR(VLOOKUP($D229,商品マスタ範囲,3,FALSE),"")</f>
        <v/>
      </c>
      <c r="H229" s="40">
        <f>IFERROR(IF(SUMPRODUCT(MAX((案件入力!$D$2:$D$228=$D229)*(案件入力!$R$2:$R$228="完了")*(案件入力!$B$2:$B$228)))=0,VLOOKUP($D229,商品マスタ範囲,5,FALSE),INDEX(案件入力!$I$2:$I$228,MATCH($D229&amp;"|"&amp;TEXT(SUMPRODUCT(MAX((案件入力!$D$2:$D$228=$D229)*(案件入力!$R$2:$R$228="完了")*(案件入力!$B$2:$B$228))),"0"),案件入力!$T$2:$T$228,0))),"")</f>
        <v/>
      </c>
      <c r="I229" s="40" t="n"/>
      <c r="J229" s="11">
        <f>IF(OR($H229="",$I229=""),"",IFERROR(($I229-$H229)/$H229,""))</f>
        <v/>
      </c>
      <c r="K229" s="8" t="n"/>
      <c r="L229" s="40">
        <f>IFERROR(IF(SUMPRODUCT(MAX((案件入力!$D$2:$D$228=$D229)*(案件入力!$R$2:$R$228="完了")*(案件入力!$B$2:$B$228)))=0,VLOOKUP($D229,商品マスタ範囲,6,FALSE),INDEX(案件入力!$M$2:$M$228,MATCH($D229&amp;"|"&amp;TEXT(SUMPRODUCT(MAX((案件入力!$D$2:$D$228=$D229)*(案件入力!$R$2:$R$228="完了")*(案件入力!$B$2:$B$228))),"0"),案件入力!$T$2:$T$228,0))),"")</f>
        <v/>
      </c>
      <c r="M229" s="40" t="n"/>
      <c r="N229" s="11">
        <f>IF(OR($L229="",$M229=""),"",IFERROR(($M229-$L229)/$L229,""))</f>
        <v/>
      </c>
      <c r="O229" s="8" t="n"/>
      <c r="P229" s="9" t="n"/>
      <c r="Q229" s="7" t="n"/>
      <c r="R229" s="7" t="n"/>
      <c r="S229" s="7" t="n"/>
      <c r="T229" s="7">
        <f>IF($R229="完了",$D229&amp;"|"&amp;TEXT($B229,"0"),"")</f>
        <v/>
      </c>
    </row>
    <row r="230">
      <c r="A230" s="7">
        <f>IF($B230="","",TEXT(YEAR($B230),"0000")&amp;"-"&amp;TEXT(SUMPRODUCT((YEAR($B$2:$B230)=YEAR($B230))*($B$2:$B230&lt;&gt;"")),"000"))</f>
        <v/>
      </c>
      <c r="B230" s="8" t="n"/>
      <c r="C230" s="7" t="n"/>
      <c r="D230" s="9" t="n"/>
      <c r="E230" s="7">
        <f>IFERROR(VLOOKUP($D230,商品マスタ範囲,4,FALSE),"")</f>
        <v/>
      </c>
      <c r="F230" s="7">
        <f>IFERROR(VLOOKUP($D230,商品マスタ範囲,2,FALSE),"")</f>
        <v/>
      </c>
      <c r="G230" s="7">
        <f>IFERROR(VLOOKUP($D230,商品マスタ範囲,3,FALSE),"")</f>
        <v/>
      </c>
      <c r="H230" s="40">
        <f>IFERROR(IF(SUMPRODUCT(MAX((案件入力!$D$2:$D$229=$D230)*(案件入力!$R$2:$R$229="完了")*(案件入力!$B$2:$B$229)))=0,VLOOKUP($D230,商品マスタ範囲,5,FALSE),INDEX(案件入力!$I$2:$I$229,MATCH($D230&amp;"|"&amp;TEXT(SUMPRODUCT(MAX((案件入力!$D$2:$D$229=$D230)*(案件入力!$R$2:$R$229="完了")*(案件入力!$B$2:$B$229))),"0"),案件入力!$T$2:$T$229,0))),"")</f>
        <v/>
      </c>
      <c r="I230" s="40" t="n"/>
      <c r="J230" s="11">
        <f>IF(OR($H230="",$I230=""),"",IFERROR(($I230-$H230)/$H230,""))</f>
        <v/>
      </c>
      <c r="K230" s="8" t="n"/>
      <c r="L230" s="40">
        <f>IFERROR(IF(SUMPRODUCT(MAX((案件入力!$D$2:$D$229=$D230)*(案件入力!$R$2:$R$229="完了")*(案件入力!$B$2:$B$229)))=0,VLOOKUP($D230,商品マスタ範囲,6,FALSE),INDEX(案件入力!$M$2:$M$229,MATCH($D230&amp;"|"&amp;TEXT(SUMPRODUCT(MAX((案件入力!$D$2:$D$229=$D230)*(案件入力!$R$2:$R$229="完了")*(案件入力!$B$2:$B$229))),"0"),案件入力!$T$2:$T$229,0))),"")</f>
        <v/>
      </c>
      <c r="M230" s="40" t="n"/>
      <c r="N230" s="11">
        <f>IF(OR($L230="",$M230=""),"",IFERROR(($M230-$L230)/$L230,""))</f>
        <v/>
      </c>
      <c r="O230" s="8" t="n"/>
      <c r="P230" s="9" t="n"/>
      <c r="Q230" s="7" t="n"/>
      <c r="R230" s="7" t="n"/>
      <c r="S230" s="7" t="n"/>
      <c r="T230" s="7">
        <f>IF($R230="完了",$D230&amp;"|"&amp;TEXT($B230,"0"),"")</f>
        <v/>
      </c>
    </row>
    <row r="231">
      <c r="A231" s="7">
        <f>IF($B231="","",TEXT(YEAR($B231),"0000")&amp;"-"&amp;TEXT(SUMPRODUCT((YEAR($B$2:$B231)=YEAR($B231))*($B$2:$B231&lt;&gt;"")),"000"))</f>
        <v/>
      </c>
      <c r="B231" s="8" t="n"/>
      <c r="C231" s="7" t="n"/>
      <c r="D231" s="9" t="n"/>
      <c r="E231" s="7">
        <f>IFERROR(VLOOKUP($D231,商品マスタ範囲,4,FALSE),"")</f>
        <v/>
      </c>
      <c r="F231" s="7">
        <f>IFERROR(VLOOKUP($D231,商品マスタ範囲,2,FALSE),"")</f>
        <v/>
      </c>
      <c r="G231" s="7">
        <f>IFERROR(VLOOKUP($D231,商品マスタ範囲,3,FALSE),"")</f>
        <v/>
      </c>
      <c r="H231" s="40">
        <f>IFERROR(IF(SUMPRODUCT(MAX((案件入力!$D$2:$D$230=$D231)*(案件入力!$R$2:$R$230="完了")*(案件入力!$B$2:$B$230)))=0,VLOOKUP($D231,商品マスタ範囲,5,FALSE),INDEX(案件入力!$I$2:$I$230,MATCH($D231&amp;"|"&amp;TEXT(SUMPRODUCT(MAX((案件入力!$D$2:$D$230=$D231)*(案件入力!$R$2:$R$230="完了")*(案件入力!$B$2:$B$230))),"0"),案件入力!$T$2:$T$230,0))),"")</f>
        <v/>
      </c>
      <c r="I231" s="40" t="n"/>
      <c r="J231" s="11">
        <f>IF(OR($H231="",$I231=""),"",IFERROR(($I231-$H231)/$H231,""))</f>
        <v/>
      </c>
      <c r="K231" s="8" t="n"/>
      <c r="L231" s="40">
        <f>IFERROR(IF(SUMPRODUCT(MAX((案件入力!$D$2:$D$230=$D231)*(案件入力!$R$2:$R$230="完了")*(案件入力!$B$2:$B$230)))=0,VLOOKUP($D231,商品マスタ範囲,6,FALSE),INDEX(案件入力!$M$2:$M$230,MATCH($D231&amp;"|"&amp;TEXT(SUMPRODUCT(MAX((案件入力!$D$2:$D$230=$D231)*(案件入力!$R$2:$R$230="完了")*(案件入力!$B$2:$B$230))),"0"),案件入力!$T$2:$T$230,0))),"")</f>
        <v/>
      </c>
      <c r="M231" s="40" t="n"/>
      <c r="N231" s="11">
        <f>IF(OR($L231="",$M231=""),"",IFERROR(($M231-$L231)/$L231,""))</f>
        <v/>
      </c>
      <c r="O231" s="8" t="n"/>
      <c r="P231" s="9" t="n"/>
      <c r="Q231" s="7" t="n"/>
      <c r="R231" s="7" t="n"/>
      <c r="S231" s="7" t="n"/>
      <c r="T231" s="7">
        <f>IF($R231="完了",$D231&amp;"|"&amp;TEXT($B231,"0"),"")</f>
        <v/>
      </c>
    </row>
    <row r="232">
      <c r="A232" s="7">
        <f>IF($B232="","",TEXT(YEAR($B232),"0000")&amp;"-"&amp;TEXT(SUMPRODUCT((YEAR($B$2:$B232)=YEAR($B232))*($B$2:$B232&lt;&gt;"")),"000"))</f>
        <v/>
      </c>
      <c r="B232" s="8" t="n"/>
      <c r="C232" s="7" t="n"/>
      <c r="D232" s="9" t="n"/>
      <c r="E232" s="7">
        <f>IFERROR(VLOOKUP($D232,商品マスタ範囲,4,FALSE),"")</f>
        <v/>
      </c>
      <c r="F232" s="7">
        <f>IFERROR(VLOOKUP($D232,商品マスタ範囲,2,FALSE),"")</f>
        <v/>
      </c>
      <c r="G232" s="7">
        <f>IFERROR(VLOOKUP($D232,商品マスタ範囲,3,FALSE),"")</f>
        <v/>
      </c>
      <c r="H232" s="40">
        <f>IFERROR(IF(SUMPRODUCT(MAX((案件入力!$D$2:$D$231=$D232)*(案件入力!$R$2:$R$231="完了")*(案件入力!$B$2:$B$231)))=0,VLOOKUP($D232,商品マスタ範囲,5,FALSE),INDEX(案件入力!$I$2:$I$231,MATCH($D232&amp;"|"&amp;TEXT(SUMPRODUCT(MAX((案件入力!$D$2:$D$231=$D232)*(案件入力!$R$2:$R$231="完了")*(案件入力!$B$2:$B$231))),"0"),案件入力!$T$2:$T$231,0))),"")</f>
        <v/>
      </c>
      <c r="I232" s="40" t="n"/>
      <c r="J232" s="11">
        <f>IF(OR($H232="",$I232=""),"",IFERROR(($I232-$H232)/$H232,""))</f>
        <v/>
      </c>
      <c r="K232" s="8" t="n"/>
      <c r="L232" s="40">
        <f>IFERROR(IF(SUMPRODUCT(MAX((案件入力!$D$2:$D$231=$D232)*(案件入力!$R$2:$R$231="完了")*(案件入力!$B$2:$B$231)))=0,VLOOKUP($D232,商品マスタ範囲,6,FALSE),INDEX(案件入力!$M$2:$M$231,MATCH($D232&amp;"|"&amp;TEXT(SUMPRODUCT(MAX((案件入力!$D$2:$D$231=$D232)*(案件入力!$R$2:$R$231="完了")*(案件入力!$B$2:$B$231))),"0"),案件入力!$T$2:$T$231,0))),"")</f>
        <v/>
      </c>
      <c r="M232" s="40" t="n"/>
      <c r="N232" s="11">
        <f>IF(OR($L232="",$M232=""),"",IFERROR(($M232-$L232)/$L232,""))</f>
        <v/>
      </c>
      <c r="O232" s="8" t="n"/>
      <c r="P232" s="9" t="n"/>
      <c r="Q232" s="7" t="n"/>
      <c r="R232" s="7" t="n"/>
      <c r="S232" s="7" t="n"/>
      <c r="T232" s="7">
        <f>IF($R232="完了",$D232&amp;"|"&amp;TEXT($B232,"0"),"")</f>
        <v/>
      </c>
    </row>
    <row r="233">
      <c r="A233" s="7">
        <f>IF($B233="","",TEXT(YEAR($B233),"0000")&amp;"-"&amp;TEXT(SUMPRODUCT((YEAR($B$2:$B233)=YEAR($B233))*($B$2:$B233&lt;&gt;"")),"000"))</f>
        <v/>
      </c>
      <c r="B233" s="8" t="n"/>
      <c r="C233" s="7" t="n"/>
      <c r="D233" s="9" t="n"/>
      <c r="E233" s="7">
        <f>IFERROR(VLOOKUP($D233,商品マスタ範囲,4,FALSE),"")</f>
        <v/>
      </c>
      <c r="F233" s="7">
        <f>IFERROR(VLOOKUP($D233,商品マスタ範囲,2,FALSE),"")</f>
        <v/>
      </c>
      <c r="G233" s="7">
        <f>IFERROR(VLOOKUP($D233,商品マスタ範囲,3,FALSE),"")</f>
        <v/>
      </c>
      <c r="H233" s="40">
        <f>IFERROR(IF(SUMPRODUCT(MAX((案件入力!$D$2:$D$232=$D233)*(案件入力!$R$2:$R$232="完了")*(案件入力!$B$2:$B$232)))=0,VLOOKUP($D233,商品マスタ範囲,5,FALSE),INDEX(案件入力!$I$2:$I$232,MATCH($D233&amp;"|"&amp;TEXT(SUMPRODUCT(MAX((案件入力!$D$2:$D$232=$D233)*(案件入力!$R$2:$R$232="完了")*(案件入力!$B$2:$B$232))),"0"),案件入力!$T$2:$T$232,0))),"")</f>
        <v/>
      </c>
      <c r="I233" s="40" t="n"/>
      <c r="J233" s="11">
        <f>IF(OR($H233="",$I233=""),"",IFERROR(($I233-$H233)/$H233,""))</f>
        <v/>
      </c>
      <c r="K233" s="8" t="n"/>
      <c r="L233" s="40">
        <f>IFERROR(IF(SUMPRODUCT(MAX((案件入力!$D$2:$D$232=$D233)*(案件入力!$R$2:$R$232="完了")*(案件入力!$B$2:$B$232)))=0,VLOOKUP($D233,商品マスタ範囲,6,FALSE),INDEX(案件入力!$M$2:$M$232,MATCH($D233&amp;"|"&amp;TEXT(SUMPRODUCT(MAX((案件入力!$D$2:$D$232=$D233)*(案件入力!$R$2:$R$232="完了")*(案件入力!$B$2:$B$232))),"0"),案件入力!$T$2:$T$232,0))),"")</f>
        <v/>
      </c>
      <c r="M233" s="40" t="n"/>
      <c r="N233" s="11">
        <f>IF(OR($L233="",$M233=""),"",IFERROR(($M233-$L233)/$L233,""))</f>
        <v/>
      </c>
      <c r="O233" s="8" t="n"/>
      <c r="P233" s="9" t="n"/>
      <c r="Q233" s="7" t="n"/>
      <c r="R233" s="7" t="n"/>
      <c r="S233" s="7" t="n"/>
      <c r="T233" s="7">
        <f>IF($R233="完了",$D233&amp;"|"&amp;TEXT($B233,"0"),"")</f>
        <v/>
      </c>
    </row>
    <row r="234">
      <c r="A234" s="7">
        <f>IF($B234="","",TEXT(YEAR($B234),"0000")&amp;"-"&amp;TEXT(SUMPRODUCT((YEAR($B$2:$B234)=YEAR($B234))*($B$2:$B234&lt;&gt;"")),"000"))</f>
        <v/>
      </c>
      <c r="B234" s="8" t="n"/>
      <c r="C234" s="7" t="n"/>
      <c r="D234" s="9" t="n"/>
      <c r="E234" s="7">
        <f>IFERROR(VLOOKUP($D234,商品マスタ範囲,4,FALSE),"")</f>
        <v/>
      </c>
      <c r="F234" s="7">
        <f>IFERROR(VLOOKUP($D234,商品マスタ範囲,2,FALSE),"")</f>
        <v/>
      </c>
      <c r="G234" s="7">
        <f>IFERROR(VLOOKUP($D234,商品マスタ範囲,3,FALSE),"")</f>
        <v/>
      </c>
      <c r="H234" s="40">
        <f>IFERROR(IF(SUMPRODUCT(MAX((案件入力!$D$2:$D$233=$D234)*(案件入力!$R$2:$R$233="完了")*(案件入力!$B$2:$B$233)))=0,VLOOKUP($D234,商品マスタ範囲,5,FALSE),INDEX(案件入力!$I$2:$I$233,MATCH($D234&amp;"|"&amp;TEXT(SUMPRODUCT(MAX((案件入力!$D$2:$D$233=$D234)*(案件入力!$R$2:$R$233="完了")*(案件入力!$B$2:$B$233))),"0"),案件入力!$T$2:$T$233,0))),"")</f>
        <v/>
      </c>
      <c r="I234" s="40" t="n"/>
      <c r="J234" s="11">
        <f>IF(OR($H234="",$I234=""),"",IFERROR(($I234-$H234)/$H234,""))</f>
        <v/>
      </c>
      <c r="K234" s="8" t="n"/>
      <c r="L234" s="40">
        <f>IFERROR(IF(SUMPRODUCT(MAX((案件入力!$D$2:$D$233=$D234)*(案件入力!$R$2:$R$233="完了")*(案件入力!$B$2:$B$233)))=0,VLOOKUP($D234,商品マスタ範囲,6,FALSE),INDEX(案件入力!$M$2:$M$233,MATCH($D234&amp;"|"&amp;TEXT(SUMPRODUCT(MAX((案件入力!$D$2:$D$233=$D234)*(案件入力!$R$2:$R$233="完了")*(案件入力!$B$2:$B$233))),"0"),案件入力!$T$2:$T$233,0))),"")</f>
        <v/>
      </c>
      <c r="M234" s="40" t="n"/>
      <c r="N234" s="11">
        <f>IF(OR($L234="",$M234=""),"",IFERROR(($M234-$L234)/$L234,""))</f>
        <v/>
      </c>
      <c r="O234" s="8" t="n"/>
      <c r="P234" s="9" t="n"/>
      <c r="Q234" s="7" t="n"/>
      <c r="R234" s="7" t="n"/>
      <c r="S234" s="7" t="n"/>
      <c r="T234" s="7">
        <f>IF($R234="完了",$D234&amp;"|"&amp;TEXT($B234,"0"),"")</f>
        <v/>
      </c>
    </row>
    <row r="235">
      <c r="A235" s="7">
        <f>IF($B235="","",TEXT(YEAR($B235),"0000")&amp;"-"&amp;TEXT(SUMPRODUCT((YEAR($B$2:$B235)=YEAR($B235))*($B$2:$B235&lt;&gt;"")),"000"))</f>
        <v/>
      </c>
      <c r="B235" s="8" t="n"/>
      <c r="C235" s="7" t="n"/>
      <c r="D235" s="9" t="n"/>
      <c r="E235" s="7">
        <f>IFERROR(VLOOKUP($D235,商品マスタ範囲,4,FALSE),"")</f>
        <v/>
      </c>
      <c r="F235" s="7">
        <f>IFERROR(VLOOKUP($D235,商品マスタ範囲,2,FALSE),"")</f>
        <v/>
      </c>
      <c r="G235" s="7">
        <f>IFERROR(VLOOKUP($D235,商品マスタ範囲,3,FALSE),"")</f>
        <v/>
      </c>
      <c r="H235" s="40">
        <f>IFERROR(IF(SUMPRODUCT(MAX((案件入力!$D$2:$D$234=$D235)*(案件入力!$R$2:$R$234="完了")*(案件入力!$B$2:$B$234)))=0,VLOOKUP($D235,商品マスタ範囲,5,FALSE),INDEX(案件入力!$I$2:$I$234,MATCH($D235&amp;"|"&amp;TEXT(SUMPRODUCT(MAX((案件入力!$D$2:$D$234=$D235)*(案件入力!$R$2:$R$234="完了")*(案件入力!$B$2:$B$234))),"0"),案件入力!$T$2:$T$234,0))),"")</f>
        <v/>
      </c>
      <c r="I235" s="40" t="n"/>
      <c r="J235" s="11">
        <f>IF(OR($H235="",$I235=""),"",IFERROR(($I235-$H235)/$H235,""))</f>
        <v/>
      </c>
      <c r="K235" s="8" t="n"/>
      <c r="L235" s="40">
        <f>IFERROR(IF(SUMPRODUCT(MAX((案件入力!$D$2:$D$234=$D235)*(案件入力!$R$2:$R$234="完了")*(案件入力!$B$2:$B$234)))=0,VLOOKUP($D235,商品マスタ範囲,6,FALSE),INDEX(案件入力!$M$2:$M$234,MATCH($D235&amp;"|"&amp;TEXT(SUMPRODUCT(MAX((案件入力!$D$2:$D$234=$D235)*(案件入力!$R$2:$R$234="完了")*(案件入力!$B$2:$B$234))),"0"),案件入力!$T$2:$T$234,0))),"")</f>
        <v/>
      </c>
      <c r="M235" s="40" t="n"/>
      <c r="N235" s="11">
        <f>IF(OR($L235="",$M235=""),"",IFERROR(($M235-$L235)/$L235,""))</f>
        <v/>
      </c>
      <c r="O235" s="8" t="n"/>
      <c r="P235" s="9" t="n"/>
      <c r="Q235" s="7" t="n"/>
      <c r="R235" s="7" t="n"/>
      <c r="S235" s="7" t="n"/>
      <c r="T235" s="7">
        <f>IF($R235="完了",$D235&amp;"|"&amp;TEXT($B235,"0"),"")</f>
        <v/>
      </c>
    </row>
    <row r="236">
      <c r="A236" s="7">
        <f>IF($B236="","",TEXT(YEAR($B236),"0000")&amp;"-"&amp;TEXT(SUMPRODUCT((YEAR($B$2:$B236)=YEAR($B236))*($B$2:$B236&lt;&gt;"")),"000"))</f>
        <v/>
      </c>
      <c r="B236" s="8" t="n"/>
      <c r="C236" s="7" t="n"/>
      <c r="D236" s="9" t="n"/>
      <c r="E236" s="7">
        <f>IFERROR(VLOOKUP($D236,商品マスタ範囲,4,FALSE),"")</f>
        <v/>
      </c>
      <c r="F236" s="7">
        <f>IFERROR(VLOOKUP($D236,商品マスタ範囲,2,FALSE),"")</f>
        <v/>
      </c>
      <c r="G236" s="7">
        <f>IFERROR(VLOOKUP($D236,商品マスタ範囲,3,FALSE),"")</f>
        <v/>
      </c>
      <c r="H236" s="40">
        <f>IFERROR(IF(SUMPRODUCT(MAX((案件入力!$D$2:$D$235=$D236)*(案件入力!$R$2:$R$235="完了")*(案件入力!$B$2:$B$235)))=0,VLOOKUP($D236,商品マスタ範囲,5,FALSE),INDEX(案件入力!$I$2:$I$235,MATCH($D236&amp;"|"&amp;TEXT(SUMPRODUCT(MAX((案件入力!$D$2:$D$235=$D236)*(案件入力!$R$2:$R$235="完了")*(案件入力!$B$2:$B$235))),"0"),案件入力!$T$2:$T$235,0))),"")</f>
        <v/>
      </c>
      <c r="I236" s="40" t="n"/>
      <c r="J236" s="11">
        <f>IF(OR($H236="",$I236=""),"",IFERROR(($I236-$H236)/$H236,""))</f>
        <v/>
      </c>
      <c r="K236" s="8" t="n"/>
      <c r="L236" s="40">
        <f>IFERROR(IF(SUMPRODUCT(MAX((案件入力!$D$2:$D$235=$D236)*(案件入力!$R$2:$R$235="完了")*(案件入力!$B$2:$B$235)))=0,VLOOKUP($D236,商品マスタ範囲,6,FALSE),INDEX(案件入力!$M$2:$M$235,MATCH($D236&amp;"|"&amp;TEXT(SUMPRODUCT(MAX((案件入力!$D$2:$D$235=$D236)*(案件入力!$R$2:$R$235="完了")*(案件入力!$B$2:$B$235))),"0"),案件入力!$T$2:$T$235,0))),"")</f>
        <v/>
      </c>
      <c r="M236" s="40" t="n"/>
      <c r="N236" s="11">
        <f>IF(OR($L236="",$M236=""),"",IFERROR(($M236-$L236)/$L236,""))</f>
        <v/>
      </c>
      <c r="O236" s="8" t="n"/>
      <c r="P236" s="9" t="n"/>
      <c r="Q236" s="7" t="n"/>
      <c r="R236" s="7" t="n"/>
      <c r="S236" s="7" t="n"/>
      <c r="T236" s="7">
        <f>IF($R236="完了",$D236&amp;"|"&amp;TEXT($B236,"0"),"")</f>
        <v/>
      </c>
    </row>
    <row r="237">
      <c r="A237" s="7">
        <f>IF($B237="","",TEXT(YEAR($B237),"0000")&amp;"-"&amp;TEXT(SUMPRODUCT((YEAR($B$2:$B237)=YEAR($B237))*($B$2:$B237&lt;&gt;"")),"000"))</f>
        <v/>
      </c>
      <c r="B237" s="8" t="n"/>
      <c r="C237" s="7" t="n"/>
      <c r="D237" s="9" t="n"/>
      <c r="E237" s="7">
        <f>IFERROR(VLOOKUP($D237,商品マスタ範囲,4,FALSE),"")</f>
        <v/>
      </c>
      <c r="F237" s="7">
        <f>IFERROR(VLOOKUP($D237,商品マスタ範囲,2,FALSE),"")</f>
        <v/>
      </c>
      <c r="G237" s="7">
        <f>IFERROR(VLOOKUP($D237,商品マスタ範囲,3,FALSE),"")</f>
        <v/>
      </c>
      <c r="H237" s="40">
        <f>IFERROR(IF(SUMPRODUCT(MAX((案件入力!$D$2:$D$236=$D237)*(案件入力!$R$2:$R$236="完了")*(案件入力!$B$2:$B$236)))=0,VLOOKUP($D237,商品マスタ範囲,5,FALSE),INDEX(案件入力!$I$2:$I$236,MATCH($D237&amp;"|"&amp;TEXT(SUMPRODUCT(MAX((案件入力!$D$2:$D$236=$D237)*(案件入力!$R$2:$R$236="完了")*(案件入力!$B$2:$B$236))),"0"),案件入力!$T$2:$T$236,0))),"")</f>
        <v/>
      </c>
      <c r="I237" s="40" t="n"/>
      <c r="J237" s="11">
        <f>IF(OR($H237="",$I237=""),"",IFERROR(($I237-$H237)/$H237,""))</f>
        <v/>
      </c>
      <c r="K237" s="8" t="n"/>
      <c r="L237" s="40">
        <f>IFERROR(IF(SUMPRODUCT(MAX((案件入力!$D$2:$D$236=$D237)*(案件入力!$R$2:$R$236="完了")*(案件入力!$B$2:$B$236)))=0,VLOOKUP($D237,商品マスタ範囲,6,FALSE),INDEX(案件入力!$M$2:$M$236,MATCH($D237&amp;"|"&amp;TEXT(SUMPRODUCT(MAX((案件入力!$D$2:$D$236=$D237)*(案件入力!$R$2:$R$236="完了")*(案件入力!$B$2:$B$236))),"0"),案件入力!$T$2:$T$236,0))),"")</f>
        <v/>
      </c>
      <c r="M237" s="40" t="n"/>
      <c r="N237" s="11">
        <f>IF(OR($L237="",$M237=""),"",IFERROR(($M237-$L237)/$L237,""))</f>
        <v/>
      </c>
      <c r="O237" s="8" t="n"/>
      <c r="P237" s="9" t="n"/>
      <c r="Q237" s="7" t="n"/>
      <c r="R237" s="7" t="n"/>
      <c r="S237" s="7" t="n"/>
      <c r="T237" s="7">
        <f>IF($R237="完了",$D237&amp;"|"&amp;TEXT($B237,"0"),"")</f>
        <v/>
      </c>
    </row>
    <row r="238">
      <c r="A238" s="7">
        <f>IF($B238="","",TEXT(YEAR($B238),"0000")&amp;"-"&amp;TEXT(SUMPRODUCT((YEAR($B$2:$B238)=YEAR($B238))*($B$2:$B238&lt;&gt;"")),"000"))</f>
        <v/>
      </c>
      <c r="B238" s="8" t="n"/>
      <c r="C238" s="7" t="n"/>
      <c r="D238" s="9" t="n"/>
      <c r="E238" s="7">
        <f>IFERROR(VLOOKUP($D238,商品マスタ範囲,4,FALSE),"")</f>
        <v/>
      </c>
      <c r="F238" s="7">
        <f>IFERROR(VLOOKUP($D238,商品マスタ範囲,2,FALSE),"")</f>
        <v/>
      </c>
      <c r="G238" s="7">
        <f>IFERROR(VLOOKUP($D238,商品マスタ範囲,3,FALSE),"")</f>
        <v/>
      </c>
      <c r="H238" s="40">
        <f>IFERROR(IF(SUMPRODUCT(MAX((案件入力!$D$2:$D$237=$D238)*(案件入力!$R$2:$R$237="完了")*(案件入力!$B$2:$B$237)))=0,VLOOKUP($D238,商品マスタ範囲,5,FALSE),INDEX(案件入力!$I$2:$I$237,MATCH($D238&amp;"|"&amp;TEXT(SUMPRODUCT(MAX((案件入力!$D$2:$D$237=$D238)*(案件入力!$R$2:$R$237="完了")*(案件入力!$B$2:$B$237))),"0"),案件入力!$T$2:$T$237,0))),"")</f>
        <v/>
      </c>
      <c r="I238" s="40" t="n"/>
      <c r="J238" s="11">
        <f>IF(OR($H238="",$I238=""),"",IFERROR(($I238-$H238)/$H238,""))</f>
        <v/>
      </c>
      <c r="K238" s="8" t="n"/>
      <c r="L238" s="40">
        <f>IFERROR(IF(SUMPRODUCT(MAX((案件入力!$D$2:$D$237=$D238)*(案件入力!$R$2:$R$237="完了")*(案件入力!$B$2:$B$237)))=0,VLOOKUP($D238,商品マスタ範囲,6,FALSE),INDEX(案件入力!$M$2:$M$237,MATCH($D238&amp;"|"&amp;TEXT(SUMPRODUCT(MAX((案件入力!$D$2:$D$237=$D238)*(案件入力!$R$2:$R$237="完了")*(案件入力!$B$2:$B$237))),"0"),案件入力!$T$2:$T$237,0))),"")</f>
        <v/>
      </c>
      <c r="M238" s="40" t="n"/>
      <c r="N238" s="11">
        <f>IF(OR($L238="",$M238=""),"",IFERROR(($M238-$L238)/$L238,""))</f>
        <v/>
      </c>
      <c r="O238" s="8" t="n"/>
      <c r="P238" s="9" t="n"/>
      <c r="Q238" s="7" t="n"/>
      <c r="R238" s="7" t="n"/>
      <c r="S238" s="7" t="n"/>
      <c r="T238" s="7">
        <f>IF($R238="完了",$D238&amp;"|"&amp;TEXT($B238,"0"),"")</f>
        <v/>
      </c>
    </row>
    <row r="239">
      <c r="A239" s="7">
        <f>IF($B239="","",TEXT(YEAR($B239),"0000")&amp;"-"&amp;TEXT(SUMPRODUCT((YEAR($B$2:$B239)=YEAR($B239))*($B$2:$B239&lt;&gt;"")),"000"))</f>
        <v/>
      </c>
      <c r="B239" s="8" t="n"/>
      <c r="C239" s="7" t="n"/>
      <c r="D239" s="9" t="n"/>
      <c r="E239" s="7">
        <f>IFERROR(VLOOKUP($D239,商品マスタ範囲,4,FALSE),"")</f>
        <v/>
      </c>
      <c r="F239" s="7">
        <f>IFERROR(VLOOKUP($D239,商品マスタ範囲,2,FALSE),"")</f>
        <v/>
      </c>
      <c r="G239" s="7">
        <f>IFERROR(VLOOKUP($D239,商品マスタ範囲,3,FALSE),"")</f>
        <v/>
      </c>
      <c r="H239" s="40">
        <f>IFERROR(IF(SUMPRODUCT(MAX((案件入力!$D$2:$D$238=$D239)*(案件入力!$R$2:$R$238="完了")*(案件入力!$B$2:$B$238)))=0,VLOOKUP($D239,商品マスタ範囲,5,FALSE),INDEX(案件入力!$I$2:$I$238,MATCH($D239&amp;"|"&amp;TEXT(SUMPRODUCT(MAX((案件入力!$D$2:$D$238=$D239)*(案件入力!$R$2:$R$238="完了")*(案件入力!$B$2:$B$238))),"0"),案件入力!$T$2:$T$238,0))),"")</f>
        <v/>
      </c>
      <c r="I239" s="40" t="n"/>
      <c r="J239" s="11">
        <f>IF(OR($H239="",$I239=""),"",IFERROR(($I239-$H239)/$H239,""))</f>
        <v/>
      </c>
      <c r="K239" s="8" t="n"/>
      <c r="L239" s="40">
        <f>IFERROR(IF(SUMPRODUCT(MAX((案件入力!$D$2:$D$238=$D239)*(案件入力!$R$2:$R$238="完了")*(案件入力!$B$2:$B$238)))=0,VLOOKUP($D239,商品マスタ範囲,6,FALSE),INDEX(案件入力!$M$2:$M$238,MATCH($D239&amp;"|"&amp;TEXT(SUMPRODUCT(MAX((案件入力!$D$2:$D$238=$D239)*(案件入力!$R$2:$R$238="完了")*(案件入力!$B$2:$B$238))),"0"),案件入力!$T$2:$T$238,0))),"")</f>
        <v/>
      </c>
      <c r="M239" s="40" t="n"/>
      <c r="N239" s="11">
        <f>IF(OR($L239="",$M239=""),"",IFERROR(($M239-$L239)/$L239,""))</f>
        <v/>
      </c>
      <c r="O239" s="8" t="n"/>
      <c r="P239" s="9" t="n"/>
      <c r="Q239" s="7" t="n"/>
      <c r="R239" s="7" t="n"/>
      <c r="S239" s="7" t="n"/>
      <c r="T239" s="7">
        <f>IF($R239="完了",$D239&amp;"|"&amp;TEXT($B239,"0"),"")</f>
        <v/>
      </c>
    </row>
    <row r="240">
      <c r="A240" s="7">
        <f>IF($B240="","",TEXT(YEAR($B240),"0000")&amp;"-"&amp;TEXT(SUMPRODUCT((YEAR($B$2:$B240)=YEAR($B240))*($B$2:$B240&lt;&gt;"")),"000"))</f>
        <v/>
      </c>
      <c r="B240" s="8" t="n"/>
      <c r="C240" s="7" t="n"/>
      <c r="D240" s="9" t="n"/>
      <c r="E240" s="7">
        <f>IFERROR(VLOOKUP($D240,商品マスタ範囲,4,FALSE),"")</f>
        <v/>
      </c>
      <c r="F240" s="7">
        <f>IFERROR(VLOOKUP($D240,商品マスタ範囲,2,FALSE),"")</f>
        <v/>
      </c>
      <c r="G240" s="7">
        <f>IFERROR(VLOOKUP($D240,商品マスタ範囲,3,FALSE),"")</f>
        <v/>
      </c>
      <c r="H240" s="40">
        <f>IFERROR(IF(SUMPRODUCT(MAX((案件入力!$D$2:$D$239=$D240)*(案件入力!$R$2:$R$239="完了")*(案件入力!$B$2:$B$239)))=0,VLOOKUP($D240,商品マスタ範囲,5,FALSE),INDEX(案件入力!$I$2:$I$239,MATCH($D240&amp;"|"&amp;TEXT(SUMPRODUCT(MAX((案件入力!$D$2:$D$239=$D240)*(案件入力!$R$2:$R$239="完了")*(案件入力!$B$2:$B$239))),"0"),案件入力!$T$2:$T$239,0))),"")</f>
        <v/>
      </c>
      <c r="I240" s="40" t="n"/>
      <c r="J240" s="11">
        <f>IF(OR($H240="",$I240=""),"",IFERROR(($I240-$H240)/$H240,""))</f>
        <v/>
      </c>
      <c r="K240" s="8" t="n"/>
      <c r="L240" s="40">
        <f>IFERROR(IF(SUMPRODUCT(MAX((案件入力!$D$2:$D$239=$D240)*(案件入力!$R$2:$R$239="完了")*(案件入力!$B$2:$B$239)))=0,VLOOKUP($D240,商品マスタ範囲,6,FALSE),INDEX(案件入力!$M$2:$M$239,MATCH($D240&amp;"|"&amp;TEXT(SUMPRODUCT(MAX((案件入力!$D$2:$D$239=$D240)*(案件入力!$R$2:$R$239="完了")*(案件入力!$B$2:$B$239))),"0"),案件入力!$T$2:$T$239,0))),"")</f>
        <v/>
      </c>
      <c r="M240" s="40" t="n"/>
      <c r="N240" s="11">
        <f>IF(OR($L240="",$M240=""),"",IFERROR(($M240-$L240)/$L240,""))</f>
        <v/>
      </c>
      <c r="O240" s="8" t="n"/>
      <c r="P240" s="9" t="n"/>
      <c r="Q240" s="7" t="n"/>
      <c r="R240" s="7" t="n"/>
      <c r="S240" s="7" t="n"/>
      <c r="T240" s="7">
        <f>IF($R240="完了",$D240&amp;"|"&amp;TEXT($B240,"0"),"")</f>
        <v/>
      </c>
    </row>
    <row r="241">
      <c r="A241" s="7">
        <f>IF($B241="","",TEXT(YEAR($B241),"0000")&amp;"-"&amp;TEXT(SUMPRODUCT((YEAR($B$2:$B241)=YEAR($B241))*($B$2:$B241&lt;&gt;"")),"000"))</f>
        <v/>
      </c>
      <c r="B241" s="8" t="n"/>
      <c r="C241" s="7" t="n"/>
      <c r="D241" s="9" t="n"/>
      <c r="E241" s="7">
        <f>IFERROR(VLOOKUP($D241,商品マスタ範囲,4,FALSE),"")</f>
        <v/>
      </c>
      <c r="F241" s="7">
        <f>IFERROR(VLOOKUP($D241,商品マスタ範囲,2,FALSE),"")</f>
        <v/>
      </c>
      <c r="G241" s="7">
        <f>IFERROR(VLOOKUP($D241,商品マスタ範囲,3,FALSE),"")</f>
        <v/>
      </c>
      <c r="H241" s="40">
        <f>IFERROR(IF(SUMPRODUCT(MAX((案件入力!$D$2:$D$240=$D241)*(案件入力!$R$2:$R$240="完了")*(案件入力!$B$2:$B$240)))=0,VLOOKUP($D241,商品マスタ範囲,5,FALSE),INDEX(案件入力!$I$2:$I$240,MATCH($D241&amp;"|"&amp;TEXT(SUMPRODUCT(MAX((案件入力!$D$2:$D$240=$D241)*(案件入力!$R$2:$R$240="完了")*(案件入力!$B$2:$B$240))),"0"),案件入力!$T$2:$T$240,0))),"")</f>
        <v/>
      </c>
      <c r="I241" s="40" t="n"/>
      <c r="J241" s="11">
        <f>IF(OR($H241="",$I241=""),"",IFERROR(($I241-$H241)/$H241,""))</f>
        <v/>
      </c>
      <c r="K241" s="8" t="n"/>
      <c r="L241" s="40">
        <f>IFERROR(IF(SUMPRODUCT(MAX((案件入力!$D$2:$D$240=$D241)*(案件入力!$R$2:$R$240="完了")*(案件入力!$B$2:$B$240)))=0,VLOOKUP($D241,商品マスタ範囲,6,FALSE),INDEX(案件入力!$M$2:$M$240,MATCH($D241&amp;"|"&amp;TEXT(SUMPRODUCT(MAX((案件入力!$D$2:$D$240=$D241)*(案件入力!$R$2:$R$240="完了")*(案件入力!$B$2:$B$240))),"0"),案件入力!$T$2:$T$240,0))),"")</f>
        <v/>
      </c>
      <c r="M241" s="40" t="n"/>
      <c r="N241" s="11">
        <f>IF(OR($L241="",$M241=""),"",IFERROR(($M241-$L241)/$L241,""))</f>
        <v/>
      </c>
      <c r="O241" s="8" t="n"/>
      <c r="P241" s="9" t="n"/>
      <c r="Q241" s="7" t="n"/>
      <c r="R241" s="7" t="n"/>
      <c r="S241" s="7" t="n"/>
      <c r="T241" s="7">
        <f>IF($R241="完了",$D241&amp;"|"&amp;TEXT($B241,"0"),"")</f>
        <v/>
      </c>
    </row>
    <row r="242">
      <c r="A242" s="7">
        <f>IF($B242="","",TEXT(YEAR($B242),"0000")&amp;"-"&amp;TEXT(SUMPRODUCT((YEAR($B$2:$B242)=YEAR($B242))*($B$2:$B242&lt;&gt;"")),"000"))</f>
        <v/>
      </c>
      <c r="B242" s="8" t="n"/>
      <c r="C242" s="7" t="n"/>
      <c r="D242" s="9" t="n"/>
      <c r="E242" s="7">
        <f>IFERROR(VLOOKUP($D242,商品マスタ範囲,4,FALSE),"")</f>
        <v/>
      </c>
      <c r="F242" s="7">
        <f>IFERROR(VLOOKUP($D242,商品マスタ範囲,2,FALSE),"")</f>
        <v/>
      </c>
      <c r="G242" s="7">
        <f>IFERROR(VLOOKUP($D242,商品マスタ範囲,3,FALSE),"")</f>
        <v/>
      </c>
      <c r="H242" s="40">
        <f>IFERROR(IF(SUMPRODUCT(MAX((案件入力!$D$2:$D$241=$D242)*(案件入力!$R$2:$R$241="完了")*(案件入力!$B$2:$B$241)))=0,VLOOKUP($D242,商品マスタ範囲,5,FALSE),INDEX(案件入力!$I$2:$I$241,MATCH($D242&amp;"|"&amp;TEXT(SUMPRODUCT(MAX((案件入力!$D$2:$D$241=$D242)*(案件入力!$R$2:$R$241="完了")*(案件入力!$B$2:$B$241))),"0"),案件入力!$T$2:$T$241,0))),"")</f>
        <v/>
      </c>
      <c r="I242" s="40" t="n"/>
      <c r="J242" s="11">
        <f>IF(OR($H242="",$I242=""),"",IFERROR(($I242-$H242)/$H242,""))</f>
        <v/>
      </c>
      <c r="K242" s="8" t="n"/>
      <c r="L242" s="40">
        <f>IFERROR(IF(SUMPRODUCT(MAX((案件入力!$D$2:$D$241=$D242)*(案件入力!$R$2:$R$241="完了")*(案件入力!$B$2:$B$241)))=0,VLOOKUP($D242,商品マスタ範囲,6,FALSE),INDEX(案件入力!$M$2:$M$241,MATCH($D242&amp;"|"&amp;TEXT(SUMPRODUCT(MAX((案件入力!$D$2:$D$241=$D242)*(案件入力!$R$2:$R$241="完了")*(案件入力!$B$2:$B$241))),"0"),案件入力!$T$2:$T$241,0))),"")</f>
        <v/>
      </c>
      <c r="M242" s="40" t="n"/>
      <c r="N242" s="11">
        <f>IF(OR($L242="",$M242=""),"",IFERROR(($M242-$L242)/$L242,""))</f>
        <v/>
      </c>
      <c r="O242" s="8" t="n"/>
      <c r="P242" s="9" t="n"/>
      <c r="Q242" s="7" t="n"/>
      <c r="R242" s="7" t="n"/>
      <c r="S242" s="7" t="n"/>
      <c r="T242" s="7">
        <f>IF($R242="完了",$D242&amp;"|"&amp;TEXT($B242,"0"),"")</f>
        <v/>
      </c>
    </row>
    <row r="243">
      <c r="A243" s="7">
        <f>IF($B243="","",TEXT(YEAR($B243),"0000")&amp;"-"&amp;TEXT(SUMPRODUCT((YEAR($B$2:$B243)=YEAR($B243))*($B$2:$B243&lt;&gt;"")),"000"))</f>
        <v/>
      </c>
      <c r="B243" s="8" t="n"/>
      <c r="C243" s="7" t="n"/>
      <c r="D243" s="9" t="n"/>
      <c r="E243" s="7">
        <f>IFERROR(VLOOKUP($D243,商品マスタ範囲,4,FALSE),"")</f>
        <v/>
      </c>
      <c r="F243" s="7">
        <f>IFERROR(VLOOKUP($D243,商品マスタ範囲,2,FALSE),"")</f>
        <v/>
      </c>
      <c r="G243" s="7">
        <f>IFERROR(VLOOKUP($D243,商品マスタ範囲,3,FALSE),"")</f>
        <v/>
      </c>
      <c r="H243" s="40">
        <f>IFERROR(IF(SUMPRODUCT(MAX((案件入力!$D$2:$D$242=$D243)*(案件入力!$R$2:$R$242="完了")*(案件入力!$B$2:$B$242)))=0,VLOOKUP($D243,商品マスタ範囲,5,FALSE),INDEX(案件入力!$I$2:$I$242,MATCH($D243&amp;"|"&amp;TEXT(SUMPRODUCT(MAX((案件入力!$D$2:$D$242=$D243)*(案件入力!$R$2:$R$242="完了")*(案件入力!$B$2:$B$242))),"0"),案件入力!$T$2:$T$242,0))),"")</f>
        <v/>
      </c>
      <c r="I243" s="40" t="n"/>
      <c r="J243" s="11">
        <f>IF(OR($H243="",$I243=""),"",IFERROR(($I243-$H243)/$H243,""))</f>
        <v/>
      </c>
      <c r="K243" s="8" t="n"/>
      <c r="L243" s="40">
        <f>IFERROR(IF(SUMPRODUCT(MAX((案件入力!$D$2:$D$242=$D243)*(案件入力!$R$2:$R$242="完了")*(案件入力!$B$2:$B$242)))=0,VLOOKUP($D243,商品マスタ範囲,6,FALSE),INDEX(案件入力!$M$2:$M$242,MATCH($D243&amp;"|"&amp;TEXT(SUMPRODUCT(MAX((案件入力!$D$2:$D$242=$D243)*(案件入力!$R$2:$R$242="完了")*(案件入力!$B$2:$B$242))),"0"),案件入力!$T$2:$T$242,0))),"")</f>
        <v/>
      </c>
      <c r="M243" s="40" t="n"/>
      <c r="N243" s="11">
        <f>IF(OR($L243="",$M243=""),"",IFERROR(($M243-$L243)/$L243,""))</f>
        <v/>
      </c>
      <c r="O243" s="8" t="n"/>
      <c r="P243" s="9" t="n"/>
      <c r="Q243" s="7" t="n"/>
      <c r="R243" s="7" t="n"/>
      <c r="S243" s="7" t="n"/>
      <c r="T243" s="7">
        <f>IF($R243="完了",$D243&amp;"|"&amp;TEXT($B243,"0"),"")</f>
        <v/>
      </c>
    </row>
    <row r="244">
      <c r="A244" s="7">
        <f>IF($B244="","",TEXT(YEAR($B244),"0000")&amp;"-"&amp;TEXT(SUMPRODUCT((YEAR($B$2:$B244)=YEAR($B244))*($B$2:$B244&lt;&gt;"")),"000"))</f>
        <v/>
      </c>
      <c r="B244" s="8" t="n"/>
      <c r="C244" s="7" t="n"/>
      <c r="D244" s="9" t="n"/>
      <c r="E244" s="7">
        <f>IFERROR(VLOOKUP($D244,商品マスタ範囲,4,FALSE),"")</f>
        <v/>
      </c>
      <c r="F244" s="7">
        <f>IFERROR(VLOOKUP($D244,商品マスタ範囲,2,FALSE),"")</f>
        <v/>
      </c>
      <c r="G244" s="7">
        <f>IFERROR(VLOOKUP($D244,商品マスタ範囲,3,FALSE),"")</f>
        <v/>
      </c>
      <c r="H244" s="40">
        <f>IFERROR(IF(SUMPRODUCT(MAX((案件入力!$D$2:$D$243=$D244)*(案件入力!$R$2:$R$243="完了")*(案件入力!$B$2:$B$243)))=0,VLOOKUP($D244,商品マスタ範囲,5,FALSE),INDEX(案件入力!$I$2:$I$243,MATCH($D244&amp;"|"&amp;TEXT(SUMPRODUCT(MAX((案件入力!$D$2:$D$243=$D244)*(案件入力!$R$2:$R$243="完了")*(案件入力!$B$2:$B$243))),"0"),案件入力!$T$2:$T$243,0))),"")</f>
        <v/>
      </c>
      <c r="I244" s="40" t="n"/>
      <c r="J244" s="11">
        <f>IF(OR($H244="",$I244=""),"",IFERROR(($I244-$H244)/$H244,""))</f>
        <v/>
      </c>
      <c r="K244" s="8" t="n"/>
      <c r="L244" s="40">
        <f>IFERROR(IF(SUMPRODUCT(MAX((案件入力!$D$2:$D$243=$D244)*(案件入力!$R$2:$R$243="完了")*(案件入力!$B$2:$B$243)))=0,VLOOKUP($D244,商品マスタ範囲,6,FALSE),INDEX(案件入力!$M$2:$M$243,MATCH($D244&amp;"|"&amp;TEXT(SUMPRODUCT(MAX((案件入力!$D$2:$D$243=$D244)*(案件入力!$R$2:$R$243="完了")*(案件入力!$B$2:$B$243))),"0"),案件入力!$T$2:$T$243,0))),"")</f>
        <v/>
      </c>
      <c r="M244" s="40" t="n"/>
      <c r="N244" s="11">
        <f>IF(OR($L244="",$M244=""),"",IFERROR(($M244-$L244)/$L244,""))</f>
        <v/>
      </c>
      <c r="O244" s="8" t="n"/>
      <c r="P244" s="9" t="n"/>
      <c r="Q244" s="7" t="n"/>
      <c r="R244" s="7" t="n"/>
      <c r="S244" s="7" t="n"/>
      <c r="T244" s="7">
        <f>IF($R244="完了",$D244&amp;"|"&amp;TEXT($B244,"0"),"")</f>
        <v/>
      </c>
    </row>
    <row r="245">
      <c r="A245" s="7">
        <f>IF($B245="","",TEXT(YEAR($B245),"0000")&amp;"-"&amp;TEXT(SUMPRODUCT((YEAR($B$2:$B245)=YEAR($B245))*($B$2:$B245&lt;&gt;"")),"000"))</f>
        <v/>
      </c>
      <c r="B245" s="8" t="n"/>
      <c r="C245" s="7" t="n"/>
      <c r="D245" s="9" t="n"/>
      <c r="E245" s="7">
        <f>IFERROR(VLOOKUP($D245,商品マスタ範囲,4,FALSE),"")</f>
        <v/>
      </c>
      <c r="F245" s="7">
        <f>IFERROR(VLOOKUP($D245,商品マスタ範囲,2,FALSE),"")</f>
        <v/>
      </c>
      <c r="G245" s="7">
        <f>IFERROR(VLOOKUP($D245,商品マスタ範囲,3,FALSE),"")</f>
        <v/>
      </c>
      <c r="H245" s="40">
        <f>IFERROR(IF(SUMPRODUCT(MAX((案件入力!$D$2:$D$244=$D245)*(案件入力!$R$2:$R$244="完了")*(案件入力!$B$2:$B$244)))=0,VLOOKUP($D245,商品マスタ範囲,5,FALSE),INDEX(案件入力!$I$2:$I$244,MATCH($D245&amp;"|"&amp;TEXT(SUMPRODUCT(MAX((案件入力!$D$2:$D$244=$D245)*(案件入力!$R$2:$R$244="完了")*(案件入力!$B$2:$B$244))),"0"),案件入力!$T$2:$T$244,0))),"")</f>
        <v/>
      </c>
      <c r="I245" s="40" t="n"/>
      <c r="J245" s="11">
        <f>IF(OR($H245="",$I245=""),"",IFERROR(($I245-$H245)/$H245,""))</f>
        <v/>
      </c>
      <c r="K245" s="8" t="n"/>
      <c r="L245" s="40">
        <f>IFERROR(IF(SUMPRODUCT(MAX((案件入力!$D$2:$D$244=$D245)*(案件入力!$R$2:$R$244="完了")*(案件入力!$B$2:$B$244)))=0,VLOOKUP($D245,商品マスタ範囲,6,FALSE),INDEX(案件入力!$M$2:$M$244,MATCH($D245&amp;"|"&amp;TEXT(SUMPRODUCT(MAX((案件入力!$D$2:$D$244=$D245)*(案件入力!$R$2:$R$244="完了")*(案件入力!$B$2:$B$244))),"0"),案件入力!$T$2:$T$244,0))),"")</f>
        <v/>
      </c>
      <c r="M245" s="40" t="n"/>
      <c r="N245" s="11">
        <f>IF(OR($L245="",$M245=""),"",IFERROR(($M245-$L245)/$L245,""))</f>
        <v/>
      </c>
      <c r="O245" s="8" t="n"/>
      <c r="P245" s="9" t="n"/>
      <c r="Q245" s="7" t="n"/>
      <c r="R245" s="7" t="n"/>
      <c r="S245" s="7" t="n"/>
      <c r="T245" s="7">
        <f>IF($R245="完了",$D245&amp;"|"&amp;TEXT($B245,"0"),"")</f>
        <v/>
      </c>
    </row>
    <row r="246">
      <c r="A246" s="7">
        <f>IF($B246="","",TEXT(YEAR($B246),"0000")&amp;"-"&amp;TEXT(SUMPRODUCT((YEAR($B$2:$B246)=YEAR($B246))*($B$2:$B246&lt;&gt;"")),"000"))</f>
        <v/>
      </c>
      <c r="B246" s="8" t="n"/>
      <c r="C246" s="7" t="n"/>
      <c r="D246" s="9" t="n"/>
      <c r="E246" s="7">
        <f>IFERROR(VLOOKUP($D246,商品マスタ範囲,4,FALSE),"")</f>
        <v/>
      </c>
      <c r="F246" s="7">
        <f>IFERROR(VLOOKUP($D246,商品マスタ範囲,2,FALSE),"")</f>
        <v/>
      </c>
      <c r="G246" s="7">
        <f>IFERROR(VLOOKUP($D246,商品マスタ範囲,3,FALSE),"")</f>
        <v/>
      </c>
      <c r="H246" s="40">
        <f>IFERROR(IF(SUMPRODUCT(MAX((案件入力!$D$2:$D$245=$D246)*(案件入力!$R$2:$R$245="完了")*(案件入力!$B$2:$B$245)))=0,VLOOKUP($D246,商品マスタ範囲,5,FALSE),INDEX(案件入力!$I$2:$I$245,MATCH($D246&amp;"|"&amp;TEXT(SUMPRODUCT(MAX((案件入力!$D$2:$D$245=$D246)*(案件入力!$R$2:$R$245="完了")*(案件入力!$B$2:$B$245))),"0"),案件入力!$T$2:$T$245,0))),"")</f>
        <v/>
      </c>
      <c r="I246" s="40" t="n"/>
      <c r="J246" s="11">
        <f>IF(OR($H246="",$I246=""),"",IFERROR(($I246-$H246)/$H246,""))</f>
        <v/>
      </c>
      <c r="K246" s="8" t="n"/>
      <c r="L246" s="40">
        <f>IFERROR(IF(SUMPRODUCT(MAX((案件入力!$D$2:$D$245=$D246)*(案件入力!$R$2:$R$245="完了")*(案件入力!$B$2:$B$245)))=0,VLOOKUP($D246,商品マスタ範囲,6,FALSE),INDEX(案件入力!$M$2:$M$245,MATCH($D246&amp;"|"&amp;TEXT(SUMPRODUCT(MAX((案件入力!$D$2:$D$245=$D246)*(案件入力!$R$2:$R$245="完了")*(案件入力!$B$2:$B$245))),"0"),案件入力!$T$2:$T$245,0))),"")</f>
        <v/>
      </c>
      <c r="M246" s="40" t="n"/>
      <c r="N246" s="11">
        <f>IF(OR($L246="",$M246=""),"",IFERROR(($M246-$L246)/$L246,""))</f>
        <v/>
      </c>
      <c r="O246" s="8" t="n"/>
      <c r="P246" s="9" t="n"/>
      <c r="Q246" s="7" t="n"/>
      <c r="R246" s="7" t="n"/>
      <c r="S246" s="7" t="n"/>
      <c r="T246" s="7">
        <f>IF($R246="完了",$D246&amp;"|"&amp;TEXT($B246,"0"),"")</f>
        <v/>
      </c>
    </row>
    <row r="247">
      <c r="A247" s="7">
        <f>IF($B247="","",TEXT(YEAR($B247),"0000")&amp;"-"&amp;TEXT(SUMPRODUCT((YEAR($B$2:$B247)=YEAR($B247))*($B$2:$B247&lt;&gt;"")),"000"))</f>
        <v/>
      </c>
      <c r="B247" s="8" t="n"/>
      <c r="C247" s="7" t="n"/>
      <c r="D247" s="9" t="n"/>
      <c r="E247" s="7">
        <f>IFERROR(VLOOKUP($D247,商品マスタ範囲,4,FALSE),"")</f>
        <v/>
      </c>
      <c r="F247" s="7">
        <f>IFERROR(VLOOKUP($D247,商品マスタ範囲,2,FALSE),"")</f>
        <v/>
      </c>
      <c r="G247" s="7">
        <f>IFERROR(VLOOKUP($D247,商品マスタ範囲,3,FALSE),"")</f>
        <v/>
      </c>
      <c r="H247" s="40">
        <f>IFERROR(IF(SUMPRODUCT(MAX((案件入力!$D$2:$D$246=$D247)*(案件入力!$R$2:$R$246="完了")*(案件入力!$B$2:$B$246)))=0,VLOOKUP($D247,商品マスタ範囲,5,FALSE),INDEX(案件入力!$I$2:$I$246,MATCH($D247&amp;"|"&amp;TEXT(SUMPRODUCT(MAX((案件入力!$D$2:$D$246=$D247)*(案件入力!$R$2:$R$246="完了")*(案件入力!$B$2:$B$246))),"0"),案件入力!$T$2:$T$246,0))),"")</f>
        <v/>
      </c>
      <c r="I247" s="40" t="n"/>
      <c r="J247" s="11">
        <f>IF(OR($H247="",$I247=""),"",IFERROR(($I247-$H247)/$H247,""))</f>
        <v/>
      </c>
      <c r="K247" s="8" t="n"/>
      <c r="L247" s="40">
        <f>IFERROR(IF(SUMPRODUCT(MAX((案件入力!$D$2:$D$246=$D247)*(案件入力!$R$2:$R$246="完了")*(案件入力!$B$2:$B$246)))=0,VLOOKUP($D247,商品マスタ範囲,6,FALSE),INDEX(案件入力!$M$2:$M$246,MATCH($D247&amp;"|"&amp;TEXT(SUMPRODUCT(MAX((案件入力!$D$2:$D$246=$D247)*(案件入力!$R$2:$R$246="完了")*(案件入力!$B$2:$B$246))),"0"),案件入力!$T$2:$T$246,0))),"")</f>
        <v/>
      </c>
      <c r="M247" s="40" t="n"/>
      <c r="N247" s="11">
        <f>IF(OR($L247="",$M247=""),"",IFERROR(($M247-$L247)/$L247,""))</f>
        <v/>
      </c>
      <c r="O247" s="8" t="n"/>
      <c r="P247" s="9" t="n"/>
      <c r="Q247" s="7" t="n"/>
      <c r="R247" s="7" t="n"/>
      <c r="S247" s="7" t="n"/>
      <c r="T247" s="7">
        <f>IF($R247="完了",$D247&amp;"|"&amp;TEXT($B247,"0"),"")</f>
        <v/>
      </c>
    </row>
    <row r="248">
      <c r="A248" s="7">
        <f>IF($B248="","",TEXT(YEAR($B248),"0000")&amp;"-"&amp;TEXT(SUMPRODUCT((YEAR($B$2:$B248)=YEAR($B248))*($B$2:$B248&lt;&gt;"")),"000"))</f>
        <v/>
      </c>
      <c r="B248" s="8" t="n"/>
      <c r="C248" s="7" t="n"/>
      <c r="D248" s="9" t="n"/>
      <c r="E248" s="7">
        <f>IFERROR(VLOOKUP($D248,商品マスタ範囲,4,FALSE),"")</f>
        <v/>
      </c>
      <c r="F248" s="7">
        <f>IFERROR(VLOOKUP($D248,商品マスタ範囲,2,FALSE),"")</f>
        <v/>
      </c>
      <c r="G248" s="7">
        <f>IFERROR(VLOOKUP($D248,商品マスタ範囲,3,FALSE),"")</f>
        <v/>
      </c>
      <c r="H248" s="40">
        <f>IFERROR(IF(SUMPRODUCT(MAX((案件入力!$D$2:$D$247=$D248)*(案件入力!$R$2:$R$247="完了")*(案件入力!$B$2:$B$247)))=0,VLOOKUP($D248,商品マスタ範囲,5,FALSE),INDEX(案件入力!$I$2:$I$247,MATCH($D248&amp;"|"&amp;TEXT(SUMPRODUCT(MAX((案件入力!$D$2:$D$247=$D248)*(案件入力!$R$2:$R$247="完了")*(案件入力!$B$2:$B$247))),"0"),案件入力!$T$2:$T$247,0))),"")</f>
        <v/>
      </c>
      <c r="I248" s="40" t="n"/>
      <c r="J248" s="11">
        <f>IF(OR($H248="",$I248=""),"",IFERROR(($I248-$H248)/$H248,""))</f>
        <v/>
      </c>
      <c r="K248" s="8" t="n"/>
      <c r="L248" s="40">
        <f>IFERROR(IF(SUMPRODUCT(MAX((案件入力!$D$2:$D$247=$D248)*(案件入力!$R$2:$R$247="完了")*(案件入力!$B$2:$B$247)))=0,VLOOKUP($D248,商品マスタ範囲,6,FALSE),INDEX(案件入力!$M$2:$M$247,MATCH($D248&amp;"|"&amp;TEXT(SUMPRODUCT(MAX((案件入力!$D$2:$D$247=$D248)*(案件入力!$R$2:$R$247="完了")*(案件入力!$B$2:$B$247))),"0"),案件入力!$T$2:$T$247,0))),"")</f>
        <v/>
      </c>
      <c r="M248" s="40" t="n"/>
      <c r="N248" s="11">
        <f>IF(OR($L248="",$M248=""),"",IFERROR(($M248-$L248)/$L248,""))</f>
        <v/>
      </c>
      <c r="O248" s="8" t="n"/>
      <c r="P248" s="9" t="n"/>
      <c r="Q248" s="7" t="n"/>
      <c r="R248" s="7" t="n"/>
      <c r="S248" s="7" t="n"/>
      <c r="T248" s="7">
        <f>IF($R248="完了",$D248&amp;"|"&amp;TEXT($B248,"0"),"")</f>
        <v/>
      </c>
    </row>
    <row r="249">
      <c r="A249" s="7">
        <f>IF($B249="","",TEXT(YEAR($B249),"0000")&amp;"-"&amp;TEXT(SUMPRODUCT((YEAR($B$2:$B249)=YEAR($B249))*($B$2:$B249&lt;&gt;"")),"000"))</f>
        <v/>
      </c>
      <c r="B249" s="8" t="n"/>
      <c r="C249" s="7" t="n"/>
      <c r="D249" s="9" t="n"/>
      <c r="E249" s="7">
        <f>IFERROR(VLOOKUP($D249,商品マスタ範囲,4,FALSE),"")</f>
        <v/>
      </c>
      <c r="F249" s="7">
        <f>IFERROR(VLOOKUP($D249,商品マスタ範囲,2,FALSE),"")</f>
        <v/>
      </c>
      <c r="G249" s="7">
        <f>IFERROR(VLOOKUP($D249,商品マスタ範囲,3,FALSE),"")</f>
        <v/>
      </c>
      <c r="H249" s="40">
        <f>IFERROR(IF(SUMPRODUCT(MAX((案件入力!$D$2:$D$248=$D249)*(案件入力!$R$2:$R$248="完了")*(案件入力!$B$2:$B$248)))=0,VLOOKUP($D249,商品マスタ範囲,5,FALSE),INDEX(案件入力!$I$2:$I$248,MATCH($D249&amp;"|"&amp;TEXT(SUMPRODUCT(MAX((案件入力!$D$2:$D$248=$D249)*(案件入力!$R$2:$R$248="完了")*(案件入力!$B$2:$B$248))),"0"),案件入力!$T$2:$T$248,0))),"")</f>
        <v/>
      </c>
      <c r="I249" s="40" t="n"/>
      <c r="J249" s="11">
        <f>IF(OR($H249="",$I249=""),"",IFERROR(($I249-$H249)/$H249,""))</f>
        <v/>
      </c>
      <c r="K249" s="8" t="n"/>
      <c r="L249" s="40">
        <f>IFERROR(IF(SUMPRODUCT(MAX((案件入力!$D$2:$D$248=$D249)*(案件入力!$R$2:$R$248="完了")*(案件入力!$B$2:$B$248)))=0,VLOOKUP($D249,商品マスタ範囲,6,FALSE),INDEX(案件入力!$M$2:$M$248,MATCH($D249&amp;"|"&amp;TEXT(SUMPRODUCT(MAX((案件入力!$D$2:$D$248=$D249)*(案件入力!$R$2:$R$248="完了")*(案件入力!$B$2:$B$248))),"0"),案件入力!$T$2:$T$248,0))),"")</f>
        <v/>
      </c>
      <c r="M249" s="40" t="n"/>
      <c r="N249" s="11">
        <f>IF(OR($L249="",$M249=""),"",IFERROR(($M249-$L249)/$L249,""))</f>
        <v/>
      </c>
      <c r="O249" s="8" t="n"/>
      <c r="P249" s="9" t="n"/>
      <c r="Q249" s="7" t="n"/>
      <c r="R249" s="7" t="n"/>
      <c r="S249" s="7" t="n"/>
      <c r="T249" s="7">
        <f>IF($R249="完了",$D249&amp;"|"&amp;TEXT($B249,"0"),"")</f>
        <v/>
      </c>
    </row>
    <row r="250">
      <c r="A250" s="7">
        <f>IF($B250="","",TEXT(YEAR($B250),"0000")&amp;"-"&amp;TEXT(SUMPRODUCT((YEAR($B$2:$B250)=YEAR($B250))*($B$2:$B250&lt;&gt;"")),"000"))</f>
        <v/>
      </c>
      <c r="B250" s="8" t="n"/>
      <c r="C250" s="7" t="n"/>
      <c r="D250" s="9" t="n"/>
      <c r="E250" s="7">
        <f>IFERROR(VLOOKUP($D250,商品マスタ範囲,4,FALSE),"")</f>
        <v/>
      </c>
      <c r="F250" s="7">
        <f>IFERROR(VLOOKUP($D250,商品マスタ範囲,2,FALSE),"")</f>
        <v/>
      </c>
      <c r="G250" s="7">
        <f>IFERROR(VLOOKUP($D250,商品マスタ範囲,3,FALSE),"")</f>
        <v/>
      </c>
      <c r="H250" s="40">
        <f>IFERROR(IF(SUMPRODUCT(MAX((案件入力!$D$2:$D$249=$D250)*(案件入力!$R$2:$R$249="完了")*(案件入力!$B$2:$B$249)))=0,VLOOKUP($D250,商品マスタ範囲,5,FALSE),INDEX(案件入力!$I$2:$I$249,MATCH($D250&amp;"|"&amp;TEXT(SUMPRODUCT(MAX((案件入力!$D$2:$D$249=$D250)*(案件入力!$R$2:$R$249="完了")*(案件入力!$B$2:$B$249))),"0"),案件入力!$T$2:$T$249,0))),"")</f>
        <v/>
      </c>
      <c r="I250" s="40" t="n"/>
      <c r="J250" s="11">
        <f>IF(OR($H250="",$I250=""),"",IFERROR(($I250-$H250)/$H250,""))</f>
        <v/>
      </c>
      <c r="K250" s="8" t="n"/>
      <c r="L250" s="40">
        <f>IFERROR(IF(SUMPRODUCT(MAX((案件入力!$D$2:$D$249=$D250)*(案件入力!$R$2:$R$249="完了")*(案件入力!$B$2:$B$249)))=0,VLOOKUP($D250,商品マスタ範囲,6,FALSE),INDEX(案件入力!$M$2:$M$249,MATCH($D250&amp;"|"&amp;TEXT(SUMPRODUCT(MAX((案件入力!$D$2:$D$249=$D250)*(案件入力!$R$2:$R$249="完了")*(案件入力!$B$2:$B$249))),"0"),案件入力!$T$2:$T$249,0))),"")</f>
        <v/>
      </c>
      <c r="M250" s="40" t="n"/>
      <c r="N250" s="11">
        <f>IF(OR($L250="",$M250=""),"",IFERROR(($M250-$L250)/$L250,""))</f>
        <v/>
      </c>
      <c r="O250" s="8" t="n"/>
      <c r="P250" s="9" t="n"/>
      <c r="Q250" s="7" t="n"/>
      <c r="R250" s="7" t="n"/>
      <c r="S250" s="7" t="n"/>
      <c r="T250" s="7">
        <f>IF($R250="完了",$D250&amp;"|"&amp;TEXT($B250,"0"),"")</f>
        <v/>
      </c>
    </row>
    <row r="251">
      <c r="A251" s="7">
        <f>IF($B251="","",TEXT(YEAR($B251),"0000")&amp;"-"&amp;TEXT(SUMPRODUCT((YEAR($B$2:$B251)=YEAR($B251))*($B$2:$B251&lt;&gt;"")),"000"))</f>
        <v/>
      </c>
      <c r="B251" s="8" t="n"/>
      <c r="C251" s="7" t="n"/>
      <c r="D251" s="9" t="n"/>
      <c r="E251" s="7">
        <f>IFERROR(VLOOKUP($D251,商品マスタ範囲,4,FALSE),"")</f>
        <v/>
      </c>
      <c r="F251" s="7">
        <f>IFERROR(VLOOKUP($D251,商品マスタ範囲,2,FALSE),"")</f>
        <v/>
      </c>
      <c r="G251" s="7">
        <f>IFERROR(VLOOKUP($D251,商品マスタ範囲,3,FALSE),"")</f>
        <v/>
      </c>
      <c r="H251" s="40">
        <f>IFERROR(IF(SUMPRODUCT(MAX((案件入力!$D$2:$D$250=$D251)*(案件入力!$R$2:$R$250="完了")*(案件入力!$B$2:$B$250)))=0,VLOOKUP($D251,商品マスタ範囲,5,FALSE),INDEX(案件入力!$I$2:$I$250,MATCH($D251&amp;"|"&amp;TEXT(SUMPRODUCT(MAX((案件入力!$D$2:$D$250=$D251)*(案件入力!$R$2:$R$250="完了")*(案件入力!$B$2:$B$250))),"0"),案件入力!$T$2:$T$250,0))),"")</f>
        <v/>
      </c>
      <c r="I251" s="40" t="n"/>
      <c r="J251" s="11">
        <f>IF(OR($H251="",$I251=""),"",IFERROR(($I251-$H251)/$H251,""))</f>
        <v/>
      </c>
      <c r="K251" s="8" t="n"/>
      <c r="L251" s="40">
        <f>IFERROR(IF(SUMPRODUCT(MAX((案件入力!$D$2:$D$250=$D251)*(案件入力!$R$2:$R$250="完了")*(案件入力!$B$2:$B$250)))=0,VLOOKUP($D251,商品マスタ範囲,6,FALSE),INDEX(案件入力!$M$2:$M$250,MATCH($D251&amp;"|"&amp;TEXT(SUMPRODUCT(MAX((案件入力!$D$2:$D$250=$D251)*(案件入力!$R$2:$R$250="完了")*(案件入力!$B$2:$B$250))),"0"),案件入力!$T$2:$T$250,0))),"")</f>
        <v/>
      </c>
      <c r="M251" s="40" t="n"/>
      <c r="N251" s="11">
        <f>IF(OR($L251="",$M251=""),"",IFERROR(($M251-$L251)/$L251,""))</f>
        <v/>
      </c>
      <c r="O251" s="8" t="n"/>
      <c r="P251" s="9" t="n"/>
      <c r="Q251" s="7" t="n"/>
      <c r="R251" s="7" t="n"/>
      <c r="S251" s="7" t="n"/>
      <c r="T251" s="7">
        <f>IF($R251="完了",$D251&amp;"|"&amp;TEXT($B251,"0"),"")</f>
        <v/>
      </c>
    </row>
    <row r="252">
      <c r="A252" s="7">
        <f>IF($B252="","",TEXT(YEAR($B252),"0000")&amp;"-"&amp;TEXT(SUMPRODUCT((YEAR($B$2:$B252)=YEAR($B252))*($B$2:$B252&lt;&gt;"")),"000"))</f>
        <v/>
      </c>
      <c r="B252" s="8" t="n"/>
      <c r="C252" s="7" t="n"/>
      <c r="D252" s="9" t="n"/>
      <c r="E252" s="7">
        <f>IFERROR(VLOOKUP($D252,商品マスタ範囲,4,FALSE),"")</f>
        <v/>
      </c>
      <c r="F252" s="7">
        <f>IFERROR(VLOOKUP($D252,商品マスタ範囲,2,FALSE),"")</f>
        <v/>
      </c>
      <c r="G252" s="7">
        <f>IFERROR(VLOOKUP($D252,商品マスタ範囲,3,FALSE),"")</f>
        <v/>
      </c>
      <c r="H252" s="40">
        <f>IFERROR(IF(SUMPRODUCT(MAX((案件入力!$D$2:$D$251=$D252)*(案件入力!$R$2:$R$251="完了")*(案件入力!$B$2:$B$251)))=0,VLOOKUP($D252,商品マスタ範囲,5,FALSE),INDEX(案件入力!$I$2:$I$251,MATCH($D252&amp;"|"&amp;TEXT(SUMPRODUCT(MAX((案件入力!$D$2:$D$251=$D252)*(案件入力!$R$2:$R$251="完了")*(案件入力!$B$2:$B$251))),"0"),案件入力!$T$2:$T$251,0))),"")</f>
        <v/>
      </c>
      <c r="I252" s="40" t="n"/>
      <c r="J252" s="11">
        <f>IF(OR($H252="",$I252=""),"",IFERROR(($I252-$H252)/$H252,""))</f>
        <v/>
      </c>
      <c r="K252" s="8" t="n"/>
      <c r="L252" s="40">
        <f>IFERROR(IF(SUMPRODUCT(MAX((案件入力!$D$2:$D$251=$D252)*(案件入力!$R$2:$R$251="完了")*(案件入力!$B$2:$B$251)))=0,VLOOKUP($D252,商品マスタ範囲,6,FALSE),INDEX(案件入力!$M$2:$M$251,MATCH($D252&amp;"|"&amp;TEXT(SUMPRODUCT(MAX((案件入力!$D$2:$D$251=$D252)*(案件入力!$R$2:$R$251="完了")*(案件入力!$B$2:$B$251))),"0"),案件入力!$T$2:$T$251,0))),"")</f>
        <v/>
      </c>
      <c r="M252" s="40" t="n"/>
      <c r="N252" s="11">
        <f>IF(OR($L252="",$M252=""),"",IFERROR(($M252-$L252)/$L252,""))</f>
        <v/>
      </c>
      <c r="O252" s="8" t="n"/>
      <c r="P252" s="9" t="n"/>
      <c r="Q252" s="7" t="n"/>
      <c r="R252" s="7" t="n"/>
      <c r="S252" s="7" t="n"/>
      <c r="T252" s="7">
        <f>IF($R252="完了",$D252&amp;"|"&amp;TEXT($B252,"0"),"")</f>
        <v/>
      </c>
    </row>
    <row r="253">
      <c r="A253" s="7">
        <f>IF($B253="","",TEXT(YEAR($B253),"0000")&amp;"-"&amp;TEXT(SUMPRODUCT((YEAR($B$2:$B253)=YEAR($B253))*($B$2:$B253&lt;&gt;"")),"000"))</f>
        <v/>
      </c>
      <c r="B253" s="8" t="n"/>
      <c r="C253" s="7" t="n"/>
      <c r="D253" s="9" t="n"/>
      <c r="E253" s="7">
        <f>IFERROR(VLOOKUP($D253,商品マスタ範囲,4,FALSE),"")</f>
        <v/>
      </c>
      <c r="F253" s="7">
        <f>IFERROR(VLOOKUP($D253,商品マスタ範囲,2,FALSE),"")</f>
        <v/>
      </c>
      <c r="G253" s="7">
        <f>IFERROR(VLOOKUP($D253,商品マスタ範囲,3,FALSE),"")</f>
        <v/>
      </c>
      <c r="H253" s="40">
        <f>IFERROR(IF(SUMPRODUCT(MAX((案件入力!$D$2:$D$252=$D253)*(案件入力!$R$2:$R$252="完了")*(案件入力!$B$2:$B$252)))=0,VLOOKUP($D253,商品マスタ範囲,5,FALSE),INDEX(案件入力!$I$2:$I$252,MATCH($D253&amp;"|"&amp;TEXT(SUMPRODUCT(MAX((案件入力!$D$2:$D$252=$D253)*(案件入力!$R$2:$R$252="完了")*(案件入力!$B$2:$B$252))),"0"),案件入力!$T$2:$T$252,0))),"")</f>
        <v/>
      </c>
      <c r="I253" s="40" t="n"/>
      <c r="J253" s="11">
        <f>IF(OR($H253="",$I253=""),"",IFERROR(($I253-$H253)/$H253,""))</f>
        <v/>
      </c>
      <c r="K253" s="8" t="n"/>
      <c r="L253" s="40">
        <f>IFERROR(IF(SUMPRODUCT(MAX((案件入力!$D$2:$D$252=$D253)*(案件入力!$R$2:$R$252="完了")*(案件入力!$B$2:$B$252)))=0,VLOOKUP($D253,商品マスタ範囲,6,FALSE),INDEX(案件入力!$M$2:$M$252,MATCH($D253&amp;"|"&amp;TEXT(SUMPRODUCT(MAX((案件入力!$D$2:$D$252=$D253)*(案件入力!$R$2:$R$252="完了")*(案件入力!$B$2:$B$252))),"0"),案件入力!$T$2:$T$252,0))),"")</f>
        <v/>
      </c>
      <c r="M253" s="40" t="n"/>
      <c r="N253" s="11">
        <f>IF(OR($L253="",$M253=""),"",IFERROR(($M253-$L253)/$L253,""))</f>
        <v/>
      </c>
      <c r="O253" s="8" t="n"/>
      <c r="P253" s="9" t="n"/>
      <c r="Q253" s="7" t="n"/>
      <c r="R253" s="7" t="n"/>
      <c r="S253" s="7" t="n"/>
      <c r="T253" s="7">
        <f>IF($R253="完了",$D253&amp;"|"&amp;TEXT($B253,"0"),"")</f>
        <v/>
      </c>
    </row>
    <row r="254">
      <c r="A254" s="7">
        <f>IF($B254="","",TEXT(YEAR($B254),"0000")&amp;"-"&amp;TEXT(SUMPRODUCT((YEAR($B$2:$B254)=YEAR($B254))*($B$2:$B254&lt;&gt;"")),"000"))</f>
        <v/>
      </c>
      <c r="B254" s="8" t="n"/>
      <c r="C254" s="7" t="n"/>
      <c r="D254" s="9" t="n"/>
      <c r="E254" s="7">
        <f>IFERROR(VLOOKUP($D254,商品マスタ範囲,4,FALSE),"")</f>
        <v/>
      </c>
      <c r="F254" s="7">
        <f>IFERROR(VLOOKUP($D254,商品マスタ範囲,2,FALSE),"")</f>
        <v/>
      </c>
      <c r="G254" s="7">
        <f>IFERROR(VLOOKUP($D254,商品マスタ範囲,3,FALSE),"")</f>
        <v/>
      </c>
      <c r="H254" s="40">
        <f>IFERROR(IF(SUMPRODUCT(MAX((案件入力!$D$2:$D$253=$D254)*(案件入力!$R$2:$R$253="完了")*(案件入力!$B$2:$B$253)))=0,VLOOKUP($D254,商品マスタ範囲,5,FALSE),INDEX(案件入力!$I$2:$I$253,MATCH($D254&amp;"|"&amp;TEXT(SUMPRODUCT(MAX((案件入力!$D$2:$D$253=$D254)*(案件入力!$R$2:$R$253="完了")*(案件入力!$B$2:$B$253))),"0"),案件入力!$T$2:$T$253,0))),"")</f>
        <v/>
      </c>
      <c r="I254" s="40" t="n"/>
      <c r="J254" s="11">
        <f>IF(OR($H254="",$I254=""),"",IFERROR(($I254-$H254)/$H254,""))</f>
        <v/>
      </c>
      <c r="K254" s="8" t="n"/>
      <c r="L254" s="40">
        <f>IFERROR(IF(SUMPRODUCT(MAX((案件入力!$D$2:$D$253=$D254)*(案件入力!$R$2:$R$253="完了")*(案件入力!$B$2:$B$253)))=0,VLOOKUP($D254,商品マスタ範囲,6,FALSE),INDEX(案件入力!$M$2:$M$253,MATCH($D254&amp;"|"&amp;TEXT(SUMPRODUCT(MAX((案件入力!$D$2:$D$253=$D254)*(案件入力!$R$2:$R$253="完了")*(案件入力!$B$2:$B$253))),"0"),案件入力!$T$2:$T$253,0))),"")</f>
        <v/>
      </c>
      <c r="M254" s="40" t="n"/>
      <c r="N254" s="11">
        <f>IF(OR($L254="",$M254=""),"",IFERROR(($M254-$L254)/$L254,""))</f>
        <v/>
      </c>
      <c r="O254" s="8" t="n"/>
      <c r="P254" s="9" t="n"/>
      <c r="Q254" s="7" t="n"/>
      <c r="R254" s="7" t="n"/>
      <c r="S254" s="7" t="n"/>
      <c r="T254" s="7">
        <f>IF($R254="完了",$D254&amp;"|"&amp;TEXT($B254,"0"),"")</f>
        <v/>
      </c>
    </row>
    <row r="255">
      <c r="A255" s="7">
        <f>IF($B255="","",TEXT(YEAR($B255),"0000")&amp;"-"&amp;TEXT(SUMPRODUCT((YEAR($B$2:$B255)=YEAR($B255))*($B$2:$B255&lt;&gt;"")),"000"))</f>
        <v/>
      </c>
      <c r="B255" s="8" t="n"/>
      <c r="C255" s="7" t="n"/>
      <c r="D255" s="9" t="n"/>
      <c r="E255" s="7">
        <f>IFERROR(VLOOKUP($D255,商品マスタ範囲,4,FALSE),"")</f>
        <v/>
      </c>
      <c r="F255" s="7">
        <f>IFERROR(VLOOKUP($D255,商品マスタ範囲,2,FALSE),"")</f>
        <v/>
      </c>
      <c r="G255" s="7">
        <f>IFERROR(VLOOKUP($D255,商品マスタ範囲,3,FALSE),"")</f>
        <v/>
      </c>
      <c r="H255" s="40">
        <f>IFERROR(IF(SUMPRODUCT(MAX((案件入力!$D$2:$D$254=$D255)*(案件入力!$R$2:$R$254="完了")*(案件入力!$B$2:$B$254)))=0,VLOOKUP($D255,商品マスタ範囲,5,FALSE),INDEX(案件入力!$I$2:$I$254,MATCH($D255&amp;"|"&amp;TEXT(SUMPRODUCT(MAX((案件入力!$D$2:$D$254=$D255)*(案件入力!$R$2:$R$254="完了")*(案件入力!$B$2:$B$254))),"0"),案件入力!$T$2:$T$254,0))),"")</f>
        <v/>
      </c>
      <c r="I255" s="40" t="n"/>
      <c r="J255" s="11">
        <f>IF(OR($H255="",$I255=""),"",IFERROR(($I255-$H255)/$H255,""))</f>
        <v/>
      </c>
      <c r="K255" s="8" t="n"/>
      <c r="L255" s="40">
        <f>IFERROR(IF(SUMPRODUCT(MAX((案件入力!$D$2:$D$254=$D255)*(案件入力!$R$2:$R$254="完了")*(案件入力!$B$2:$B$254)))=0,VLOOKUP($D255,商品マスタ範囲,6,FALSE),INDEX(案件入力!$M$2:$M$254,MATCH($D255&amp;"|"&amp;TEXT(SUMPRODUCT(MAX((案件入力!$D$2:$D$254=$D255)*(案件入力!$R$2:$R$254="完了")*(案件入力!$B$2:$B$254))),"0"),案件入力!$T$2:$T$254,0))),"")</f>
        <v/>
      </c>
      <c r="M255" s="40" t="n"/>
      <c r="N255" s="11">
        <f>IF(OR($L255="",$M255=""),"",IFERROR(($M255-$L255)/$L255,""))</f>
        <v/>
      </c>
      <c r="O255" s="8" t="n"/>
      <c r="P255" s="9" t="n"/>
      <c r="Q255" s="7" t="n"/>
      <c r="R255" s="7" t="n"/>
      <c r="S255" s="7" t="n"/>
      <c r="T255" s="7">
        <f>IF($R255="完了",$D255&amp;"|"&amp;TEXT($B255,"0"),"")</f>
        <v/>
      </c>
    </row>
    <row r="256">
      <c r="A256" s="7">
        <f>IF($B256="","",TEXT(YEAR($B256),"0000")&amp;"-"&amp;TEXT(SUMPRODUCT((YEAR($B$2:$B256)=YEAR($B256))*($B$2:$B256&lt;&gt;"")),"000"))</f>
        <v/>
      </c>
      <c r="B256" s="8" t="n"/>
      <c r="C256" s="7" t="n"/>
      <c r="D256" s="9" t="n"/>
      <c r="E256" s="7">
        <f>IFERROR(VLOOKUP($D256,商品マスタ範囲,4,FALSE),"")</f>
        <v/>
      </c>
      <c r="F256" s="7">
        <f>IFERROR(VLOOKUP($D256,商品マスタ範囲,2,FALSE),"")</f>
        <v/>
      </c>
      <c r="G256" s="7">
        <f>IFERROR(VLOOKUP($D256,商品マスタ範囲,3,FALSE),"")</f>
        <v/>
      </c>
      <c r="H256" s="40">
        <f>IFERROR(IF(SUMPRODUCT(MAX((案件入力!$D$2:$D$255=$D256)*(案件入力!$R$2:$R$255="完了")*(案件入力!$B$2:$B$255)))=0,VLOOKUP($D256,商品マスタ範囲,5,FALSE),INDEX(案件入力!$I$2:$I$255,MATCH($D256&amp;"|"&amp;TEXT(SUMPRODUCT(MAX((案件入力!$D$2:$D$255=$D256)*(案件入力!$R$2:$R$255="完了")*(案件入力!$B$2:$B$255))),"0"),案件入力!$T$2:$T$255,0))),"")</f>
        <v/>
      </c>
      <c r="I256" s="40" t="n"/>
      <c r="J256" s="11">
        <f>IF(OR($H256="",$I256=""),"",IFERROR(($I256-$H256)/$H256,""))</f>
        <v/>
      </c>
      <c r="K256" s="8" t="n"/>
      <c r="L256" s="40">
        <f>IFERROR(IF(SUMPRODUCT(MAX((案件入力!$D$2:$D$255=$D256)*(案件入力!$R$2:$R$255="完了")*(案件入力!$B$2:$B$255)))=0,VLOOKUP($D256,商品マスタ範囲,6,FALSE),INDEX(案件入力!$M$2:$M$255,MATCH($D256&amp;"|"&amp;TEXT(SUMPRODUCT(MAX((案件入力!$D$2:$D$255=$D256)*(案件入力!$R$2:$R$255="完了")*(案件入力!$B$2:$B$255))),"0"),案件入力!$T$2:$T$255,0))),"")</f>
        <v/>
      </c>
      <c r="M256" s="40" t="n"/>
      <c r="N256" s="11">
        <f>IF(OR($L256="",$M256=""),"",IFERROR(($M256-$L256)/$L256,""))</f>
        <v/>
      </c>
      <c r="O256" s="8" t="n"/>
      <c r="P256" s="9" t="n"/>
      <c r="Q256" s="7" t="n"/>
      <c r="R256" s="7" t="n"/>
      <c r="S256" s="7" t="n"/>
      <c r="T256" s="7">
        <f>IF($R256="完了",$D256&amp;"|"&amp;TEXT($B256,"0"),"")</f>
        <v/>
      </c>
    </row>
    <row r="257">
      <c r="A257" s="7">
        <f>IF($B257="","",TEXT(YEAR($B257),"0000")&amp;"-"&amp;TEXT(SUMPRODUCT((YEAR($B$2:$B257)=YEAR($B257))*($B$2:$B257&lt;&gt;"")),"000"))</f>
        <v/>
      </c>
      <c r="B257" s="8" t="n"/>
      <c r="C257" s="7" t="n"/>
      <c r="D257" s="9" t="n"/>
      <c r="E257" s="7">
        <f>IFERROR(VLOOKUP($D257,商品マスタ範囲,4,FALSE),"")</f>
        <v/>
      </c>
      <c r="F257" s="7">
        <f>IFERROR(VLOOKUP($D257,商品マスタ範囲,2,FALSE),"")</f>
        <v/>
      </c>
      <c r="G257" s="7">
        <f>IFERROR(VLOOKUP($D257,商品マスタ範囲,3,FALSE),"")</f>
        <v/>
      </c>
      <c r="H257" s="40">
        <f>IFERROR(IF(SUMPRODUCT(MAX((案件入力!$D$2:$D$256=$D257)*(案件入力!$R$2:$R$256="完了")*(案件入力!$B$2:$B$256)))=0,VLOOKUP($D257,商品マスタ範囲,5,FALSE),INDEX(案件入力!$I$2:$I$256,MATCH($D257&amp;"|"&amp;TEXT(SUMPRODUCT(MAX((案件入力!$D$2:$D$256=$D257)*(案件入力!$R$2:$R$256="完了")*(案件入力!$B$2:$B$256))),"0"),案件入力!$T$2:$T$256,0))),"")</f>
        <v/>
      </c>
      <c r="I257" s="40" t="n"/>
      <c r="J257" s="11">
        <f>IF(OR($H257="",$I257=""),"",IFERROR(($I257-$H257)/$H257,""))</f>
        <v/>
      </c>
      <c r="K257" s="8" t="n"/>
      <c r="L257" s="40">
        <f>IFERROR(IF(SUMPRODUCT(MAX((案件入力!$D$2:$D$256=$D257)*(案件入力!$R$2:$R$256="完了")*(案件入力!$B$2:$B$256)))=0,VLOOKUP($D257,商品マスタ範囲,6,FALSE),INDEX(案件入力!$M$2:$M$256,MATCH($D257&amp;"|"&amp;TEXT(SUMPRODUCT(MAX((案件入力!$D$2:$D$256=$D257)*(案件入力!$R$2:$R$256="完了")*(案件入力!$B$2:$B$256))),"0"),案件入力!$T$2:$T$256,0))),"")</f>
        <v/>
      </c>
      <c r="M257" s="40" t="n"/>
      <c r="N257" s="11">
        <f>IF(OR($L257="",$M257=""),"",IFERROR(($M257-$L257)/$L257,""))</f>
        <v/>
      </c>
      <c r="O257" s="8" t="n"/>
      <c r="P257" s="9" t="n"/>
      <c r="Q257" s="7" t="n"/>
      <c r="R257" s="7" t="n"/>
      <c r="S257" s="7" t="n"/>
      <c r="T257" s="7">
        <f>IF($R257="完了",$D257&amp;"|"&amp;TEXT($B257,"0"),"")</f>
        <v/>
      </c>
    </row>
    <row r="258">
      <c r="A258" s="7">
        <f>IF($B258="","",TEXT(YEAR($B258),"0000")&amp;"-"&amp;TEXT(SUMPRODUCT((YEAR($B$2:$B258)=YEAR($B258))*($B$2:$B258&lt;&gt;"")),"000"))</f>
        <v/>
      </c>
      <c r="B258" s="8" t="n"/>
      <c r="C258" s="7" t="n"/>
      <c r="D258" s="9" t="n"/>
      <c r="E258" s="7">
        <f>IFERROR(VLOOKUP($D258,商品マスタ範囲,4,FALSE),"")</f>
        <v/>
      </c>
      <c r="F258" s="7">
        <f>IFERROR(VLOOKUP($D258,商品マスタ範囲,2,FALSE),"")</f>
        <v/>
      </c>
      <c r="G258" s="7">
        <f>IFERROR(VLOOKUP($D258,商品マスタ範囲,3,FALSE),"")</f>
        <v/>
      </c>
      <c r="H258" s="40">
        <f>IFERROR(IF(SUMPRODUCT(MAX((案件入力!$D$2:$D$257=$D258)*(案件入力!$R$2:$R$257="完了")*(案件入力!$B$2:$B$257)))=0,VLOOKUP($D258,商品マスタ範囲,5,FALSE),INDEX(案件入力!$I$2:$I$257,MATCH($D258&amp;"|"&amp;TEXT(SUMPRODUCT(MAX((案件入力!$D$2:$D$257=$D258)*(案件入力!$R$2:$R$257="完了")*(案件入力!$B$2:$B$257))),"0"),案件入力!$T$2:$T$257,0))),"")</f>
        <v/>
      </c>
      <c r="I258" s="40" t="n"/>
      <c r="J258" s="11">
        <f>IF(OR($H258="",$I258=""),"",IFERROR(($I258-$H258)/$H258,""))</f>
        <v/>
      </c>
      <c r="K258" s="8" t="n"/>
      <c r="L258" s="40">
        <f>IFERROR(IF(SUMPRODUCT(MAX((案件入力!$D$2:$D$257=$D258)*(案件入力!$R$2:$R$257="完了")*(案件入力!$B$2:$B$257)))=0,VLOOKUP($D258,商品マスタ範囲,6,FALSE),INDEX(案件入力!$M$2:$M$257,MATCH($D258&amp;"|"&amp;TEXT(SUMPRODUCT(MAX((案件入力!$D$2:$D$257=$D258)*(案件入力!$R$2:$R$257="完了")*(案件入力!$B$2:$B$257))),"0"),案件入力!$T$2:$T$257,0))),"")</f>
        <v/>
      </c>
      <c r="M258" s="40" t="n"/>
      <c r="N258" s="11">
        <f>IF(OR($L258="",$M258=""),"",IFERROR(($M258-$L258)/$L258,""))</f>
        <v/>
      </c>
      <c r="O258" s="8" t="n"/>
      <c r="P258" s="9" t="n"/>
      <c r="Q258" s="7" t="n"/>
      <c r="R258" s="7" t="n"/>
      <c r="S258" s="7" t="n"/>
      <c r="T258" s="7">
        <f>IF($R258="完了",$D258&amp;"|"&amp;TEXT($B258,"0"),"")</f>
        <v/>
      </c>
    </row>
    <row r="259">
      <c r="A259" s="7">
        <f>IF($B259="","",TEXT(YEAR($B259),"0000")&amp;"-"&amp;TEXT(SUMPRODUCT((YEAR($B$2:$B259)=YEAR($B259))*($B$2:$B259&lt;&gt;"")),"000"))</f>
        <v/>
      </c>
      <c r="B259" s="8" t="n"/>
      <c r="C259" s="7" t="n"/>
      <c r="D259" s="9" t="n"/>
      <c r="E259" s="7">
        <f>IFERROR(VLOOKUP($D259,商品マスタ範囲,4,FALSE),"")</f>
        <v/>
      </c>
      <c r="F259" s="7">
        <f>IFERROR(VLOOKUP($D259,商品マスタ範囲,2,FALSE),"")</f>
        <v/>
      </c>
      <c r="G259" s="7">
        <f>IFERROR(VLOOKUP($D259,商品マスタ範囲,3,FALSE),"")</f>
        <v/>
      </c>
      <c r="H259" s="40">
        <f>IFERROR(IF(SUMPRODUCT(MAX((案件入力!$D$2:$D$258=$D259)*(案件入力!$R$2:$R$258="完了")*(案件入力!$B$2:$B$258)))=0,VLOOKUP($D259,商品マスタ範囲,5,FALSE),INDEX(案件入力!$I$2:$I$258,MATCH($D259&amp;"|"&amp;TEXT(SUMPRODUCT(MAX((案件入力!$D$2:$D$258=$D259)*(案件入力!$R$2:$R$258="完了")*(案件入力!$B$2:$B$258))),"0"),案件入力!$T$2:$T$258,0))),"")</f>
        <v/>
      </c>
      <c r="I259" s="40" t="n"/>
      <c r="J259" s="11">
        <f>IF(OR($H259="",$I259=""),"",IFERROR(($I259-$H259)/$H259,""))</f>
        <v/>
      </c>
      <c r="K259" s="8" t="n"/>
      <c r="L259" s="40">
        <f>IFERROR(IF(SUMPRODUCT(MAX((案件入力!$D$2:$D$258=$D259)*(案件入力!$R$2:$R$258="完了")*(案件入力!$B$2:$B$258)))=0,VLOOKUP($D259,商品マスタ範囲,6,FALSE),INDEX(案件入力!$M$2:$M$258,MATCH($D259&amp;"|"&amp;TEXT(SUMPRODUCT(MAX((案件入力!$D$2:$D$258=$D259)*(案件入力!$R$2:$R$258="完了")*(案件入力!$B$2:$B$258))),"0"),案件入力!$T$2:$T$258,0))),"")</f>
        <v/>
      </c>
      <c r="M259" s="40" t="n"/>
      <c r="N259" s="11">
        <f>IF(OR($L259="",$M259=""),"",IFERROR(($M259-$L259)/$L259,""))</f>
        <v/>
      </c>
      <c r="O259" s="8" t="n"/>
      <c r="P259" s="9" t="n"/>
      <c r="Q259" s="7" t="n"/>
      <c r="R259" s="7" t="n"/>
      <c r="S259" s="7" t="n"/>
      <c r="T259" s="7">
        <f>IF($R259="完了",$D259&amp;"|"&amp;TEXT($B259,"0"),"")</f>
        <v/>
      </c>
    </row>
    <row r="260">
      <c r="A260" s="7">
        <f>IF($B260="","",TEXT(YEAR($B260),"0000")&amp;"-"&amp;TEXT(SUMPRODUCT((YEAR($B$2:$B260)=YEAR($B260))*($B$2:$B260&lt;&gt;"")),"000"))</f>
        <v/>
      </c>
      <c r="B260" s="8" t="n"/>
      <c r="C260" s="7" t="n"/>
      <c r="D260" s="9" t="n"/>
      <c r="E260" s="7">
        <f>IFERROR(VLOOKUP($D260,商品マスタ範囲,4,FALSE),"")</f>
        <v/>
      </c>
      <c r="F260" s="7">
        <f>IFERROR(VLOOKUP($D260,商品マスタ範囲,2,FALSE),"")</f>
        <v/>
      </c>
      <c r="G260" s="7">
        <f>IFERROR(VLOOKUP($D260,商品マスタ範囲,3,FALSE),"")</f>
        <v/>
      </c>
      <c r="H260" s="40">
        <f>IFERROR(IF(SUMPRODUCT(MAX((案件入力!$D$2:$D$259=$D260)*(案件入力!$R$2:$R$259="完了")*(案件入力!$B$2:$B$259)))=0,VLOOKUP($D260,商品マスタ範囲,5,FALSE),INDEX(案件入力!$I$2:$I$259,MATCH($D260&amp;"|"&amp;TEXT(SUMPRODUCT(MAX((案件入力!$D$2:$D$259=$D260)*(案件入力!$R$2:$R$259="完了")*(案件入力!$B$2:$B$259))),"0"),案件入力!$T$2:$T$259,0))),"")</f>
        <v/>
      </c>
      <c r="I260" s="40" t="n"/>
      <c r="J260" s="11">
        <f>IF(OR($H260="",$I260=""),"",IFERROR(($I260-$H260)/$H260,""))</f>
        <v/>
      </c>
      <c r="K260" s="8" t="n"/>
      <c r="L260" s="40">
        <f>IFERROR(IF(SUMPRODUCT(MAX((案件入力!$D$2:$D$259=$D260)*(案件入力!$R$2:$R$259="完了")*(案件入力!$B$2:$B$259)))=0,VLOOKUP($D260,商品マスタ範囲,6,FALSE),INDEX(案件入力!$M$2:$M$259,MATCH($D260&amp;"|"&amp;TEXT(SUMPRODUCT(MAX((案件入力!$D$2:$D$259=$D260)*(案件入力!$R$2:$R$259="完了")*(案件入力!$B$2:$B$259))),"0"),案件入力!$T$2:$T$259,0))),"")</f>
        <v/>
      </c>
      <c r="M260" s="40" t="n"/>
      <c r="N260" s="11">
        <f>IF(OR($L260="",$M260=""),"",IFERROR(($M260-$L260)/$L260,""))</f>
        <v/>
      </c>
      <c r="O260" s="8" t="n"/>
      <c r="P260" s="9" t="n"/>
      <c r="Q260" s="7" t="n"/>
      <c r="R260" s="7" t="n"/>
      <c r="S260" s="7" t="n"/>
      <c r="T260" s="7">
        <f>IF($R260="完了",$D260&amp;"|"&amp;TEXT($B260,"0"),"")</f>
        <v/>
      </c>
    </row>
    <row r="261">
      <c r="A261" s="7">
        <f>IF($B261="","",TEXT(YEAR($B261),"0000")&amp;"-"&amp;TEXT(SUMPRODUCT((YEAR($B$2:$B261)=YEAR($B261))*($B$2:$B261&lt;&gt;"")),"000"))</f>
        <v/>
      </c>
      <c r="B261" s="8" t="n"/>
      <c r="C261" s="7" t="n"/>
      <c r="D261" s="9" t="n"/>
      <c r="E261" s="7">
        <f>IFERROR(VLOOKUP($D261,商品マスタ範囲,4,FALSE),"")</f>
        <v/>
      </c>
      <c r="F261" s="7">
        <f>IFERROR(VLOOKUP($D261,商品マスタ範囲,2,FALSE),"")</f>
        <v/>
      </c>
      <c r="G261" s="7">
        <f>IFERROR(VLOOKUP($D261,商品マスタ範囲,3,FALSE),"")</f>
        <v/>
      </c>
      <c r="H261" s="40">
        <f>IFERROR(IF(SUMPRODUCT(MAX((案件入力!$D$2:$D$260=$D261)*(案件入力!$R$2:$R$260="完了")*(案件入力!$B$2:$B$260)))=0,VLOOKUP($D261,商品マスタ範囲,5,FALSE),INDEX(案件入力!$I$2:$I$260,MATCH($D261&amp;"|"&amp;TEXT(SUMPRODUCT(MAX((案件入力!$D$2:$D$260=$D261)*(案件入力!$R$2:$R$260="完了")*(案件入力!$B$2:$B$260))),"0"),案件入力!$T$2:$T$260,0))),"")</f>
        <v/>
      </c>
      <c r="I261" s="40" t="n"/>
      <c r="J261" s="11">
        <f>IF(OR($H261="",$I261=""),"",IFERROR(($I261-$H261)/$H261,""))</f>
        <v/>
      </c>
      <c r="K261" s="8" t="n"/>
      <c r="L261" s="40">
        <f>IFERROR(IF(SUMPRODUCT(MAX((案件入力!$D$2:$D$260=$D261)*(案件入力!$R$2:$R$260="完了")*(案件入力!$B$2:$B$260)))=0,VLOOKUP($D261,商品マスタ範囲,6,FALSE),INDEX(案件入力!$M$2:$M$260,MATCH($D261&amp;"|"&amp;TEXT(SUMPRODUCT(MAX((案件入力!$D$2:$D$260=$D261)*(案件入力!$R$2:$R$260="完了")*(案件入力!$B$2:$B$260))),"0"),案件入力!$T$2:$T$260,0))),"")</f>
        <v/>
      </c>
      <c r="M261" s="40" t="n"/>
      <c r="N261" s="11">
        <f>IF(OR($L261="",$M261=""),"",IFERROR(($M261-$L261)/$L261,""))</f>
        <v/>
      </c>
      <c r="O261" s="8" t="n"/>
      <c r="P261" s="9" t="n"/>
      <c r="Q261" s="7" t="n"/>
      <c r="R261" s="7" t="n"/>
      <c r="S261" s="7" t="n"/>
      <c r="T261" s="7">
        <f>IF($R261="完了",$D261&amp;"|"&amp;TEXT($B261,"0"),"")</f>
        <v/>
      </c>
    </row>
    <row r="262">
      <c r="A262" s="7">
        <f>IF($B262="","",TEXT(YEAR($B262),"0000")&amp;"-"&amp;TEXT(SUMPRODUCT((YEAR($B$2:$B262)=YEAR($B262))*($B$2:$B262&lt;&gt;"")),"000"))</f>
        <v/>
      </c>
      <c r="B262" s="8" t="n"/>
      <c r="C262" s="7" t="n"/>
      <c r="D262" s="9" t="n"/>
      <c r="E262" s="7">
        <f>IFERROR(VLOOKUP($D262,商品マスタ範囲,4,FALSE),"")</f>
        <v/>
      </c>
      <c r="F262" s="7">
        <f>IFERROR(VLOOKUP($D262,商品マスタ範囲,2,FALSE),"")</f>
        <v/>
      </c>
      <c r="G262" s="7">
        <f>IFERROR(VLOOKUP($D262,商品マスタ範囲,3,FALSE),"")</f>
        <v/>
      </c>
      <c r="H262" s="40">
        <f>IFERROR(IF(SUMPRODUCT(MAX((案件入力!$D$2:$D$261=$D262)*(案件入力!$R$2:$R$261="完了")*(案件入力!$B$2:$B$261)))=0,VLOOKUP($D262,商品マスタ範囲,5,FALSE),INDEX(案件入力!$I$2:$I$261,MATCH($D262&amp;"|"&amp;TEXT(SUMPRODUCT(MAX((案件入力!$D$2:$D$261=$D262)*(案件入力!$R$2:$R$261="完了")*(案件入力!$B$2:$B$261))),"0"),案件入力!$T$2:$T$261,0))),"")</f>
        <v/>
      </c>
      <c r="I262" s="40" t="n"/>
      <c r="J262" s="11">
        <f>IF(OR($H262="",$I262=""),"",IFERROR(($I262-$H262)/$H262,""))</f>
        <v/>
      </c>
      <c r="K262" s="8" t="n"/>
      <c r="L262" s="40">
        <f>IFERROR(IF(SUMPRODUCT(MAX((案件入力!$D$2:$D$261=$D262)*(案件入力!$R$2:$R$261="完了")*(案件入力!$B$2:$B$261)))=0,VLOOKUP($D262,商品マスタ範囲,6,FALSE),INDEX(案件入力!$M$2:$M$261,MATCH($D262&amp;"|"&amp;TEXT(SUMPRODUCT(MAX((案件入力!$D$2:$D$261=$D262)*(案件入力!$R$2:$R$261="完了")*(案件入力!$B$2:$B$261))),"0"),案件入力!$T$2:$T$261,0))),"")</f>
        <v/>
      </c>
      <c r="M262" s="40" t="n"/>
      <c r="N262" s="11">
        <f>IF(OR($L262="",$M262=""),"",IFERROR(($M262-$L262)/$L262,""))</f>
        <v/>
      </c>
      <c r="O262" s="8" t="n"/>
      <c r="P262" s="9" t="n"/>
      <c r="Q262" s="7" t="n"/>
      <c r="R262" s="7" t="n"/>
      <c r="S262" s="7" t="n"/>
      <c r="T262" s="7">
        <f>IF($R262="完了",$D262&amp;"|"&amp;TEXT($B262,"0"),"")</f>
        <v/>
      </c>
    </row>
    <row r="263">
      <c r="A263" s="7">
        <f>IF($B263="","",TEXT(YEAR($B263),"0000")&amp;"-"&amp;TEXT(SUMPRODUCT((YEAR($B$2:$B263)=YEAR($B263))*($B$2:$B263&lt;&gt;"")),"000"))</f>
        <v/>
      </c>
      <c r="B263" s="8" t="n"/>
      <c r="C263" s="7" t="n"/>
      <c r="D263" s="9" t="n"/>
      <c r="E263" s="7">
        <f>IFERROR(VLOOKUP($D263,商品マスタ範囲,4,FALSE),"")</f>
        <v/>
      </c>
      <c r="F263" s="7">
        <f>IFERROR(VLOOKUP($D263,商品マスタ範囲,2,FALSE),"")</f>
        <v/>
      </c>
      <c r="G263" s="7">
        <f>IFERROR(VLOOKUP($D263,商品マスタ範囲,3,FALSE),"")</f>
        <v/>
      </c>
      <c r="H263" s="40">
        <f>IFERROR(IF(SUMPRODUCT(MAX((案件入力!$D$2:$D$262=$D263)*(案件入力!$R$2:$R$262="完了")*(案件入力!$B$2:$B$262)))=0,VLOOKUP($D263,商品マスタ範囲,5,FALSE),INDEX(案件入力!$I$2:$I$262,MATCH($D263&amp;"|"&amp;TEXT(SUMPRODUCT(MAX((案件入力!$D$2:$D$262=$D263)*(案件入力!$R$2:$R$262="完了")*(案件入力!$B$2:$B$262))),"0"),案件入力!$T$2:$T$262,0))),"")</f>
        <v/>
      </c>
      <c r="I263" s="40" t="n"/>
      <c r="J263" s="11">
        <f>IF(OR($H263="",$I263=""),"",IFERROR(($I263-$H263)/$H263,""))</f>
        <v/>
      </c>
      <c r="K263" s="8" t="n"/>
      <c r="L263" s="40">
        <f>IFERROR(IF(SUMPRODUCT(MAX((案件入力!$D$2:$D$262=$D263)*(案件入力!$R$2:$R$262="完了")*(案件入力!$B$2:$B$262)))=0,VLOOKUP($D263,商品マスタ範囲,6,FALSE),INDEX(案件入力!$M$2:$M$262,MATCH($D263&amp;"|"&amp;TEXT(SUMPRODUCT(MAX((案件入力!$D$2:$D$262=$D263)*(案件入力!$R$2:$R$262="完了")*(案件入力!$B$2:$B$262))),"0"),案件入力!$T$2:$T$262,0))),"")</f>
        <v/>
      </c>
      <c r="M263" s="40" t="n"/>
      <c r="N263" s="11">
        <f>IF(OR($L263="",$M263=""),"",IFERROR(($M263-$L263)/$L263,""))</f>
        <v/>
      </c>
      <c r="O263" s="8" t="n"/>
      <c r="P263" s="9" t="n"/>
      <c r="Q263" s="7" t="n"/>
      <c r="R263" s="7" t="n"/>
      <c r="S263" s="7" t="n"/>
      <c r="T263" s="7">
        <f>IF($R263="完了",$D263&amp;"|"&amp;TEXT($B263,"0"),"")</f>
        <v/>
      </c>
    </row>
    <row r="264">
      <c r="A264" s="7">
        <f>IF($B264="","",TEXT(YEAR($B264),"0000")&amp;"-"&amp;TEXT(SUMPRODUCT((YEAR($B$2:$B264)=YEAR($B264))*($B$2:$B264&lt;&gt;"")),"000"))</f>
        <v/>
      </c>
      <c r="B264" s="8" t="n"/>
      <c r="C264" s="7" t="n"/>
      <c r="D264" s="9" t="n"/>
      <c r="E264" s="7">
        <f>IFERROR(VLOOKUP($D264,商品マスタ範囲,4,FALSE),"")</f>
        <v/>
      </c>
      <c r="F264" s="7">
        <f>IFERROR(VLOOKUP($D264,商品マスタ範囲,2,FALSE),"")</f>
        <v/>
      </c>
      <c r="G264" s="7">
        <f>IFERROR(VLOOKUP($D264,商品マスタ範囲,3,FALSE),"")</f>
        <v/>
      </c>
      <c r="H264" s="40">
        <f>IFERROR(IF(SUMPRODUCT(MAX((案件入力!$D$2:$D$263=$D264)*(案件入力!$R$2:$R$263="完了")*(案件入力!$B$2:$B$263)))=0,VLOOKUP($D264,商品マスタ範囲,5,FALSE),INDEX(案件入力!$I$2:$I$263,MATCH($D264&amp;"|"&amp;TEXT(SUMPRODUCT(MAX((案件入力!$D$2:$D$263=$D264)*(案件入力!$R$2:$R$263="完了")*(案件入力!$B$2:$B$263))),"0"),案件入力!$T$2:$T$263,0))),"")</f>
        <v/>
      </c>
      <c r="I264" s="40" t="n"/>
      <c r="J264" s="11">
        <f>IF(OR($H264="",$I264=""),"",IFERROR(($I264-$H264)/$H264,""))</f>
        <v/>
      </c>
      <c r="K264" s="8" t="n"/>
      <c r="L264" s="40">
        <f>IFERROR(IF(SUMPRODUCT(MAX((案件入力!$D$2:$D$263=$D264)*(案件入力!$R$2:$R$263="完了")*(案件入力!$B$2:$B$263)))=0,VLOOKUP($D264,商品マスタ範囲,6,FALSE),INDEX(案件入力!$M$2:$M$263,MATCH($D264&amp;"|"&amp;TEXT(SUMPRODUCT(MAX((案件入力!$D$2:$D$263=$D264)*(案件入力!$R$2:$R$263="完了")*(案件入力!$B$2:$B$263))),"0"),案件入力!$T$2:$T$263,0))),"")</f>
        <v/>
      </c>
      <c r="M264" s="40" t="n"/>
      <c r="N264" s="11">
        <f>IF(OR($L264="",$M264=""),"",IFERROR(($M264-$L264)/$L264,""))</f>
        <v/>
      </c>
      <c r="O264" s="8" t="n"/>
      <c r="P264" s="9" t="n"/>
      <c r="Q264" s="7" t="n"/>
      <c r="R264" s="7" t="n"/>
      <c r="S264" s="7" t="n"/>
      <c r="T264" s="7">
        <f>IF($R264="完了",$D264&amp;"|"&amp;TEXT($B264,"0"),"")</f>
        <v/>
      </c>
    </row>
    <row r="265">
      <c r="A265" s="7">
        <f>IF($B265="","",TEXT(YEAR($B265),"0000")&amp;"-"&amp;TEXT(SUMPRODUCT((YEAR($B$2:$B265)=YEAR($B265))*($B$2:$B265&lt;&gt;"")),"000"))</f>
        <v/>
      </c>
      <c r="B265" s="8" t="n"/>
      <c r="C265" s="7" t="n"/>
      <c r="D265" s="9" t="n"/>
      <c r="E265" s="7">
        <f>IFERROR(VLOOKUP($D265,商品マスタ範囲,4,FALSE),"")</f>
        <v/>
      </c>
      <c r="F265" s="7">
        <f>IFERROR(VLOOKUP($D265,商品マスタ範囲,2,FALSE),"")</f>
        <v/>
      </c>
      <c r="G265" s="7">
        <f>IFERROR(VLOOKUP($D265,商品マスタ範囲,3,FALSE),"")</f>
        <v/>
      </c>
      <c r="H265" s="40">
        <f>IFERROR(IF(SUMPRODUCT(MAX((案件入力!$D$2:$D$264=$D265)*(案件入力!$R$2:$R$264="完了")*(案件入力!$B$2:$B$264)))=0,VLOOKUP($D265,商品マスタ範囲,5,FALSE),INDEX(案件入力!$I$2:$I$264,MATCH($D265&amp;"|"&amp;TEXT(SUMPRODUCT(MAX((案件入力!$D$2:$D$264=$D265)*(案件入力!$R$2:$R$264="完了")*(案件入力!$B$2:$B$264))),"0"),案件入力!$T$2:$T$264,0))),"")</f>
        <v/>
      </c>
      <c r="I265" s="40" t="n"/>
      <c r="J265" s="11">
        <f>IF(OR($H265="",$I265=""),"",IFERROR(($I265-$H265)/$H265,""))</f>
        <v/>
      </c>
      <c r="K265" s="8" t="n"/>
      <c r="L265" s="40">
        <f>IFERROR(IF(SUMPRODUCT(MAX((案件入力!$D$2:$D$264=$D265)*(案件入力!$R$2:$R$264="完了")*(案件入力!$B$2:$B$264)))=0,VLOOKUP($D265,商品マスタ範囲,6,FALSE),INDEX(案件入力!$M$2:$M$264,MATCH($D265&amp;"|"&amp;TEXT(SUMPRODUCT(MAX((案件入力!$D$2:$D$264=$D265)*(案件入力!$R$2:$R$264="完了")*(案件入力!$B$2:$B$264))),"0"),案件入力!$T$2:$T$264,0))),"")</f>
        <v/>
      </c>
      <c r="M265" s="40" t="n"/>
      <c r="N265" s="11">
        <f>IF(OR($L265="",$M265=""),"",IFERROR(($M265-$L265)/$L265,""))</f>
        <v/>
      </c>
      <c r="O265" s="8" t="n"/>
      <c r="P265" s="9" t="n"/>
      <c r="Q265" s="7" t="n"/>
      <c r="R265" s="7" t="n"/>
      <c r="S265" s="7" t="n"/>
      <c r="T265" s="7">
        <f>IF($R265="完了",$D265&amp;"|"&amp;TEXT($B265,"0"),"")</f>
        <v/>
      </c>
    </row>
    <row r="266">
      <c r="A266" s="7">
        <f>IF($B266="","",TEXT(YEAR($B266),"0000")&amp;"-"&amp;TEXT(SUMPRODUCT((YEAR($B$2:$B266)=YEAR($B266))*($B$2:$B266&lt;&gt;"")),"000"))</f>
        <v/>
      </c>
      <c r="B266" s="8" t="n"/>
      <c r="C266" s="7" t="n"/>
      <c r="D266" s="9" t="n"/>
      <c r="E266" s="7">
        <f>IFERROR(VLOOKUP($D266,商品マスタ範囲,4,FALSE),"")</f>
        <v/>
      </c>
      <c r="F266" s="7">
        <f>IFERROR(VLOOKUP($D266,商品マスタ範囲,2,FALSE),"")</f>
        <v/>
      </c>
      <c r="G266" s="7">
        <f>IFERROR(VLOOKUP($D266,商品マスタ範囲,3,FALSE),"")</f>
        <v/>
      </c>
      <c r="H266" s="40">
        <f>IFERROR(IF(SUMPRODUCT(MAX((案件入力!$D$2:$D$265=$D266)*(案件入力!$R$2:$R$265="完了")*(案件入力!$B$2:$B$265)))=0,VLOOKUP($D266,商品マスタ範囲,5,FALSE),INDEX(案件入力!$I$2:$I$265,MATCH($D266&amp;"|"&amp;TEXT(SUMPRODUCT(MAX((案件入力!$D$2:$D$265=$D266)*(案件入力!$R$2:$R$265="完了")*(案件入力!$B$2:$B$265))),"0"),案件入力!$T$2:$T$265,0))),"")</f>
        <v/>
      </c>
      <c r="I266" s="40" t="n"/>
      <c r="J266" s="11">
        <f>IF(OR($H266="",$I266=""),"",IFERROR(($I266-$H266)/$H266,""))</f>
        <v/>
      </c>
      <c r="K266" s="8" t="n"/>
      <c r="L266" s="40">
        <f>IFERROR(IF(SUMPRODUCT(MAX((案件入力!$D$2:$D$265=$D266)*(案件入力!$R$2:$R$265="完了")*(案件入力!$B$2:$B$265)))=0,VLOOKUP($D266,商品マスタ範囲,6,FALSE),INDEX(案件入力!$M$2:$M$265,MATCH($D266&amp;"|"&amp;TEXT(SUMPRODUCT(MAX((案件入力!$D$2:$D$265=$D266)*(案件入力!$R$2:$R$265="完了")*(案件入力!$B$2:$B$265))),"0"),案件入力!$T$2:$T$265,0))),"")</f>
        <v/>
      </c>
      <c r="M266" s="40" t="n"/>
      <c r="N266" s="11">
        <f>IF(OR($L266="",$M266=""),"",IFERROR(($M266-$L266)/$L266,""))</f>
        <v/>
      </c>
      <c r="O266" s="8" t="n"/>
      <c r="P266" s="9" t="n"/>
      <c r="Q266" s="7" t="n"/>
      <c r="R266" s="7" t="n"/>
      <c r="S266" s="7" t="n"/>
      <c r="T266" s="7">
        <f>IF($R266="完了",$D266&amp;"|"&amp;TEXT($B266,"0"),"")</f>
        <v/>
      </c>
    </row>
    <row r="267">
      <c r="A267" s="7">
        <f>IF($B267="","",TEXT(YEAR($B267),"0000")&amp;"-"&amp;TEXT(SUMPRODUCT((YEAR($B$2:$B267)=YEAR($B267))*($B$2:$B267&lt;&gt;"")),"000"))</f>
        <v/>
      </c>
      <c r="B267" s="8" t="n"/>
      <c r="C267" s="7" t="n"/>
      <c r="D267" s="9" t="n"/>
      <c r="E267" s="7">
        <f>IFERROR(VLOOKUP($D267,商品マスタ範囲,4,FALSE),"")</f>
        <v/>
      </c>
      <c r="F267" s="7">
        <f>IFERROR(VLOOKUP($D267,商品マスタ範囲,2,FALSE),"")</f>
        <v/>
      </c>
      <c r="G267" s="7">
        <f>IFERROR(VLOOKUP($D267,商品マスタ範囲,3,FALSE),"")</f>
        <v/>
      </c>
      <c r="H267" s="40">
        <f>IFERROR(IF(SUMPRODUCT(MAX((案件入力!$D$2:$D$266=$D267)*(案件入力!$R$2:$R$266="完了")*(案件入力!$B$2:$B$266)))=0,VLOOKUP($D267,商品マスタ範囲,5,FALSE),INDEX(案件入力!$I$2:$I$266,MATCH($D267&amp;"|"&amp;TEXT(SUMPRODUCT(MAX((案件入力!$D$2:$D$266=$D267)*(案件入力!$R$2:$R$266="完了")*(案件入力!$B$2:$B$266))),"0"),案件入力!$T$2:$T$266,0))),"")</f>
        <v/>
      </c>
      <c r="I267" s="40" t="n"/>
      <c r="J267" s="11">
        <f>IF(OR($H267="",$I267=""),"",IFERROR(($I267-$H267)/$H267,""))</f>
        <v/>
      </c>
      <c r="K267" s="8" t="n"/>
      <c r="L267" s="40">
        <f>IFERROR(IF(SUMPRODUCT(MAX((案件入力!$D$2:$D$266=$D267)*(案件入力!$R$2:$R$266="完了")*(案件入力!$B$2:$B$266)))=0,VLOOKUP($D267,商品マスタ範囲,6,FALSE),INDEX(案件入力!$M$2:$M$266,MATCH($D267&amp;"|"&amp;TEXT(SUMPRODUCT(MAX((案件入力!$D$2:$D$266=$D267)*(案件入力!$R$2:$R$266="完了")*(案件入力!$B$2:$B$266))),"0"),案件入力!$T$2:$T$266,0))),"")</f>
        <v/>
      </c>
      <c r="M267" s="40" t="n"/>
      <c r="N267" s="11">
        <f>IF(OR($L267="",$M267=""),"",IFERROR(($M267-$L267)/$L267,""))</f>
        <v/>
      </c>
      <c r="O267" s="8" t="n"/>
      <c r="P267" s="9" t="n"/>
      <c r="Q267" s="7" t="n"/>
      <c r="R267" s="7" t="n"/>
      <c r="S267" s="7" t="n"/>
      <c r="T267" s="7">
        <f>IF($R267="完了",$D267&amp;"|"&amp;TEXT($B267,"0"),"")</f>
        <v/>
      </c>
    </row>
    <row r="268">
      <c r="A268" s="7">
        <f>IF($B268="","",TEXT(YEAR($B268),"0000")&amp;"-"&amp;TEXT(SUMPRODUCT((YEAR($B$2:$B268)=YEAR($B268))*($B$2:$B268&lt;&gt;"")),"000"))</f>
        <v/>
      </c>
      <c r="B268" s="8" t="n"/>
      <c r="C268" s="7" t="n"/>
      <c r="D268" s="9" t="n"/>
      <c r="E268" s="7">
        <f>IFERROR(VLOOKUP($D268,商品マスタ範囲,4,FALSE),"")</f>
        <v/>
      </c>
      <c r="F268" s="7">
        <f>IFERROR(VLOOKUP($D268,商品マスタ範囲,2,FALSE),"")</f>
        <v/>
      </c>
      <c r="G268" s="7">
        <f>IFERROR(VLOOKUP($D268,商品マスタ範囲,3,FALSE),"")</f>
        <v/>
      </c>
      <c r="H268" s="40">
        <f>IFERROR(IF(SUMPRODUCT(MAX((案件入力!$D$2:$D$267=$D268)*(案件入力!$R$2:$R$267="完了")*(案件入力!$B$2:$B$267)))=0,VLOOKUP($D268,商品マスタ範囲,5,FALSE),INDEX(案件入力!$I$2:$I$267,MATCH($D268&amp;"|"&amp;TEXT(SUMPRODUCT(MAX((案件入力!$D$2:$D$267=$D268)*(案件入力!$R$2:$R$267="完了")*(案件入力!$B$2:$B$267))),"0"),案件入力!$T$2:$T$267,0))),"")</f>
        <v/>
      </c>
      <c r="I268" s="40" t="n"/>
      <c r="J268" s="11">
        <f>IF(OR($H268="",$I268=""),"",IFERROR(($I268-$H268)/$H268,""))</f>
        <v/>
      </c>
      <c r="K268" s="8" t="n"/>
      <c r="L268" s="40">
        <f>IFERROR(IF(SUMPRODUCT(MAX((案件入力!$D$2:$D$267=$D268)*(案件入力!$R$2:$R$267="完了")*(案件入力!$B$2:$B$267)))=0,VLOOKUP($D268,商品マスタ範囲,6,FALSE),INDEX(案件入力!$M$2:$M$267,MATCH($D268&amp;"|"&amp;TEXT(SUMPRODUCT(MAX((案件入力!$D$2:$D$267=$D268)*(案件入力!$R$2:$R$267="完了")*(案件入力!$B$2:$B$267))),"0"),案件入力!$T$2:$T$267,0))),"")</f>
        <v/>
      </c>
      <c r="M268" s="40" t="n"/>
      <c r="N268" s="11">
        <f>IF(OR($L268="",$M268=""),"",IFERROR(($M268-$L268)/$L268,""))</f>
        <v/>
      </c>
      <c r="O268" s="8" t="n"/>
      <c r="P268" s="9" t="n"/>
      <c r="Q268" s="7" t="n"/>
      <c r="R268" s="7" t="n"/>
      <c r="S268" s="7" t="n"/>
      <c r="T268" s="7">
        <f>IF($R268="完了",$D268&amp;"|"&amp;TEXT($B268,"0"),"")</f>
        <v/>
      </c>
    </row>
    <row r="269">
      <c r="A269" s="7">
        <f>IF($B269="","",TEXT(YEAR($B269),"0000")&amp;"-"&amp;TEXT(SUMPRODUCT((YEAR($B$2:$B269)=YEAR($B269))*($B$2:$B269&lt;&gt;"")),"000"))</f>
        <v/>
      </c>
      <c r="B269" s="8" t="n"/>
      <c r="C269" s="7" t="n"/>
      <c r="D269" s="9" t="n"/>
      <c r="E269" s="7">
        <f>IFERROR(VLOOKUP($D269,商品マスタ範囲,4,FALSE),"")</f>
        <v/>
      </c>
      <c r="F269" s="7">
        <f>IFERROR(VLOOKUP($D269,商品マスタ範囲,2,FALSE),"")</f>
        <v/>
      </c>
      <c r="G269" s="7">
        <f>IFERROR(VLOOKUP($D269,商品マスタ範囲,3,FALSE),"")</f>
        <v/>
      </c>
      <c r="H269" s="40">
        <f>IFERROR(IF(SUMPRODUCT(MAX((案件入力!$D$2:$D$268=$D269)*(案件入力!$R$2:$R$268="完了")*(案件入力!$B$2:$B$268)))=0,VLOOKUP($D269,商品マスタ範囲,5,FALSE),INDEX(案件入力!$I$2:$I$268,MATCH($D269&amp;"|"&amp;TEXT(SUMPRODUCT(MAX((案件入力!$D$2:$D$268=$D269)*(案件入力!$R$2:$R$268="完了")*(案件入力!$B$2:$B$268))),"0"),案件入力!$T$2:$T$268,0))),"")</f>
        <v/>
      </c>
      <c r="I269" s="40" t="n"/>
      <c r="J269" s="11">
        <f>IF(OR($H269="",$I269=""),"",IFERROR(($I269-$H269)/$H269,""))</f>
        <v/>
      </c>
      <c r="K269" s="8" t="n"/>
      <c r="L269" s="40">
        <f>IFERROR(IF(SUMPRODUCT(MAX((案件入力!$D$2:$D$268=$D269)*(案件入力!$R$2:$R$268="完了")*(案件入力!$B$2:$B$268)))=0,VLOOKUP($D269,商品マスタ範囲,6,FALSE),INDEX(案件入力!$M$2:$M$268,MATCH($D269&amp;"|"&amp;TEXT(SUMPRODUCT(MAX((案件入力!$D$2:$D$268=$D269)*(案件入力!$R$2:$R$268="完了")*(案件入力!$B$2:$B$268))),"0"),案件入力!$T$2:$T$268,0))),"")</f>
        <v/>
      </c>
      <c r="M269" s="40" t="n"/>
      <c r="N269" s="11">
        <f>IF(OR($L269="",$M269=""),"",IFERROR(($M269-$L269)/$L269,""))</f>
        <v/>
      </c>
      <c r="O269" s="8" t="n"/>
      <c r="P269" s="9" t="n"/>
      <c r="Q269" s="7" t="n"/>
      <c r="R269" s="7" t="n"/>
      <c r="S269" s="7" t="n"/>
      <c r="T269" s="7">
        <f>IF($R269="完了",$D269&amp;"|"&amp;TEXT($B269,"0"),"")</f>
        <v/>
      </c>
    </row>
    <row r="270">
      <c r="A270" s="7">
        <f>IF($B270="","",TEXT(YEAR($B270),"0000")&amp;"-"&amp;TEXT(SUMPRODUCT((YEAR($B$2:$B270)=YEAR($B270))*($B$2:$B270&lt;&gt;"")),"000"))</f>
        <v/>
      </c>
      <c r="B270" s="8" t="n"/>
      <c r="C270" s="7" t="n"/>
      <c r="D270" s="9" t="n"/>
      <c r="E270" s="7">
        <f>IFERROR(VLOOKUP($D270,商品マスタ範囲,4,FALSE),"")</f>
        <v/>
      </c>
      <c r="F270" s="7">
        <f>IFERROR(VLOOKUP($D270,商品マスタ範囲,2,FALSE),"")</f>
        <v/>
      </c>
      <c r="G270" s="7">
        <f>IFERROR(VLOOKUP($D270,商品マスタ範囲,3,FALSE),"")</f>
        <v/>
      </c>
      <c r="H270" s="40">
        <f>IFERROR(IF(SUMPRODUCT(MAX((案件入力!$D$2:$D$269=$D270)*(案件入力!$R$2:$R$269="完了")*(案件入力!$B$2:$B$269)))=0,VLOOKUP($D270,商品マスタ範囲,5,FALSE),INDEX(案件入力!$I$2:$I$269,MATCH($D270&amp;"|"&amp;TEXT(SUMPRODUCT(MAX((案件入力!$D$2:$D$269=$D270)*(案件入力!$R$2:$R$269="完了")*(案件入力!$B$2:$B$269))),"0"),案件入力!$T$2:$T$269,0))),"")</f>
        <v/>
      </c>
      <c r="I270" s="40" t="n"/>
      <c r="J270" s="11">
        <f>IF(OR($H270="",$I270=""),"",IFERROR(($I270-$H270)/$H270,""))</f>
        <v/>
      </c>
      <c r="K270" s="8" t="n"/>
      <c r="L270" s="40">
        <f>IFERROR(IF(SUMPRODUCT(MAX((案件入力!$D$2:$D$269=$D270)*(案件入力!$R$2:$R$269="完了")*(案件入力!$B$2:$B$269)))=0,VLOOKUP($D270,商品マスタ範囲,6,FALSE),INDEX(案件入力!$M$2:$M$269,MATCH($D270&amp;"|"&amp;TEXT(SUMPRODUCT(MAX((案件入力!$D$2:$D$269=$D270)*(案件入力!$R$2:$R$269="完了")*(案件入力!$B$2:$B$269))),"0"),案件入力!$T$2:$T$269,0))),"")</f>
        <v/>
      </c>
      <c r="M270" s="40" t="n"/>
      <c r="N270" s="11">
        <f>IF(OR($L270="",$M270=""),"",IFERROR(($M270-$L270)/$L270,""))</f>
        <v/>
      </c>
      <c r="O270" s="8" t="n"/>
      <c r="P270" s="9" t="n"/>
      <c r="Q270" s="7" t="n"/>
      <c r="R270" s="7" t="n"/>
      <c r="S270" s="7" t="n"/>
      <c r="T270" s="7">
        <f>IF($R270="完了",$D270&amp;"|"&amp;TEXT($B270,"0"),"")</f>
        <v/>
      </c>
    </row>
    <row r="271">
      <c r="A271" s="7">
        <f>IF($B271="","",TEXT(YEAR($B271),"0000")&amp;"-"&amp;TEXT(SUMPRODUCT((YEAR($B$2:$B271)=YEAR($B271))*($B$2:$B271&lt;&gt;"")),"000"))</f>
        <v/>
      </c>
      <c r="B271" s="8" t="n"/>
      <c r="C271" s="7" t="n"/>
      <c r="D271" s="9" t="n"/>
      <c r="E271" s="7">
        <f>IFERROR(VLOOKUP($D271,商品マスタ範囲,4,FALSE),"")</f>
        <v/>
      </c>
      <c r="F271" s="7">
        <f>IFERROR(VLOOKUP($D271,商品マスタ範囲,2,FALSE),"")</f>
        <v/>
      </c>
      <c r="G271" s="7">
        <f>IFERROR(VLOOKUP($D271,商品マスタ範囲,3,FALSE),"")</f>
        <v/>
      </c>
      <c r="H271" s="40">
        <f>IFERROR(IF(SUMPRODUCT(MAX((案件入力!$D$2:$D$270=$D271)*(案件入力!$R$2:$R$270="完了")*(案件入力!$B$2:$B$270)))=0,VLOOKUP($D271,商品マスタ範囲,5,FALSE),INDEX(案件入力!$I$2:$I$270,MATCH($D271&amp;"|"&amp;TEXT(SUMPRODUCT(MAX((案件入力!$D$2:$D$270=$D271)*(案件入力!$R$2:$R$270="完了")*(案件入力!$B$2:$B$270))),"0"),案件入力!$T$2:$T$270,0))),"")</f>
        <v/>
      </c>
      <c r="I271" s="40" t="n"/>
      <c r="J271" s="11">
        <f>IF(OR($H271="",$I271=""),"",IFERROR(($I271-$H271)/$H271,""))</f>
        <v/>
      </c>
      <c r="K271" s="8" t="n"/>
      <c r="L271" s="40">
        <f>IFERROR(IF(SUMPRODUCT(MAX((案件入力!$D$2:$D$270=$D271)*(案件入力!$R$2:$R$270="完了")*(案件入力!$B$2:$B$270)))=0,VLOOKUP($D271,商品マスタ範囲,6,FALSE),INDEX(案件入力!$M$2:$M$270,MATCH($D271&amp;"|"&amp;TEXT(SUMPRODUCT(MAX((案件入力!$D$2:$D$270=$D271)*(案件入力!$R$2:$R$270="完了")*(案件入力!$B$2:$B$270))),"0"),案件入力!$T$2:$T$270,0))),"")</f>
        <v/>
      </c>
      <c r="M271" s="40" t="n"/>
      <c r="N271" s="11">
        <f>IF(OR($L271="",$M271=""),"",IFERROR(($M271-$L271)/$L271,""))</f>
        <v/>
      </c>
      <c r="O271" s="8" t="n"/>
      <c r="P271" s="9" t="n"/>
      <c r="Q271" s="7" t="n"/>
      <c r="R271" s="7" t="n"/>
      <c r="S271" s="7" t="n"/>
      <c r="T271" s="7">
        <f>IF($R271="完了",$D271&amp;"|"&amp;TEXT($B271,"0"),"")</f>
        <v/>
      </c>
    </row>
    <row r="272">
      <c r="A272" s="7">
        <f>IF($B272="","",TEXT(YEAR($B272),"0000")&amp;"-"&amp;TEXT(SUMPRODUCT((YEAR($B$2:$B272)=YEAR($B272))*($B$2:$B272&lt;&gt;"")),"000"))</f>
        <v/>
      </c>
      <c r="B272" s="8" t="n"/>
      <c r="C272" s="7" t="n"/>
      <c r="D272" s="9" t="n"/>
      <c r="E272" s="7">
        <f>IFERROR(VLOOKUP($D272,商品マスタ範囲,4,FALSE),"")</f>
        <v/>
      </c>
      <c r="F272" s="7">
        <f>IFERROR(VLOOKUP($D272,商品マスタ範囲,2,FALSE),"")</f>
        <v/>
      </c>
      <c r="G272" s="7">
        <f>IFERROR(VLOOKUP($D272,商品マスタ範囲,3,FALSE),"")</f>
        <v/>
      </c>
      <c r="H272" s="40">
        <f>IFERROR(IF(SUMPRODUCT(MAX((案件入力!$D$2:$D$271=$D272)*(案件入力!$R$2:$R$271="完了")*(案件入力!$B$2:$B$271)))=0,VLOOKUP($D272,商品マスタ範囲,5,FALSE),INDEX(案件入力!$I$2:$I$271,MATCH($D272&amp;"|"&amp;TEXT(SUMPRODUCT(MAX((案件入力!$D$2:$D$271=$D272)*(案件入力!$R$2:$R$271="完了")*(案件入力!$B$2:$B$271))),"0"),案件入力!$T$2:$T$271,0))),"")</f>
        <v/>
      </c>
      <c r="I272" s="40" t="n"/>
      <c r="J272" s="11">
        <f>IF(OR($H272="",$I272=""),"",IFERROR(($I272-$H272)/$H272,""))</f>
        <v/>
      </c>
      <c r="K272" s="8" t="n"/>
      <c r="L272" s="40">
        <f>IFERROR(IF(SUMPRODUCT(MAX((案件入力!$D$2:$D$271=$D272)*(案件入力!$R$2:$R$271="完了")*(案件入力!$B$2:$B$271)))=0,VLOOKUP($D272,商品マスタ範囲,6,FALSE),INDEX(案件入力!$M$2:$M$271,MATCH($D272&amp;"|"&amp;TEXT(SUMPRODUCT(MAX((案件入力!$D$2:$D$271=$D272)*(案件入力!$R$2:$R$271="完了")*(案件入力!$B$2:$B$271))),"0"),案件入力!$T$2:$T$271,0))),"")</f>
        <v/>
      </c>
      <c r="M272" s="40" t="n"/>
      <c r="N272" s="11">
        <f>IF(OR($L272="",$M272=""),"",IFERROR(($M272-$L272)/$L272,""))</f>
        <v/>
      </c>
      <c r="O272" s="8" t="n"/>
      <c r="P272" s="9" t="n"/>
      <c r="Q272" s="7" t="n"/>
      <c r="R272" s="7" t="n"/>
      <c r="S272" s="7" t="n"/>
      <c r="T272" s="7">
        <f>IF($R272="完了",$D272&amp;"|"&amp;TEXT($B272,"0"),"")</f>
        <v/>
      </c>
    </row>
    <row r="273">
      <c r="A273" s="7">
        <f>IF($B273="","",TEXT(YEAR($B273),"0000")&amp;"-"&amp;TEXT(SUMPRODUCT((YEAR($B$2:$B273)=YEAR($B273))*($B$2:$B273&lt;&gt;"")),"000"))</f>
        <v/>
      </c>
      <c r="B273" s="8" t="n"/>
      <c r="C273" s="7" t="n"/>
      <c r="D273" s="9" t="n"/>
      <c r="E273" s="7">
        <f>IFERROR(VLOOKUP($D273,商品マスタ範囲,4,FALSE),"")</f>
        <v/>
      </c>
      <c r="F273" s="7">
        <f>IFERROR(VLOOKUP($D273,商品マスタ範囲,2,FALSE),"")</f>
        <v/>
      </c>
      <c r="G273" s="7">
        <f>IFERROR(VLOOKUP($D273,商品マスタ範囲,3,FALSE),"")</f>
        <v/>
      </c>
      <c r="H273" s="40">
        <f>IFERROR(IF(SUMPRODUCT(MAX((案件入力!$D$2:$D$272=$D273)*(案件入力!$R$2:$R$272="完了")*(案件入力!$B$2:$B$272)))=0,VLOOKUP($D273,商品マスタ範囲,5,FALSE),INDEX(案件入力!$I$2:$I$272,MATCH($D273&amp;"|"&amp;TEXT(SUMPRODUCT(MAX((案件入力!$D$2:$D$272=$D273)*(案件入力!$R$2:$R$272="完了")*(案件入力!$B$2:$B$272))),"0"),案件入力!$T$2:$T$272,0))),"")</f>
        <v/>
      </c>
      <c r="I273" s="40" t="n"/>
      <c r="J273" s="11">
        <f>IF(OR($H273="",$I273=""),"",IFERROR(($I273-$H273)/$H273,""))</f>
        <v/>
      </c>
      <c r="K273" s="8" t="n"/>
      <c r="L273" s="40">
        <f>IFERROR(IF(SUMPRODUCT(MAX((案件入力!$D$2:$D$272=$D273)*(案件入力!$R$2:$R$272="完了")*(案件入力!$B$2:$B$272)))=0,VLOOKUP($D273,商品マスタ範囲,6,FALSE),INDEX(案件入力!$M$2:$M$272,MATCH($D273&amp;"|"&amp;TEXT(SUMPRODUCT(MAX((案件入力!$D$2:$D$272=$D273)*(案件入力!$R$2:$R$272="完了")*(案件入力!$B$2:$B$272))),"0"),案件入力!$T$2:$T$272,0))),"")</f>
        <v/>
      </c>
      <c r="M273" s="40" t="n"/>
      <c r="N273" s="11">
        <f>IF(OR($L273="",$M273=""),"",IFERROR(($M273-$L273)/$L273,""))</f>
        <v/>
      </c>
      <c r="O273" s="8" t="n"/>
      <c r="P273" s="9" t="n"/>
      <c r="Q273" s="7" t="n"/>
      <c r="R273" s="7" t="n"/>
      <c r="S273" s="7" t="n"/>
      <c r="T273" s="7">
        <f>IF($R273="完了",$D273&amp;"|"&amp;TEXT($B273,"0"),"")</f>
        <v/>
      </c>
    </row>
    <row r="274">
      <c r="A274" s="7">
        <f>IF($B274="","",TEXT(YEAR($B274),"0000")&amp;"-"&amp;TEXT(SUMPRODUCT((YEAR($B$2:$B274)=YEAR($B274))*($B$2:$B274&lt;&gt;"")),"000"))</f>
        <v/>
      </c>
      <c r="B274" s="8" t="n"/>
      <c r="C274" s="7" t="n"/>
      <c r="D274" s="9" t="n"/>
      <c r="E274" s="7">
        <f>IFERROR(VLOOKUP($D274,商品マスタ範囲,4,FALSE),"")</f>
        <v/>
      </c>
      <c r="F274" s="7">
        <f>IFERROR(VLOOKUP($D274,商品マスタ範囲,2,FALSE),"")</f>
        <v/>
      </c>
      <c r="G274" s="7">
        <f>IFERROR(VLOOKUP($D274,商品マスタ範囲,3,FALSE),"")</f>
        <v/>
      </c>
      <c r="H274" s="40">
        <f>IFERROR(IF(SUMPRODUCT(MAX((案件入力!$D$2:$D$273=$D274)*(案件入力!$R$2:$R$273="完了")*(案件入力!$B$2:$B$273)))=0,VLOOKUP($D274,商品マスタ範囲,5,FALSE),INDEX(案件入力!$I$2:$I$273,MATCH($D274&amp;"|"&amp;TEXT(SUMPRODUCT(MAX((案件入力!$D$2:$D$273=$D274)*(案件入力!$R$2:$R$273="完了")*(案件入力!$B$2:$B$273))),"0"),案件入力!$T$2:$T$273,0))),"")</f>
        <v/>
      </c>
      <c r="I274" s="40" t="n"/>
      <c r="J274" s="11">
        <f>IF(OR($H274="",$I274=""),"",IFERROR(($I274-$H274)/$H274,""))</f>
        <v/>
      </c>
      <c r="K274" s="8" t="n"/>
      <c r="L274" s="40">
        <f>IFERROR(IF(SUMPRODUCT(MAX((案件入力!$D$2:$D$273=$D274)*(案件入力!$R$2:$R$273="完了")*(案件入力!$B$2:$B$273)))=0,VLOOKUP($D274,商品マスタ範囲,6,FALSE),INDEX(案件入力!$M$2:$M$273,MATCH($D274&amp;"|"&amp;TEXT(SUMPRODUCT(MAX((案件入力!$D$2:$D$273=$D274)*(案件入力!$R$2:$R$273="完了")*(案件入力!$B$2:$B$273))),"0"),案件入力!$T$2:$T$273,0))),"")</f>
        <v/>
      </c>
      <c r="M274" s="40" t="n"/>
      <c r="N274" s="11">
        <f>IF(OR($L274="",$M274=""),"",IFERROR(($M274-$L274)/$L274,""))</f>
        <v/>
      </c>
      <c r="O274" s="8" t="n"/>
      <c r="P274" s="9" t="n"/>
      <c r="Q274" s="7" t="n"/>
      <c r="R274" s="7" t="n"/>
      <c r="S274" s="7" t="n"/>
      <c r="T274" s="7">
        <f>IF($R274="完了",$D274&amp;"|"&amp;TEXT($B274,"0"),"")</f>
        <v/>
      </c>
    </row>
    <row r="275">
      <c r="A275" s="7">
        <f>IF($B275="","",TEXT(YEAR($B275),"0000")&amp;"-"&amp;TEXT(SUMPRODUCT((YEAR($B$2:$B275)=YEAR($B275))*($B$2:$B275&lt;&gt;"")),"000"))</f>
        <v/>
      </c>
      <c r="B275" s="8" t="n"/>
      <c r="C275" s="7" t="n"/>
      <c r="D275" s="9" t="n"/>
      <c r="E275" s="7">
        <f>IFERROR(VLOOKUP($D275,商品マスタ範囲,4,FALSE),"")</f>
        <v/>
      </c>
      <c r="F275" s="7">
        <f>IFERROR(VLOOKUP($D275,商品マスタ範囲,2,FALSE),"")</f>
        <v/>
      </c>
      <c r="G275" s="7">
        <f>IFERROR(VLOOKUP($D275,商品マスタ範囲,3,FALSE),"")</f>
        <v/>
      </c>
      <c r="H275" s="40">
        <f>IFERROR(IF(SUMPRODUCT(MAX((案件入力!$D$2:$D$274=$D275)*(案件入力!$R$2:$R$274="完了")*(案件入力!$B$2:$B$274)))=0,VLOOKUP($D275,商品マスタ範囲,5,FALSE),INDEX(案件入力!$I$2:$I$274,MATCH($D275&amp;"|"&amp;TEXT(SUMPRODUCT(MAX((案件入力!$D$2:$D$274=$D275)*(案件入力!$R$2:$R$274="完了")*(案件入力!$B$2:$B$274))),"0"),案件入力!$T$2:$T$274,0))),"")</f>
        <v/>
      </c>
      <c r="I275" s="40" t="n"/>
      <c r="J275" s="11">
        <f>IF(OR($H275="",$I275=""),"",IFERROR(($I275-$H275)/$H275,""))</f>
        <v/>
      </c>
      <c r="K275" s="8" t="n"/>
      <c r="L275" s="40">
        <f>IFERROR(IF(SUMPRODUCT(MAX((案件入力!$D$2:$D$274=$D275)*(案件入力!$R$2:$R$274="完了")*(案件入力!$B$2:$B$274)))=0,VLOOKUP($D275,商品マスタ範囲,6,FALSE),INDEX(案件入力!$M$2:$M$274,MATCH($D275&amp;"|"&amp;TEXT(SUMPRODUCT(MAX((案件入力!$D$2:$D$274=$D275)*(案件入力!$R$2:$R$274="完了")*(案件入力!$B$2:$B$274))),"0"),案件入力!$T$2:$T$274,0))),"")</f>
        <v/>
      </c>
      <c r="M275" s="40" t="n"/>
      <c r="N275" s="11">
        <f>IF(OR($L275="",$M275=""),"",IFERROR(($M275-$L275)/$L275,""))</f>
        <v/>
      </c>
      <c r="O275" s="8" t="n"/>
      <c r="P275" s="9" t="n"/>
      <c r="Q275" s="7" t="n"/>
      <c r="R275" s="7" t="n"/>
      <c r="S275" s="7" t="n"/>
      <c r="T275" s="7">
        <f>IF($R275="完了",$D275&amp;"|"&amp;TEXT($B275,"0"),"")</f>
        <v/>
      </c>
    </row>
    <row r="276">
      <c r="A276" s="7">
        <f>IF($B276="","",TEXT(YEAR($B276),"0000")&amp;"-"&amp;TEXT(SUMPRODUCT((YEAR($B$2:$B276)=YEAR($B276))*($B$2:$B276&lt;&gt;"")),"000"))</f>
        <v/>
      </c>
      <c r="B276" s="8" t="n"/>
      <c r="C276" s="7" t="n"/>
      <c r="D276" s="9" t="n"/>
      <c r="E276" s="7">
        <f>IFERROR(VLOOKUP($D276,商品マスタ範囲,4,FALSE),"")</f>
        <v/>
      </c>
      <c r="F276" s="7">
        <f>IFERROR(VLOOKUP($D276,商品マスタ範囲,2,FALSE),"")</f>
        <v/>
      </c>
      <c r="G276" s="7">
        <f>IFERROR(VLOOKUP($D276,商品マスタ範囲,3,FALSE),"")</f>
        <v/>
      </c>
      <c r="H276" s="40">
        <f>IFERROR(IF(SUMPRODUCT(MAX((案件入力!$D$2:$D$275=$D276)*(案件入力!$R$2:$R$275="完了")*(案件入力!$B$2:$B$275)))=0,VLOOKUP($D276,商品マスタ範囲,5,FALSE),INDEX(案件入力!$I$2:$I$275,MATCH($D276&amp;"|"&amp;TEXT(SUMPRODUCT(MAX((案件入力!$D$2:$D$275=$D276)*(案件入力!$R$2:$R$275="完了")*(案件入力!$B$2:$B$275))),"0"),案件入力!$T$2:$T$275,0))),"")</f>
        <v/>
      </c>
      <c r="I276" s="40" t="n"/>
      <c r="J276" s="11">
        <f>IF(OR($H276="",$I276=""),"",IFERROR(($I276-$H276)/$H276,""))</f>
        <v/>
      </c>
      <c r="K276" s="8" t="n"/>
      <c r="L276" s="40">
        <f>IFERROR(IF(SUMPRODUCT(MAX((案件入力!$D$2:$D$275=$D276)*(案件入力!$R$2:$R$275="完了")*(案件入力!$B$2:$B$275)))=0,VLOOKUP($D276,商品マスタ範囲,6,FALSE),INDEX(案件入力!$M$2:$M$275,MATCH($D276&amp;"|"&amp;TEXT(SUMPRODUCT(MAX((案件入力!$D$2:$D$275=$D276)*(案件入力!$R$2:$R$275="完了")*(案件入力!$B$2:$B$275))),"0"),案件入力!$T$2:$T$275,0))),"")</f>
        <v/>
      </c>
      <c r="M276" s="40" t="n"/>
      <c r="N276" s="11">
        <f>IF(OR($L276="",$M276=""),"",IFERROR(($M276-$L276)/$L276,""))</f>
        <v/>
      </c>
      <c r="O276" s="8" t="n"/>
      <c r="P276" s="9" t="n"/>
      <c r="Q276" s="7" t="n"/>
      <c r="R276" s="7" t="n"/>
      <c r="S276" s="7" t="n"/>
      <c r="T276" s="7">
        <f>IF($R276="完了",$D276&amp;"|"&amp;TEXT($B276,"0"),"")</f>
        <v/>
      </c>
    </row>
    <row r="277">
      <c r="A277" s="7">
        <f>IF($B277="","",TEXT(YEAR($B277),"0000")&amp;"-"&amp;TEXT(SUMPRODUCT((YEAR($B$2:$B277)=YEAR($B277))*($B$2:$B277&lt;&gt;"")),"000"))</f>
        <v/>
      </c>
      <c r="B277" s="8" t="n"/>
      <c r="C277" s="7" t="n"/>
      <c r="D277" s="9" t="n"/>
      <c r="E277" s="7">
        <f>IFERROR(VLOOKUP($D277,商品マスタ範囲,4,FALSE),"")</f>
        <v/>
      </c>
      <c r="F277" s="7">
        <f>IFERROR(VLOOKUP($D277,商品マスタ範囲,2,FALSE),"")</f>
        <v/>
      </c>
      <c r="G277" s="7">
        <f>IFERROR(VLOOKUP($D277,商品マスタ範囲,3,FALSE),"")</f>
        <v/>
      </c>
      <c r="H277" s="40">
        <f>IFERROR(IF(SUMPRODUCT(MAX((案件入力!$D$2:$D$276=$D277)*(案件入力!$R$2:$R$276="完了")*(案件入力!$B$2:$B$276)))=0,VLOOKUP($D277,商品マスタ範囲,5,FALSE),INDEX(案件入力!$I$2:$I$276,MATCH($D277&amp;"|"&amp;TEXT(SUMPRODUCT(MAX((案件入力!$D$2:$D$276=$D277)*(案件入力!$R$2:$R$276="完了")*(案件入力!$B$2:$B$276))),"0"),案件入力!$T$2:$T$276,0))),"")</f>
        <v/>
      </c>
      <c r="I277" s="40" t="n"/>
      <c r="J277" s="11">
        <f>IF(OR($H277="",$I277=""),"",IFERROR(($I277-$H277)/$H277,""))</f>
        <v/>
      </c>
      <c r="K277" s="8" t="n"/>
      <c r="L277" s="40">
        <f>IFERROR(IF(SUMPRODUCT(MAX((案件入力!$D$2:$D$276=$D277)*(案件入力!$R$2:$R$276="完了")*(案件入力!$B$2:$B$276)))=0,VLOOKUP($D277,商品マスタ範囲,6,FALSE),INDEX(案件入力!$M$2:$M$276,MATCH($D277&amp;"|"&amp;TEXT(SUMPRODUCT(MAX((案件入力!$D$2:$D$276=$D277)*(案件入力!$R$2:$R$276="完了")*(案件入力!$B$2:$B$276))),"0"),案件入力!$T$2:$T$276,0))),"")</f>
        <v/>
      </c>
      <c r="M277" s="40" t="n"/>
      <c r="N277" s="11">
        <f>IF(OR($L277="",$M277=""),"",IFERROR(($M277-$L277)/$L277,""))</f>
        <v/>
      </c>
      <c r="O277" s="8" t="n"/>
      <c r="P277" s="9" t="n"/>
      <c r="Q277" s="7" t="n"/>
      <c r="R277" s="7" t="n"/>
      <c r="S277" s="7" t="n"/>
      <c r="T277" s="7">
        <f>IF($R277="完了",$D277&amp;"|"&amp;TEXT($B277,"0"),"")</f>
        <v/>
      </c>
    </row>
    <row r="278">
      <c r="A278" s="7">
        <f>IF($B278="","",TEXT(YEAR($B278),"0000")&amp;"-"&amp;TEXT(SUMPRODUCT((YEAR($B$2:$B278)=YEAR($B278))*($B$2:$B278&lt;&gt;"")),"000"))</f>
        <v/>
      </c>
      <c r="B278" s="8" t="n"/>
      <c r="C278" s="7" t="n"/>
      <c r="D278" s="9" t="n"/>
      <c r="E278" s="7">
        <f>IFERROR(VLOOKUP($D278,商品マスタ範囲,4,FALSE),"")</f>
        <v/>
      </c>
      <c r="F278" s="7">
        <f>IFERROR(VLOOKUP($D278,商品マスタ範囲,2,FALSE),"")</f>
        <v/>
      </c>
      <c r="G278" s="7">
        <f>IFERROR(VLOOKUP($D278,商品マスタ範囲,3,FALSE),"")</f>
        <v/>
      </c>
      <c r="H278" s="40">
        <f>IFERROR(IF(SUMPRODUCT(MAX((案件入力!$D$2:$D$277=$D278)*(案件入力!$R$2:$R$277="完了")*(案件入力!$B$2:$B$277)))=0,VLOOKUP($D278,商品マスタ範囲,5,FALSE),INDEX(案件入力!$I$2:$I$277,MATCH($D278&amp;"|"&amp;TEXT(SUMPRODUCT(MAX((案件入力!$D$2:$D$277=$D278)*(案件入力!$R$2:$R$277="完了")*(案件入力!$B$2:$B$277))),"0"),案件入力!$T$2:$T$277,0))),"")</f>
        <v/>
      </c>
      <c r="I278" s="40" t="n"/>
      <c r="J278" s="11">
        <f>IF(OR($H278="",$I278=""),"",IFERROR(($I278-$H278)/$H278,""))</f>
        <v/>
      </c>
      <c r="K278" s="8" t="n"/>
      <c r="L278" s="40">
        <f>IFERROR(IF(SUMPRODUCT(MAX((案件入力!$D$2:$D$277=$D278)*(案件入力!$R$2:$R$277="完了")*(案件入力!$B$2:$B$277)))=0,VLOOKUP($D278,商品マスタ範囲,6,FALSE),INDEX(案件入力!$M$2:$M$277,MATCH($D278&amp;"|"&amp;TEXT(SUMPRODUCT(MAX((案件入力!$D$2:$D$277=$D278)*(案件入力!$R$2:$R$277="完了")*(案件入力!$B$2:$B$277))),"0"),案件入力!$T$2:$T$277,0))),"")</f>
        <v/>
      </c>
      <c r="M278" s="40" t="n"/>
      <c r="N278" s="11">
        <f>IF(OR($L278="",$M278=""),"",IFERROR(($M278-$L278)/$L278,""))</f>
        <v/>
      </c>
      <c r="O278" s="8" t="n"/>
      <c r="P278" s="9" t="n"/>
      <c r="Q278" s="7" t="n"/>
      <c r="R278" s="7" t="n"/>
      <c r="S278" s="7" t="n"/>
      <c r="T278" s="7">
        <f>IF($R278="完了",$D278&amp;"|"&amp;TEXT($B278,"0"),"")</f>
        <v/>
      </c>
    </row>
    <row r="279">
      <c r="A279" s="7">
        <f>IF($B279="","",TEXT(YEAR($B279),"0000")&amp;"-"&amp;TEXT(SUMPRODUCT((YEAR($B$2:$B279)=YEAR($B279))*($B$2:$B279&lt;&gt;"")),"000"))</f>
        <v/>
      </c>
      <c r="B279" s="8" t="n"/>
      <c r="C279" s="7" t="n"/>
      <c r="D279" s="9" t="n"/>
      <c r="E279" s="7">
        <f>IFERROR(VLOOKUP($D279,商品マスタ範囲,4,FALSE),"")</f>
        <v/>
      </c>
      <c r="F279" s="7">
        <f>IFERROR(VLOOKUP($D279,商品マスタ範囲,2,FALSE),"")</f>
        <v/>
      </c>
      <c r="G279" s="7">
        <f>IFERROR(VLOOKUP($D279,商品マスタ範囲,3,FALSE),"")</f>
        <v/>
      </c>
      <c r="H279" s="40">
        <f>IFERROR(IF(SUMPRODUCT(MAX((案件入力!$D$2:$D$278=$D279)*(案件入力!$R$2:$R$278="完了")*(案件入力!$B$2:$B$278)))=0,VLOOKUP($D279,商品マスタ範囲,5,FALSE),INDEX(案件入力!$I$2:$I$278,MATCH($D279&amp;"|"&amp;TEXT(SUMPRODUCT(MAX((案件入力!$D$2:$D$278=$D279)*(案件入力!$R$2:$R$278="完了")*(案件入力!$B$2:$B$278))),"0"),案件入力!$T$2:$T$278,0))),"")</f>
        <v/>
      </c>
      <c r="I279" s="40" t="n"/>
      <c r="J279" s="11">
        <f>IF(OR($H279="",$I279=""),"",IFERROR(($I279-$H279)/$H279,""))</f>
        <v/>
      </c>
      <c r="K279" s="8" t="n"/>
      <c r="L279" s="40">
        <f>IFERROR(IF(SUMPRODUCT(MAX((案件入力!$D$2:$D$278=$D279)*(案件入力!$R$2:$R$278="完了")*(案件入力!$B$2:$B$278)))=0,VLOOKUP($D279,商品マスタ範囲,6,FALSE),INDEX(案件入力!$M$2:$M$278,MATCH($D279&amp;"|"&amp;TEXT(SUMPRODUCT(MAX((案件入力!$D$2:$D$278=$D279)*(案件入力!$R$2:$R$278="完了")*(案件入力!$B$2:$B$278))),"0"),案件入力!$T$2:$T$278,0))),"")</f>
        <v/>
      </c>
      <c r="M279" s="40" t="n"/>
      <c r="N279" s="11">
        <f>IF(OR($L279="",$M279=""),"",IFERROR(($M279-$L279)/$L279,""))</f>
        <v/>
      </c>
      <c r="O279" s="8" t="n"/>
      <c r="P279" s="9" t="n"/>
      <c r="Q279" s="7" t="n"/>
      <c r="R279" s="7" t="n"/>
      <c r="S279" s="7" t="n"/>
      <c r="T279" s="7">
        <f>IF($R279="完了",$D279&amp;"|"&amp;TEXT($B279,"0"),"")</f>
        <v/>
      </c>
    </row>
    <row r="280">
      <c r="A280" s="7">
        <f>IF($B280="","",TEXT(YEAR($B280),"0000")&amp;"-"&amp;TEXT(SUMPRODUCT((YEAR($B$2:$B280)=YEAR($B280))*($B$2:$B280&lt;&gt;"")),"000"))</f>
        <v/>
      </c>
      <c r="B280" s="8" t="n"/>
      <c r="C280" s="7" t="n"/>
      <c r="D280" s="9" t="n"/>
      <c r="E280" s="7">
        <f>IFERROR(VLOOKUP($D280,商品マスタ範囲,4,FALSE),"")</f>
        <v/>
      </c>
      <c r="F280" s="7">
        <f>IFERROR(VLOOKUP($D280,商品マスタ範囲,2,FALSE),"")</f>
        <v/>
      </c>
      <c r="G280" s="7">
        <f>IFERROR(VLOOKUP($D280,商品マスタ範囲,3,FALSE),"")</f>
        <v/>
      </c>
      <c r="H280" s="40">
        <f>IFERROR(IF(SUMPRODUCT(MAX((案件入力!$D$2:$D$279=$D280)*(案件入力!$R$2:$R$279="完了")*(案件入力!$B$2:$B$279)))=0,VLOOKUP($D280,商品マスタ範囲,5,FALSE),INDEX(案件入力!$I$2:$I$279,MATCH($D280&amp;"|"&amp;TEXT(SUMPRODUCT(MAX((案件入力!$D$2:$D$279=$D280)*(案件入力!$R$2:$R$279="完了")*(案件入力!$B$2:$B$279))),"0"),案件入力!$T$2:$T$279,0))),"")</f>
        <v/>
      </c>
      <c r="I280" s="40" t="n"/>
      <c r="J280" s="11">
        <f>IF(OR($H280="",$I280=""),"",IFERROR(($I280-$H280)/$H280,""))</f>
        <v/>
      </c>
      <c r="K280" s="8" t="n"/>
      <c r="L280" s="40">
        <f>IFERROR(IF(SUMPRODUCT(MAX((案件入力!$D$2:$D$279=$D280)*(案件入力!$R$2:$R$279="完了")*(案件入力!$B$2:$B$279)))=0,VLOOKUP($D280,商品マスタ範囲,6,FALSE),INDEX(案件入力!$M$2:$M$279,MATCH($D280&amp;"|"&amp;TEXT(SUMPRODUCT(MAX((案件入力!$D$2:$D$279=$D280)*(案件入力!$R$2:$R$279="完了")*(案件入力!$B$2:$B$279))),"0"),案件入力!$T$2:$T$279,0))),"")</f>
        <v/>
      </c>
      <c r="M280" s="40" t="n"/>
      <c r="N280" s="11">
        <f>IF(OR($L280="",$M280=""),"",IFERROR(($M280-$L280)/$L280,""))</f>
        <v/>
      </c>
      <c r="O280" s="8" t="n"/>
      <c r="P280" s="9" t="n"/>
      <c r="Q280" s="7" t="n"/>
      <c r="R280" s="7" t="n"/>
      <c r="S280" s="7" t="n"/>
      <c r="T280" s="7">
        <f>IF($R280="完了",$D280&amp;"|"&amp;TEXT($B280,"0"),"")</f>
        <v/>
      </c>
    </row>
    <row r="281">
      <c r="A281" s="7">
        <f>IF($B281="","",TEXT(YEAR($B281),"0000")&amp;"-"&amp;TEXT(SUMPRODUCT((YEAR($B$2:$B281)=YEAR($B281))*($B$2:$B281&lt;&gt;"")),"000"))</f>
        <v/>
      </c>
      <c r="B281" s="8" t="n"/>
      <c r="C281" s="7" t="n"/>
      <c r="D281" s="9" t="n"/>
      <c r="E281" s="7">
        <f>IFERROR(VLOOKUP($D281,商品マスタ範囲,4,FALSE),"")</f>
        <v/>
      </c>
      <c r="F281" s="7">
        <f>IFERROR(VLOOKUP($D281,商品マスタ範囲,2,FALSE),"")</f>
        <v/>
      </c>
      <c r="G281" s="7">
        <f>IFERROR(VLOOKUP($D281,商品マスタ範囲,3,FALSE),"")</f>
        <v/>
      </c>
      <c r="H281" s="40">
        <f>IFERROR(IF(SUMPRODUCT(MAX((案件入力!$D$2:$D$280=$D281)*(案件入力!$R$2:$R$280="完了")*(案件入力!$B$2:$B$280)))=0,VLOOKUP($D281,商品マスタ範囲,5,FALSE),INDEX(案件入力!$I$2:$I$280,MATCH($D281&amp;"|"&amp;TEXT(SUMPRODUCT(MAX((案件入力!$D$2:$D$280=$D281)*(案件入力!$R$2:$R$280="完了")*(案件入力!$B$2:$B$280))),"0"),案件入力!$T$2:$T$280,0))),"")</f>
        <v/>
      </c>
      <c r="I281" s="40" t="n"/>
      <c r="J281" s="11">
        <f>IF(OR($H281="",$I281=""),"",IFERROR(($I281-$H281)/$H281,""))</f>
        <v/>
      </c>
      <c r="K281" s="8" t="n"/>
      <c r="L281" s="40">
        <f>IFERROR(IF(SUMPRODUCT(MAX((案件入力!$D$2:$D$280=$D281)*(案件入力!$R$2:$R$280="完了")*(案件入力!$B$2:$B$280)))=0,VLOOKUP($D281,商品マスタ範囲,6,FALSE),INDEX(案件入力!$M$2:$M$280,MATCH($D281&amp;"|"&amp;TEXT(SUMPRODUCT(MAX((案件入力!$D$2:$D$280=$D281)*(案件入力!$R$2:$R$280="完了")*(案件入力!$B$2:$B$280))),"0"),案件入力!$T$2:$T$280,0))),"")</f>
        <v/>
      </c>
      <c r="M281" s="40" t="n"/>
      <c r="N281" s="11">
        <f>IF(OR($L281="",$M281=""),"",IFERROR(($M281-$L281)/$L281,""))</f>
        <v/>
      </c>
      <c r="O281" s="8" t="n"/>
      <c r="P281" s="9" t="n"/>
      <c r="Q281" s="7" t="n"/>
      <c r="R281" s="7" t="n"/>
      <c r="S281" s="7" t="n"/>
      <c r="T281" s="7">
        <f>IF($R281="完了",$D281&amp;"|"&amp;TEXT($B281,"0"),"")</f>
        <v/>
      </c>
    </row>
    <row r="282">
      <c r="A282" s="7">
        <f>IF($B282="","",TEXT(YEAR($B282),"0000")&amp;"-"&amp;TEXT(SUMPRODUCT((YEAR($B$2:$B282)=YEAR($B282))*($B$2:$B282&lt;&gt;"")),"000"))</f>
        <v/>
      </c>
      <c r="B282" s="8" t="n"/>
      <c r="C282" s="7" t="n"/>
      <c r="D282" s="9" t="n"/>
      <c r="E282" s="7">
        <f>IFERROR(VLOOKUP($D282,商品マスタ範囲,4,FALSE),"")</f>
        <v/>
      </c>
      <c r="F282" s="7">
        <f>IFERROR(VLOOKUP($D282,商品マスタ範囲,2,FALSE),"")</f>
        <v/>
      </c>
      <c r="G282" s="7">
        <f>IFERROR(VLOOKUP($D282,商品マスタ範囲,3,FALSE),"")</f>
        <v/>
      </c>
      <c r="H282" s="40">
        <f>IFERROR(IF(SUMPRODUCT(MAX((案件入力!$D$2:$D$281=$D282)*(案件入力!$R$2:$R$281="完了")*(案件入力!$B$2:$B$281)))=0,VLOOKUP($D282,商品マスタ範囲,5,FALSE),INDEX(案件入力!$I$2:$I$281,MATCH($D282&amp;"|"&amp;TEXT(SUMPRODUCT(MAX((案件入力!$D$2:$D$281=$D282)*(案件入力!$R$2:$R$281="完了")*(案件入力!$B$2:$B$281))),"0"),案件入力!$T$2:$T$281,0))),"")</f>
        <v/>
      </c>
      <c r="I282" s="40" t="n"/>
      <c r="J282" s="11">
        <f>IF(OR($H282="",$I282=""),"",IFERROR(($I282-$H282)/$H282,""))</f>
        <v/>
      </c>
      <c r="K282" s="8" t="n"/>
      <c r="L282" s="40">
        <f>IFERROR(IF(SUMPRODUCT(MAX((案件入力!$D$2:$D$281=$D282)*(案件入力!$R$2:$R$281="完了")*(案件入力!$B$2:$B$281)))=0,VLOOKUP($D282,商品マスタ範囲,6,FALSE),INDEX(案件入力!$M$2:$M$281,MATCH($D282&amp;"|"&amp;TEXT(SUMPRODUCT(MAX((案件入力!$D$2:$D$281=$D282)*(案件入力!$R$2:$R$281="完了")*(案件入力!$B$2:$B$281))),"0"),案件入力!$T$2:$T$281,0))),"")</f>
        <v/>
      </c>
      <c r="M282" s="40" t="n"/>
      <c r="N282" s="11">
        <f>IF(OR($L282="",$M282=""),"",IFERROR(($M282-$L282)/$L282,""))</f>
        <v/>
      </c>
      <c r="O282" s="8" t="n"/>
      <c r="P282" s="9" t="n"/>
      <c r="Q282" s="7" t="n"/>
      <c r="R282" s="7" t="n"/>
      <c r="S282" s="7" t="n"/>
      <c r="T282" s="7">
        <f>IF($R282="完了",$D282&amp;"|"&amp;TEXT($B282,"0"),"")</f>
        <v/>
      </c>
    </row>
    <row r="283">
      <c r="A283" s="7">
        <f>IF($B283="","",TEXT(YEAR($B283),"0000")&amp;"-"&amp;TEXT(SUMPRODUCT((YEAR($B$2:$B283)=YEAR($B283))*($B$2:$B283&lt;&gt;"")),"000"))</f>
        <v/>
      </c>
      <c r="B283" s="8" t="n"/>
      <c r="C283" s="7" t="n"/>
      <c r="D283" s="9" t="n"/>
      <c r="E283" s="7">
        <f>IFERROR(VLOOKUP($D283,商品マスタ範囲,4,FALSE),"")</f>
        <v/>
      </c>
      <c r="F283" s="7">
        <f>IFERROR(VLOOKUP($D283,商品マスタ範囲,2,FALSE),"")</f>
        <v/>
      </c>
      <c r="G283" s="7">
        <f>IFERROR(VLOOKUP($D283,商品マスタ範囲,3,FALSE),"")</f>
        <v/>
      </c>
      <c r="H283" s="40">
        <f>IFERROR(IF(SUMPRODUCT(MAX((案件入力!$D$2:$D$282=$D283)*(案件入力!$R$2:$R$282="完了")*(案件入力!$B$2:$B$282)))=0,VLOOKUP($D283,商品マスタ範囲,5,FALSE),INDEX(案件入力!$I$2:$I$282,MATCH($D283&amp;"|"&amp;TEXT(SUMPRODUCT(MAX((案件入力!$D$2:$D$282=$D283)*(案件入力!$R$2:$R$282="完了")*(案件入力!$B$2:$B$282))),"0"),案件入力!$T$2:$T$282,0))),"")</f>
        <v/>
      </c>
      <c r="I283" s="40" t="n"/>
      <c r="J283" s="11">
        <f>IF(OR($H283="",$I283=""),"",IFERROR(($I283-$H283)/$H283,""))</f>
        <v/>
      </c>
      <c r="K283" s="8" t="n"/>
      <c r="L283" s="40">
        <f>IFERROR(IF(SUMPRODUCT(MAX((案件入力!$D$2:$D$282=$D283)*(案件入力!$R$2:$R$282="完了")*(案件入力!$B$2:$B$282)))=0,VLOOKUP($D283,商品マスタ範囲,6,FALSE),INDEX(案件入力!$M$2:$M$282,MATCH($D283&amp;"|"&amp;TEXT(SUMPRODUCT(MAX((案件入力!$D$2:$D$282=$D283)*(案件入力!$R$2:$R$282="完了")*(案件入力!$B$2:$B$282))),"0"),案件入力!$T$2:$T$282,0))),"")</f>
        <v/>
      </c>
      <c r="M283" s="40" t="n"/>
      <c r="N283" s="11">
        <f>IF(OR($L283="",$M283=""),"",IFERROR(($M283-$L283)/$L283,""))</f>
        <v/>
      </c>
      <c r="O283" s="8" t="n"/>
      <c r="P283" s="9" t="n"/>
      <c r="Q283" s="7" t="n"/>
      <c r="R283" s="7" t="n"/>
      <c r="S283" s="7" t="n"/>
      <c r="T283" s="7">
        <f>IF($R283="完了",$D283&amp;"|"&amp;TEXT($B283,"0"),"")</f>
        <v/>
      </c>
    </row>
    <row r="284">
      <c r="A284" s="7">
        <f>IF($B284="","",TEXT(YEAR($B284),"0000")&amp;"-"&amp;TEXT(SUMPRODUCT((YEAR($B$2:$B284)=YEAR($B284))*($B$2:$B284&lt;&gt;"")),"000"))</f>
        <v/>
      </c>
      <c r="B284" s="8" t="n"/>
      <c r="C284" s="7" t="n"/>
      <c r="D284" s="9" t="n"/>
      <c r="E284" s="7">
        <f>IFERROR(VLOOKUP($D284,商品マスタ範囲,4,FALSE),"")</f>
        <v/>
      </c>
      <c r="F284" s="7">
        <f>IFERROR(VLOOKUP($D284,商品マスタ範囲,2,FALSE),"")</f>
        <v/>
      </c>
      <c r="G284" s="7">
        <f>IFERROR(VLOOKUP($D284,商品マスタ範囲,3,FALSE),"")</f>
        <v/>
      </c>
      <c r="H284" s="40">
        <f>IFERROR(IF(SUMPRODUCT(MAX((案件入力!$D$2:$D$283=$D284)*(案件入力!$R$2:$R$283="完了")*(案件入力!$B$2:$B$283)))=0,VLOOKUP($D284,商品マスタ範囲,5,FALSE),INDEX(案件入力!$I$2:$I$283,MATCH($D284&amp;"|"&amp;TEXT(SUMPRODUCT(MAX((案件入力!$D$2:$D$283=$D284)*(案件入力!$R$2:$R$283="完了")*(案件入力!$B$2:$B$283))),"0"),案件入力!$T$2:$T$283,0))),"")</f>
        <v/>
      </c>
      <c r="I284" s="40" t="n"/>
      <c r="J284" s="11">
        <f>IF(OR($H284="",$I284=""),"",IFERROR(($I284-$H284)/$H284,""))</f>
        <v/>
      </c>
      <c r="K284" s="8" t="n"/>
      <c r="L284" s="40">
        <f>IFERROR(IF(SUMPRODUCT(MAX((案件入力!$D$2:$D$283=$D284)*(案件入力!$R$2:$R$283="完了")*(案件入力!$B$2:$B$283)))=0,VLOOKUP($D284,商品マスタ範囲,6,FALSE),INDEX(案件入力!$M$2:$M$283,MATCH($D284&amp;"|"&amp;TEXT(SUMPRODUCT(MAX((案件入力!$D$2:$D$283=$D284)*(案件入力!$R$2:$R$283="完了")*(案件入力!$B$2:$B$283))),"0"),案件入力!$T$2:$T$283,0))),"")</f>
        <v/>
      </c>
      <c r="M284" s="40" t="n"/>
      <c r="N284" s="11">
        <f>IF(OR($L284="",$M284=""),"",IFERROR(($M284-$L284)/$L284,""))</f>
        <v/>
      </c>
      <c r="O284" s="8" t="n"/>
      <c r="P284" s="9" t="n"/>
      <c r="Q284" s="7" t="n"/>
      <c r="R284" s="7" t="n"/>
      <c r="S284" s="7" t="n"/>
      <c r="T284" s="7">
        <f>IF($R284="完了",$D284&amp;"|"&amp;TEXT($B284,"0"),"")</f>
        <v/>
      </c>
    </row>
    <row r="285">
      <c r="A285" s="7">
        <f>IF($B285="","",TEXT(YEAR($B285),"0000")&amp;"-"&amp;TEXT(SUMPRODUCT((YEAR($B$2:$B285)=YEAR($B285))*($B$2:$B285&lt;&gt;"")),"000"))</f>
        <v/>
      </c>
      <c r="B285" s="8" t="n"/>
      <c r="C285" s="7" t="n"/>
      <c r="D285" s="9" t="n"/>
      <c r="E285" s="7">
        <f>IFERROR(VLOOKUP($D285,商品マスタ範囲,4,FALSE),"")</f>
        <v/>
      </c>
      <c r="F285" s="7">
        <f>IFERROR(VLOOKUP($D285,商品マスタ範囲,2,FALSE),"")</f>
        <v/>
      </c>
      <c r="G285" s="7">
        <f>IFERROR(VLOOKUP($D285,商品マスタ範囲,3,FALSE),"")</f>
        <v/>
      </c>
      <c r="H285" s="40">
        <f>IFERROR(IF(SUMPRODUCT(MAX((案件入力!$D$2:$D$284=$D285)*(案件入力!$R$2:$R$284="完了")*(案件入力!$B$2:$B$284)))=0,VLOOKUP($D285,商品マスタ範囲,5,FALSE),INDEX(案件入力!$I$2:$I$284,MATCH($D285&amp;"|"&amp;TEXT(SUMPRODUCT(MAX((案件入力!$D$2:$D$284=$D285)*(案件入力!$R$2:$R$284="完了")*(案件入力!$B$2:$B$284))),"0"),案件入力!$T$2:$T$284,0))),"")</f>
        <v/>
      </c>
      <c r="I285" s="40" t="n"/>
      <c r="J285" s="11">
        <f>IF(OR($H285="",$I285=""),"",IFERROR(($I285-$H285)/$H285,""))</f>
        <v/>
      </c>
      <c r="K285" s="8" t="n"/>
      <c r="L285" s="40">
        <f>IFERROR(IF(SUMPRODUCT(MAX((案件入力!$D$2:$D$284=$D285)*(案件入力!$R$2:$R$284="完了")*(案件入力!$B$2:$B$284)))=0,VLOOKUP($D285,商品マスタ範囲,6,FALSE),INDEX(案件入力!$M$2:$M$284,MATCH($D285&amp;"|"&amp;TEXT(SUMPRODUCT(MAX((案件入力!$D$2:$D$284=$D285)*(案件入力!$R$2:$R$284="完了")*(案件入力!$B$2:$B$284))),"0"),案件入力!$T$2:$T$284,0))),"")</f>
        <v/>
      </c>
      <c r="M285" s="40" t="n"/>
      <c r="N285" s="11">
        <f>IF(OR($L285="",$M285=""),"",IFERROR(($M285-$L285)/$L285,""))</f>
        <v/>
      </c>
      <c r="O285" s="8" t="n"/>
      <c r="P285" s="9" t="n"/>
      <c r="Q285" s="7" t="n"/>
      <c r="R285" s="7" t="n"/>
      <c r="S285" s="7" t="n"/>
      <c r="T285" s="7">
        <f>IF($R285="完了",$D285&amp;"|"&amp;TEXT($B285,"0"),"")</f>
        <v/>
      </c>
    </row>
    <row r="286">
      <c r="A286" s="7">
        <f>IF($B286="","",TEXT(YEAR($B286),"0000")&amp;"-"&amp;TEXT(SUMPRODUCT((YEAR($B$2:$B286)=YEAR($B286))*($B$2:$B286&lt;&gt;"")),"000"))</f>
        <v/>
      </c>
      <c r="B286" s="8" t="n"/>
      <c r="C286" s="7" t="n"/>
      <c r="D286" s="9" t="n"/>
      <c r="E286" s="7">
        <f>IFERROR(VLOOKUP($D286,商品マスタ範囲,4,FALSE),"")</f>
        <v/>
      </c>
      <c r="F286" s="7">
        <f>IFERROR(VLOOKUP($D286,商品マスタ範囲,2,FALSE),"")</f>
        <v/>
      </c>
      <c r="G286" s="7">
        <f>IFERROR(VLOOKUP($D286,商品マスタ範囲,3,FALSE),"")</f>
        <v/>
      </c>
      <c r="H286" s="40">
        <f>IFERROR(IF(SUMPRODUCT(MAX((案件入力!$D$2:$D$285=$D286)*(案件入力!$R$2:$R$285="完了")*(案件入力!$B$2:$B$285)))=0,VLOOKUP($D286,商品マスタ範囲,5,FALSE),INDEX(案件入力!$I$2:$I$285,MATCH($D286&amp;"|"&amp;TEXT(SUMPRODUCT(MAX((案件入力!$D$2:$D$285=$D286)*(案件入力!$R$2:$R$285="完了")*(案件入力!$B$2:$B$285))),"0"),案件入力!$T$2:$T$285,0))),"")</f>
        <v/>
      </c>
      <c r="I286" s="40" t="n"/>
      <c r="J286" s="11">
        <f>IF(OR($H286="",$I286=""),"",IFERROR(($I286-$H286)/$H286,""))</f>
        <v/>
      </c>
      <c r="K286" s="8" t="n"/>
      <c r="L286" s="40">
        <f>IFERROR(IF(SUMPRODUCT(MAX((案件入力!$D$2:$D$285=$D286)*(案件入力!$R$2:$R$285="完了")*(案件入力!$B$2:$B$285)))=0,VLOOKUP($D286,商品マスタ範囲,6,FALSE),INDEX(案件入力!$M$2:$M$285,MATCH($D286&amp;"|"&amp;TEXT(SUMPRODUCT(MAX((案件入力!$D$2:$D$285=$D286)*(案件入力!$R$2:$R$285="完了")*(案件入力!$B$2:$B$285))),"0"),案件入力!$T$2:$T$285,0))),"")</f>
        <v/>
      </c>
      <c r="M286" s="40" t="n"/>
      <c r="N286" s="11">
        <f>IF(OR($L286="",$M286=""),"",IFERROR(($M286-$L286)/$L286,""))</f>
        <v/>
      </c>
      <c r="O286" s="8" t="n"/>
      <c r="P286" s="9" t="n"/>
      <c r="Q286" s="7" t="n"/>
      <c r="R286" s="7" t="n"/>
      <c r="S286" s="7" t="n"/>
      <c r="T286" s="7">
        <f>IF($R286="完了",$D286&amp;"|"&amp;TEXT($B286,"0"),"")</f>
        <v/>
      </c>
    </row>
    <row r="287">
      <c r="A287" s="7">
        <f>IF($B287="","",TEXT(YEAR($B287),"0000")&amp;"-"&amp;TEXT(SUMPRODUCT((YEAR($B$2:$B287)=YEAR($B287))*($B$2:$B287&lt;&gt;"")),"000"))</f>
        <v/>
      </c>
      <c r="B287" s="8" t="n"/>
      <c r="C287" s="7" t="n"/>
      <c r="D287" s="9" t="n"/>
      <c r="E287" s="7">
        <f>IFERROR(VLOOKUP($D287,商品マスタ範囲,4,FALSE),"")</f>
        <v/>
      </c>
      <c r="F287" s="7">
        <f>IFERROR(VLOOKUP($D287,商品マスタ範囲,2,FALSE),"")</f>
        <v/>
      </c>
      <c r="G287" s="7">
        <f>IFERROR(VLOOKUP($D287,商品マスタ範囲,3,FALSE),"")</f>
        <v/>
      </c>
      <c r="H287" s="40">
        <f>IFERROR(IF(SUMPRODUCT(MAX((案件入力!$D$2:$D$286=$D287)*(案件入力!$R$2:$R$286="完了")*(案件入力!$B$2:$B$286)))=0,VLOOKUP($D287,商品マスタ範囲,5,FALSE),INDEX(案件入力!$I$2:$I$286,MATCH($D287&amp;"|"&amp;TEXT(SUMPRODUCT(MAX((案件入力!$D$2:$D$286=$D287)*(案件入力!$R$2:$R$286="完了")*(案件入力!$B$2:$B$286))),"0"),案件入力!$T$2:$T$286,0))),"")</f>
        <v/>
      </c>
      <c r="I287" s="40" t="n"/>
      <c r="J287" s="11">
        <f>IF(OR($H287="",$I287=""),"",IFERROR(($I287-$H287)/$H287,""))</f>
        <v/>
      </c>
      <c r="K287" s="8" t="n"/>
      <c r="L287" s="40">
        <f>IFERROR(IF(SUMPRODUCT(MAX((案件入力!$D$2:$D$286=$D287)*(案件入力!$R$2:$R$286="完了")*(案件入力!$B$2:$B$286)))=0,VLOOKUP($D287,商品マスタ範囲,6,FALSE),INDEX(案件入力!$M$2:$M$286,MATCH($D287&amp;"|"&amp;TEXT(SUMPRODUCT(MAX((案件入力!$D$2:$D$286=$D287)*(案件入力!$R$2:$R$286="完了")*(案件入力!$B$2:$B$286))),"0"),案件入力!$T$2:$T$286,0))),"")</f>
        <v/>
      </c>
      <c r="M287" s="40" t="n"/>
      <c r="N287" s="11">
        <f>IF(OR($L287="",$M287=""),"",IFERROR(($M287-$L287)/$L287,""))</f>
        <v/>
      </c>
      <c r="O287" s="8" t="n"/>
      <c r="P287" s="9" t="n"/>
      <c r="Q287" s="7" t="n"/>
      <c r="R287" s="7" t="n"/>
      <c r="S287" s="7" t="n"/>
      <c r="T287" s="7">
        <f>IF($R287="完了",$D287&amp;"|"&amp;TEXT($B287,"0"),"")</f>
        <v/>
      </c>
    </row>
    <row r="288">
      <c r="A288" s="7">
        <f>IF($B288="","",TEXT(YEAR($B288),"0000")&amp;"-"&amp;TEXT(SUMPRODUCT((YEAR($B$2:$B288)=YEAR($B288))*($B$2:$B288&lt;&gt;"")),"000"))</f>
        <v/>
      </c>
      <c r="B288" s="8" t="n"/>
      <c r="C288" s="7" t="n"/>
      <c r="D288" s="9" t="n"/>
      <c r="E288" s="7">
        <f>IFERROR(VLOOKUP($D288,商品マスタ範囲,4,FALSE),"")</f>
        <v/>
      </c>
      <c r="F288" s="7">
        <f>IFERROR(VLOOKUP($D288,商品マスタ範囲,2,FALSE),"")</f>
        <v/>
      </c>
      <c r="G288" s="7">
        <f>IFERROR(VLOOKUP($D288,商品マスタ範囲,3,FALSE),"")</f>
        <v/>
      </c>
      <c r="H288" s="40">
        <f>IFERROR(IF(SUMPRODUCT(MAX((案件入力!$D$2:$D$287=$D288)*(案件入力!$R$2:$R$287="完了")*(案件入力!$B$2:$B$287)))=0,VLOOKUP($D288,商品マスタ範囲,5,FALSE),INDEX(案件入力!$I$2:$I$287,MATCH($D288&amp;"|"&amp;TEXT(SUMPRODUCT(MAX((案件入力!$D$2:$D$287=$D288)*(案件入力!$R$2:$R$287="完了")*(案件入力!$B$2:$B$287))),"0"),案件入力!$T$2:$T$287,0))),"")</f>
        <v/>
      </c>
      <c r="I288" s="40" t="n"/>
      <c r="J288" s="11">
        <f>IF(OR($H288="",$I288=""),"",IFERROR(($I288-$H288)/$H288,""))</f>
        <v/>
      </c>
      <c r="K288" s="8" t="n"/>
      <c r="L288" s="40">
        <f>IFERROR(IF(SUMPRODUCT(MAX((案件入力!$D$2:$D$287=$D288)*(案件入力!$R$2:$R$287="完了")*(案件入力!$B$2:$B$287)))=0,VLOOKUP($D288,商品マスタ範囲,6,FALSE),INDEX(案件入力!$M$2:$M$287,MATCH($D288&amp;"|"&amp;TEXT(SUMPRODUCT(MAX((案件入力!$D$2:$D$287=$D288)*(案件入力!$R$2:$R$287="完了")*(案件入力!$B$2:$B$287))),"0"),案件入力!$T$2:$T$287,0))),"")</f>
        <v/>
      </c>
      <c r="M288" s="40" t="n"/>
      <c r="N288" s="11">
        <f>IF(OR($L288="",$M288=""),"",IFERROR(($M288-$L288)/$L288,""))</f>
        <v/>
      </c>
      <c r="O288" s="8" t="n"/>
      <c r="P288" s="9" t="n"/>
      <c r="Q288" s="7" t="n"/>
      <c r="R288" s="7" t="n"/>
      <c r="S288" s="7" t="n"/>
      <c r="T288" s="7">
        <f>IF($R288="完了",$D288&amp;"|"&amp;TEXT($B288,"0"),"")</f>
        <v/>
      </c>
    </row>
    <row r="289">
      <c r="A289" s="7">
        <f>IF($B289="","",TEXT(YEAR($B289),"0000")&amp;"-"&amp;TEXT(SUMPRODUCT((YEAR($B$2:$B289)=YEAR($B289))*($B$2:$B289&lt;&gt;"")),"000"))</f>
        <v/>
      </c>
      <c r="B289" s="8" t="n"/>
      <c r="C289" s="7" t="n"/>
      <c r="D289" s="9" t="n"/>
      <c r="E289" s="7">
        <f>IFERROR(VLOOKUP($D289,商品マスタ範囲,4,FALSE),"")</f>
        <v/>
      </c>
      <c r="F289" s="7">
        <f>IFERROR(VLOOKUP($D289,商品マスタ範囲,2,FALSE),"")</f>
        <v/>
      </c>
      <c r="G289" s="7">
        <f>IFERROR(VLOOKUP($D289,商品マスタ範囲,3,FALSE),"")</f>
        <v/>
      </c>
      <c r="H289" s="40">
        <f>IFERROR(IF(SUMPRODUCT(MAX((案件入力!$D$2:$D$288=$D289)*(案件入力!$R$2:$R$288="完了")*(案件入力!$B$2:$B$288)))=0,VLOOKUP($D289,商品マスタ範囲,5,FALSE),INDEX(案件入力!$I$2:$I$288,MATCH($D289&amp;"|"&amp;TEXT(SUMPRODUCT(MAX((案件入力!$D$2:$D$288=$D289)*(案件入力!$R$2:$R$288="完了")*(案件入力!$B$2:$B$288))),"0"),案件入力!$T$2:$T$288,0))),"")</f>
        <v/>
      </c>
      <c r="I289" s="40" t="n"/>
      <c r="J289" s="11">
        <f>IF(OR($H289="",$I289=""),"",IFERROR(($I289-$H289)/$H289,""))</f>
        <v/>
      </c>
      <c r="K289" s="8" t="n"/>
      <c r="L289" s="40">
        <f>IFERROR(IF(SUMPRODUCT(MAX((案件入力!$D$2:$D$288=$D289)*(案件入力!$R$2:$R$288="完了")*(案件入力!$B$2:$B$288)))=0,VLOOKUP($D289,商品マスタ範囲,6,FALSE),INDEX(案件入力!$M$2:$M$288,MATCH($D289&amp;"|"&amp;TEXT(SUMPRODUCT(MAX((案件入力!$D$2:$D$288=$D289)*(案件入力!$R$2:$R$288="完了")*(案件入力!$B$2:$B$288))),"0"),案件入力!$T$2:$T$288,0))),"")</f>
        <v/>
      </c>
      <c r="M289" s="40" t="n"/>
      <c r="N289" s="11">
        <f>IF(OR($L289="",$M289=""),"",IFERROR(($M289-$L289)/$L289,""))</f>
        <v/>
      </c>
      <c r="O289" s="8" t="n"/>
      <c r="P289" s="9" t="n"/>
      <c r="Q289" s="7" t="n"/>
      <c r="R289" s="7" t="n"/>
      <c r="S289" s="7" t="n"/>
      <c r="T289" s="7">
        <f>IF($R289="完了",$D289&amp;"|"&amp;TEXT($B289,"0"),"")</f>
        <v/>
      </c>
    </row>
    <row r="290">
      <c r="A290" s="7">
        <f>IF($B290="","",TEXT(YEAR($B290),"0000")&amp;"-"&amp;TEXT(SUMPRODUCT((YEAR($B$2:$B290)=YEAR($B290))*($B$2:$B290&lt;&gt;"")),"000"))</f>
        <v/>
      </c>
      <c r="B290" s="8" t="n"/>
      <c r="C290" s="7" t="n"/>
      <c r="D290" s="9" t="n"/>
      <c r="E290" s="7">
        <f>IFERROR(VLOOKUP($D290,商品マスタ範囲,4,FALSE),"")</f>
        <v/>
      </c>
      <c r="F290" s="7">
        <f>IFERROR(VLOOKUP($D290,商品マスタ範囲,2,FALSE),"")</f>
        <v/>
      </c>
      <c r="G290" s="7">
        <f>IFERROR(VLOOKUP($D290,商品マスタ範囲,3,FALSE),"")</f>
        <v/>
      </c>
      <c r="H290" s="40">
        <f>IFERROR(IF(SUMPRODUCT(MAX((案件入力!$D$2:$D$289=$D290)*(案件入力!$R$2:$R$289="完了")*(案件入力!$B$2:$B$289)))=0,VLOOKUP($D290,商品マスタ範囲,5,FALSE),INDEX(案件入力!$I$2:$I$289,MATCH($D290&amp;"|"&amp;TEXT(SUMPRODUCT(MAX((案件入力!$D$2:$D$289=$D290)*(案件入力!$R$2:$R$289="完了")*(案件入力!$B$2:$B$289))),"0"),案件入力!$T$2:$T$289,0))),"")</f>
        <v/>
      </c>
      <c r="I290" s="40" t="n"/>
      <c r="J290" s="11">
        <f>IF(OR($H290="",$I290=""),"",IFERROR(($I290-$H290)/$H290,""))</f>
        <v/>
      </c>
      <c r="K290" s="8" t="n"/>
      <c r="L290" s="40">
        <f>IFERROR(IF(SUMPRODUCT(MAX((案件入力!$D$2:$D$289=$D290)*(案件入力!$R$2:$R$289="完了")*(案件入力!$B$2:$B$289)))=0,VLOOKUP($D290,商品マスタ範囲,6,FALSE),INDEX(案件入力!$M$2:$M$289,MATCH($D290&amp;"|"&amp;TEXT(SUMPRODUCT(MAX((案件入力!$D$2:$D$289=$D290)*(案件入力!$R$2:$R$289="完了")*(案件入力!$B$2:$B$289))),"0"),案件入力!$T$2:$T$289,0))),"")</f>
        <v/>
      </c>
      <c r="M290" s="40" t="n"/>
      <c r="N290" s="11">
        <f>IF(OR($L290="",$M290=""),"",IFERROR(($M290-$L290)/$L290,""))</f>
        <v/>
      </c>
      <c r="O290" s="8" t="n"/>
      <c r="P290" s="9" t="n"/>
      <c r="Q290" s="7" t="n"/>
      <c r="R290" s="7" t="n"/>
      <c r="S290" s="7" t="n"/>
      <c r="T290" s="7">
        <f>IF($R290="完了",$D290&amp;"|"&amp;TEXT($B290,"0"),"")</f>
        <v/>
      </c>
    </row>
    <row r="291">
      <c r="A291" s="7">
        <f>IF($B291="","",TEXT(YEAR($B291),"0000")&amp;"-"&amp;TEXT(SUMPRODUCT((YEAR($B$2:$B291)=YEAR($B291))*($B$2:$B291&lt;&gt;"")),"000"))</f>
        <v/>
      </c>
      <c r="B291" s="8" t="n"/>
      <c r="C291" s="7" t="n"/>
      <c r="D291" s="9" t="n"/>
      <c r="E291" s="7">
        <f>IFERROR(VLOOKUP($D291,商品マスタ範囲,4,FALSE),"")</f>
        <v/>
      </c>
      <c r="F291" s="7">
        <f>IFERROR(VLOOKUP($D291,商品マスタ範囲,2,FALSE),"")</f>
        <v/>
      </c>
      <c r="G291" s="7">
        <f>IFERROR(VLOOKUP($D291,商品マスタ範囲,3,FALSE),"")</f>
        <v/>
      </c>
      <c r="H291" s="40">
        <f>IFERROR(IF(SUMPRODUCT(MAX((案件入力!$D$2:$D$290=$D291)*(案件入力!$R$2:$R$290="完了")*(案件入力!$B$2:$B$290)))=0,VLOOKUP($D291,商品マスタ範囲,5,FALSE),INDEX(案件入力!$I$2:$I$290,MATCH($D291&amp;"|"&amp;TEXT(SUMPRODUCT(MAX((案件入力!$D$2:$D$290=$D291)*(案件入力!$R$2:$R$290="完了")*(案件入力!$B$2:$B$290))),"0"),案件入力!$T$2:$T$290,0))),"")</f>
        <v/>
      </c>
      <c r="I291" s="40" t="n"/>
      <c r="J291" s="11">
        <f>IF(OR($H291="",$I291=""),"",IFERROR(($I291-$H291)/$H291,""))</f>
        <v/>
      </c>
      <c r="K291" s="8" t="n"/>
      <c r="L291" s="40">
        <f>IFERROR(IF(SUMPRODUCT(MAX((案件入力!$D$2:$D$290=$D291)*(案件入力!$R$2:$R$290="完了")*(案件入力!$B$2:$B$290)))=0,VLOOKUP($D291,商品マスタ範囲,6,FALSE),INDEX(案件入力!$M$2:$M$290,MATCH($D291&amp;"|"&amp;TEXT(SUMPRODUCT(MAX((案件入力!$D$2:$D$290=$D291)*(案件入力!$R$2:$R$290="完了")*(案件入力!$B$2:$B$290))),"0"),案件入力!$T$2:$T$290,0))),"")</f>
        <v/>
      </c>
      <c r="M291" s="40" t="n"/>
      <c r="N291" s="11">
        <f>IF(OR($L291="",$M291=""),"",IFERROR(($M291-$L291)/$L291,""))</f>
        <v/>
      </c>
      <c r="O291" s="8" t="n"/>
      <c r="P291" s="9" t="n"/>
      <c r="Q291" s="7" t="n"/>
      <c r="R291" s="7" t="n"/>
      <c r="S291" s="7" t="n"/>
      <c r="T291" s="7">
        <f>IF($R291="完了",$D291&amp;"|"&amp;TEXT($B291,"0"),"")</f>
        <v/>
      </c>
    </row>
    <row r="292">
      <c r="A292" s="7">
        <f>IF($B292="","",TEXT(YEAR($B292),"0000")&amp;"-"&amp;TEXT(SUMPRODUCT((YEAR($B$2:$B292)=YEAR($B292))*($B$2:$B292&lt;&gt;"")),"000"))</f>
        <v/>
      </c>
      <c r="B292" s="8" t="n"/>
      <c r="C292" s="7" t="n"/>
      <c r="D292" s="9" t="n"/>
      <c r="E292" s="7">
        <f>IFERROR(VLOOKUP($D292,商品マスタ範囲,4,FALSE),"")</f>
        <v/>
      </c>
      <c r="F292" s="7">
        <f>IFERROR(VLOOKUP($D292,商品マスタ範囲,2,FALSE),"")</f>
        <v/>
      </c>
      <c r="G292" s="7">
        <f>IFERROR(VLOOKUP($D292,商品マスタ範囲,3,FALSE),"")</f>
        <v/>
      </c>
      <c r="H292" s="40">
        <f>IFERROR(IF(SUMPRODUCT(MAX((案件入力!$D$2:$D$291=$D292)*(案件入力!$R$2:$R$291="完了")*(案件入力!$B$2:$B$291)))=0,VLOOKUP($D292,商品マスタ範囲,5,FALSE),INDEX(案件入力!$I$2:$I$291,MATCH($D292&amp;"|"&amp;TEXT(SUMPRODUCT(MAX((案件入力!$D$2:$D$291=$D292)*(案件入力!$R$2:$R$291="完了")*(案件入力!$B$2:$B$291))),"0"),案件入力!$T$2:$T$291,0))),"")</f>
        <v/>
      </c>
      <c r="I292" s="40" t="n"/>
      <c r="J292" s="11">
        <f>IF(OR($H292="",$I292=""),"",IFERROR(($I292-$H292)/$H292,""))</f>
        <v/>
      </c>
      <c r="K292" s="8" t="n"/>
      <c r="L292" s="40">
        <f>IFERROR(IF(SUMPRODUCT(MAX((案件入力!$D$2:$D$291=$D292)*(案件入力!$R$2:$R$291="完了")*(案件入力!$B$2:$B$291)))=0,VLOOKUP($D292,商品マスタ範囲,6,FALSE),INDEX(案件入力!$M$2:$M$291,MATCH($D292&amp;"|"&amp;TEXT(SUMPRODUCT(MAX((案件入力!$D$2:$D$291=$D292)*(案件入力!$R$2:$R$291="完了")*(案件入力!$B$2:$B$291))),"0"),案件入力!$T$2:$T$291,0))),"")</f>
        <v/>
      </c>
      <c r="M292" s="40" t="n"/>
      <c r="N292" s="11">
        <f>IF(OR($L292="",$M292=""),"",IFERROR(($M292-$L292)/$L292,""))</f>
        <v/>
      </c>
      <c r="O292" s="8" t="n"/>
      <c r="P292" s="9" t="n"/>
      <c r="Q292" s="7" t="n"/>
      <c r="R292" s="7" t="n"/>
      <c r="S292" s="7" t="n"/>
      <c r="T292" s="7">
        <f>IF($R292="完了",$D292&amp;"|"&amp;TEXT($B292,"0"),"")</f>
        <v/>
      </c>
    </row>
    <row r="293">
      <c r="A293" s="7">
        <f>IF($B293="","",TEXT(YEAR($B293),"0000")&amp;"-"&amp;TEXT(SUMPRODUCT((YEAR($B$2:$B293)=YEAR($B293))*($B$2:$B293&lt;&gt;"")),"000"))</f>
        <v/>
      </c>
      <c r="B293" s="8" t="n"/>
      <c r="C293" s="7" t="n"/>
      <c r="D293" s="9" t="n"/>
      <c r="E293" s="7">
        <f>IFERROR(VLOOKUP($D293,商品マスタ範囲,4,FALSE),"")</f>
        <v/>
      </c>
      <c r="F293" s="7">
        <f>IFERROR(VLOOKUP($D293,商品マスタ範囲,2,FALSE),"")</f>
        <v/>
      </c>
      <c r="G293" s="7">
        <f>IFERROR(VLOOKUP($D293,商品マスタ範囲,3,FALSE),"")</f>
        <v/>
      </c>
      <c r="H293" s="40">
        <f>IFERROR(IF(SUMPRODUCT(MAX((案件入力!$D$2:$D$292=$D293)*(案件入力!$R$2:$R$292="完了")*(案件入力!$B$2:$B$292)))=0,VLOOKUP($D293,商品マスタ範囲,5,FALSE),INDEX(案件入力!$I$2:$I$292,MATCH($D293&amp;"|"&amp;TEXT(SUMPRODUCT(MAX((案件入力!$D$2:$D$292=$D293)*(案件入力!$R$2:$R$292="完了")*(案件入力!$B$2:$B$292))),"0"),案件入力!$T$2:$T$292,0))),"")</f>
        <v/>
      </c>
      <c r="I293" s="40" t="n"/>
      <c r="J293" s="11">
        <f>IF(OR($H293="",$I293=""),"",IFERROR(($I293-$H293)/$H293,""))</f>
        <v/>
      </c>
      <c r="K293" s="8" t="n"/>
      <c r="L293" s="40">
        <f>IFERROR(IF(SUMPRODUCT(MAX((案件入力!$D$2:$D$292=$D293)*(案件入力!$R$2:$R$292="完了")*(案件入力!$B$2:$B$292)))=0,VLOOKUP($D293,商品マスタ範囲,6,FALSE),INDEX(案件入力!$M$2:$M$292,MATCH($D293&amp;"|"&amp;TEXT(SUMPRODUCT(MAX((案件入力!$D$2:$D$292=$D293)*(案件入力!$R$2:$R$292="完了")*(案件入力!$B$2:$B$292))),"0"),案件入力!$T$2:$T$292,0))),"")</f>
        <v/>
      </c>
      <c r="M293" s="40" t="n"/>
      <c r="N293" s="11">
        <f>IF(OR($L293="",$M293=""),"",IFERROR(($M293-$L293)/$L293,""))</f>
        <v/>
      </c>
      <c r="O293" s="8" t="n"/>
      <c r="P293" s="9" t="n"/>
      <c r="Q293" s="7" t="n"/>
      <c r="R293" s="7" t="n"/>
      <c r="S293" s="7" t="n"/>
      <c r="T293" s="7">
        <f>IF($R293="完了",$D293&amp;"|"&amp;TEXT($B293,"0"),"")</f>
        <v/>
      </c>
    </row>
    <row r="294">
      <c r="A294" s="7">
        <f>IF($B294="","",TEXT(YEAR($B294),"0000")&amp;"-"&amp;TEXT(SUMPRODUCT((YEAR($B$2:$B294)=YEAR($B294))*($B$2:$B294&lt;&gt;"")),"000"))</f>
        <v/>
      </c>
      <c r="B294" s="8" t="n"/>
      <c r="C294" s="7" t="n"/>
      <c r="D294" s="9" t="n"/>
      <c r="E294" s="7">
        <f>IFERROR(VLOOKUP($D294,商品マスタ範囲,4,FALSE),"")</f>
        <v/>
      </c>
      <c r="F294" s="7">
        <f>IFERROR(VLOOKUP($D294,商品マスタ範囲,2,FALSE),"")</f>
        <v/>
      </c>
      <c r="G294" s="7">
        <f>IFERROR(VLOOKUP($D294,商品マスタ範囲,3,FALSE),"")</f>
        <v/>
      </c>
      <c r="H294" s="40">
        <f>IFERROR(IF(SUMPRODUCT(MAX((案件入力!$D$2:$D$293=$D294)*(案件入力!$R$2:$R$293="完了")*(案件入力!$B$2:$B$293)))=0,VLOOKUP($D294,商品マスタ範囲,5,FALSE),INDEX(案件入力!$I$2:$I$293,MATCH($D294&amp;"|"&amp;TEXT(SUMPRODUCT(MAX((案件入力!$D$2:$D$293=$D294)*(案件入力!$R$2:$R$293="完了")*(案件入力!$B$2:$B$293))),"0"),案件入力!$T$2:$T$293,0))),"")</f>
        <v/>
      </c>
      <c r="I294" s="40" t="n"/>
      <c r="J294" s="11">
        <f>IF(OR($H294="",$I294=""),"",IFERROR(($I294-$H294)/$H294,""))</f>
        <v/>
      </c>
      <c r="K294" s="8" t="n"/>
      <c r="L294" s="40">
        <f>IFERROR(IF(SUMPRODUCT(MAX((案件入力!$D$2:$D$293=$D294)*(案件入力!$R$2:$R$293="完了")*(案件入力!$B$2:$B$293)))=0,VLOOKUP($D294,商品マスタ範囲,6,FALSE),INDEX(案件入力!$M$2:$M$293,MATCH($D294&amp;"|"&amp;TEXT(SUMPRODUCT(MAX((案件入力!$D$2:$D$293=$D294)*(案件入力!$R$2:$R$293="完了")*(案件入力!$B$2:$B$293))),"0"),案件入力!$T$2:$T$293,0))),"")</f>
        <v/>
      </c>
      <c r="M294" s="40" t="n"/>
      <c r="N294" s="11">
        <f>IF(OR($L294="",$M294=""),"",IFERROR(($M294-$L294)/$L294,""))</f>
        <v/>
      </c>
      <c r="O294" s="8" t="n"/>
      <c r="P294" s="9" t="n"/>
      <c r="Q294" s="7" t="n"/>
      <c r="R294" s="7" t="n"/>
      <c r="S294" s="7" t="n"/>
      <c r="T294" s="7">
        <f>IF($R294="完了",$D294&amp;"|"&amp;TEXT($B294,"0"),"")</f>
        <v/>
      </c>
    </row>
    <row r="295">
      <c r="A295" s="7">
        <f>IF($B295="","",TEXT(YEAR($B295),"0000")&amp;"-"&amp;TEXT(SUMPRODUCT((YEAR($B$2:$B295)=YEAR($B295))*($B$2:$B295&lt;&gt;"")),"000"))</f>
        <v/>
      </c>
      <c r="B295" s="8" t="n"/>
      <c r="C295" s="7" t="n"/>
      <c r="D295" s="9" t="n"/>
      <c r="E295" s="7">
        <f>IFERROR(VLOOKUP($D295,商品マスタ範囲,4,FALSE),"")</f>
        <v/>
      </c>
      <c r="F295" s="7">
        <f>IFERROR(VLOOKUP($D295,商品マスタ範囲,2,FALSE),"")</f>
        <v/>
      </c>
      <c r="G295" s="7">
        <f>IFERROR(VLOOKUP($D295,商品マスタ範囲,3,FALSE),"")</f>
        <v/>
      </c>
      <c r="H295" s="40">
        <f>IFERROR(IF(SUMPRODUCT(MAX((案件入力!$D$2:$D$294=$D295)*(案件入力!$R$2:$R$294="完了")*(案件入力!$B$2:$B$294)))=0,VLOOKUP($D295,商品マスタ範囲,5,FALSE),INDEX(案件入力!$I$2:$I$294,MATCH($D295&amp;"|"&amp;TEXT(SUMPRODUCT(MAX((案件入力!$D$2:$D$294=$D295)*(案件入力!$R$2:$R$294="完了")*(案件入力!$B$2:$B$294))),"0"),案件入力!$T$2:$T$294,0))),"")</f>
        <v/>
      </c>
      <c r="I295" s="40" t="n"/>
      <c r="J295" s="11">
        <f>IF(OR($H295="",$I295=""),"",IFERROR(($I295-$H295)/$H295,""))</f>
        <v/>
      </c>
      <c r="K295" s="8" t="n"/>
      <c r="L295" s="40">
        <f>IFERROR(IF(SUMPRODUCT(MAX((案件入力!$D$2:$D$294=$D295)*(案件入力!$R$2:$R$294="完了")*(案件入力!$B$2:$B$294)))=0,VLOOKUP($D295,商品マスタ範囲,6,FALSE),INDEX(案件入力!$M$2:$M$294,MATCH($D295&amp;"|"&amp;TEXT(SUMPRODUCT(MAX((案件入力!$D$2:$D$294=$D295)*(案件入力!$R$2:$R$294="完了")*(案件入力!$B$2:$B$294))),"0"),案件入力!$T$2:$T$294,0))),"")</f>
        <v/>
      </c>
      <c r="M295" s="40" t="n"/>
      <c r="N295" s="11">
        <f>IF(OR($L295="",$M295=""),"",IFERROR(($M295-$L295)/$L295,""))</f>
        <v/>
      </c>
      <c r="O295" s="8" t="n"/>
      <c r="P295" s="9" t="n"/>
      <c r="Q295" s="7" t="n"/>
      <c r="R295" s="7" t="n"/>
      <c r="S295" s="7" t="n"/>
      <c r="T295" s="7">
        <f>IF($R295="完了",$D295&amp;"|"&amp;TEXT($B295,"0"),"")</f>
        <v/>
      </c>
    </row>
    <row r="296">
      <c r="A296" s="7">
        <f>IF($B296="","",TEXT(YEAR($B296),"0000")&amp;"-"&amp;TEXT(SUMPRODUCT((YEAR($B$2:$B296)=YEAR($B296))*($B$2:$B296&lt;&gt;"")),"000"))</f>
        <v/>
      </c>
      <c r="B296" s="8" t="n"/>
      <c r="C296" s="7" t="n"/>
      <c r="D296" s="9" t="n"/>
      <c r="E296" s="7">
        <f>IFERROR(VLOOKUP($D296,商品マスタ範囲,4,FALSE),"")</f>
        <v/>
      </c>
      <c r="F296" s="7">
        <f>IFERROR(VLOOKUP($D296,商品マスタ範囲,2,FALSE),"")</f>
        <v/>
      </c>
      <c r="G296" s="7">
        <f>IFERROR(VLOOKUP($D296,商品マスタ範囲,3,FALSE),"")</f>
        <v/>
      </c>
      <c r="H296" s="40">
        <f>IFERROR(IF(SUMPRODUCT(MAX((案件入力!$D$2:$D$295=$D296)*(案件入力!$R$2:$R$295="完了")*(案件入力!$B$2:$B$295)))=0,VLOOKUP($D296,商品マスタ範囲,5,FALSE),INDEX(案件入力!$I$2:$I$295,MATCH($D296&amp;"|"&amp;TEXT(SUMPRODUCT(MAX((案件入力!$D$2:$D$295=$D296)*(案件入力!$R$2:$R$295="完了")*(案件入力!$B$2:$B$295))),"0"),案件入力!$T$2:$T$295,0))),"")</f>
        <v/>
      </c>
      <c r="I296" s="40" t="n"/>
      <c r="J296" s="11">
        <f>IF(OR($H296="",$I296=""),"",IFERROR(($I296-$H296)/$H296,""))</f>
        <v/>
      </c>
      <c r="K296" s="8" t="n"/>
      <c r="L296" s="40">
        <f>IFERROR(IF(SUMPRODUCT(MAX((案件入力!$D$2:$D$295=$D296)*(案件入力!$R$2:$R$295="完了")*(案件入力!$B$2:$B$295)))=0,VLOOKUP($D296,商品マスタ範囲,6,FALSE),INDEX(案件入力!$M$2:$M$295,MATCH($D296&amp;"|"&amp;TEXT(SUMPRODUCT(MAX((案件入力!$D$2:$D$295=$D296)*(案件入力!$R$2:$R$295="完了")*(案件入力!$B$2:$B$295))),"0"),案件入力!$T$2:$T$295,0))),"")</f>
        <v/>
      </c>
      <c r="M296" s="40" t="n"/>
      <c r="N296" s="11">
        <f>IF(OR($L296="",$M296=""),"",IFERROR(($M296-$L296)/$L296,""))</f>
        <v/>
      </c>
      <c r="O296" s="8" t="n"/>
      <c r="P296" s="9" t="n"/>
      <c r="Q296" s="7" t="n"/>
      <c r="R296" s="7" t="n"/>
      <c r="S296" s="7" t="n"/>
      <c r="T296" s="7">
        <f>IF($R296="完了",$D296&amp;"|"&amp;TEXT($B296,"0"),"")</f>
        <v/>
      </c>
    </row>
    <row r="297">
      <c r="A297" s="7">
        <f>IF($B297="","",TEXT(YEAR($B297),"0000")&amp;"-"&amp;TEXT(SUMPRODUCT((YEAR($B$2:$B297)=YEAR($B297))*($B$2:$B297&lt;&gt;"")),"000"))</f>
        <v/>
      </c>
      <c r="B297" s="8" t="n"/>
      <c r="C297" s="7" t="n"/>
      <c r="D297" s="9" t="n"/>
      <c r="E297" s="7">
        <f>IFERROR(VLOOKUP($D297,商品マスタ範囲,4,FALSE),"")</f>
        <v/>
      </c>
      <c r="F297" s="7">
        <f>IFERROR(VLOOKUP($D297,商品マスタ範囲,2,FALSE),"")</f>
        <v/>
      </c>
      <c r="G297" s="7">
        <f>IFERROR(VLOOKUP($D297,商品マスタ範囲,3,FALSE),"")</f>
        <v/>
      </c>
      <c r="H297" s="40">
        <f>IFERROR(IF(SUMPRODUCT(MAX((案件入力!$D$2:$D$296=$D297)*(案件入力!$R$2:$R$296="完了")*(案件入力!$B$2:$B$296)))=0,VLOOKUP($D297,商品マスタ範囲,5,FALSE),INDEX(案件入力!$I$2:$I$296,MATCH($D297&amp;"|"&amp;TEXT(SUMPRODUCT(MAX((案件入力!$D$2:$D$296=$D297)*(案件入力!$R$2:$R$296="完了")*(案件入力!$B$2:$B$296))),"0"),案件入力!$T$2:$T$296,0))),"")</f>
        <v/>
      </c>
      <c r="I297" s="40" t="n"/>
      <c r="J297" s="11">
        <f>IF(OR($H297="",$I297=""),"",IFERROR(($I297-$H297)/$H297,""))</f>
        <v/>
      </c>
      <c r="K297" s="8" t="n"/>
      <c r="L297" s="40">
        <f>IFERROR(IF(SUMPRODUCT(MAX((案件入力!$D$2:$D$296=$D297)*(案件入力!$R$2:$R$296="完了")*(案件入力!$B$2:$B$296)))=0,VLOOKUP($D297,商品マスタ範囲,6,FALSE),INDEX(案件入力!$M$2:$M$296,MATCH($D297&amp;"|"&amp;TEXT(SUMPRODUCT(MAX((案件入力!$D$2:$D$296=$D297)*(案件入力!$R$2:$R$296="完了")*(案件入力!$B$2:$B$296))),"0"),案件入力!$T$2:$T$296,0))),"")</f>
        <v/>
      </c>
      <c r="M297" s="40" t="n"/>
      <c r="N297" s="11">
        <f>IF(OR($L297="",$M297=""),"",IFERROR(($M297-$L297)/$L297,""))</f>
        <v/>
      </c>
      <c r="O297" s="8" t="n"/>
      <c r="P297" s="9" t="n"/>
      <c r="Q297" s="7" t="n"/>
      <c r="R297" s="7" t="n"/>
      <c r="S297" s="7" t="n"/>
      <c r="T297" s="7">
        <f>IF($R297="完了",$D297&amp;"|"&amp;TEXT($B297,"0"),"")</f>
        <v/>
      </c>
    </row>
    <row r="298">
      <c r="A298" s="7">
        <f>IF($B298="","",TEXT(YEAR($B298),"0000")&amp;"-"&amp;TEXT(SUMPRODUCT((YEAR($B$2:$B298)=YEAR($B298))*($B$2:$B298&lt;&gt;"")),"000"))</f>
        <v/>
      </c>
      <c r="B298" s="8" t="n"/>
      <c r="C298" s="7" t="n"/>
      <c r="D298" s="9" t="n"/>
      <c r="E298" s="7">
        <f>IFERROR(VLOOKUP($D298,商品マスタ範囲,4,FALSE),"")</f>
        <v/>
      </c>
      <c r="F298" s="7">
        <f>IFERROR(VLOOKUP($D298,商品マスタ範囲,2,FALSE),"")</f>
        <v/>
      </c>
      <c r="G298" s="7">
        <f>IFERROR(VLOOKUP($D298,商品マスタ範囲,3,FALSE),"")</f>
        <v/>
      </c>
      <c r="H298" s="40">
        <f>IFERROR(IF(SUMPRODUCT(MAX((案件入力!$D$2:$D$297=$D298)*(案件入力!$R$2:$R$297="完了")*(案件入力!$B$2:$B$297)))=0,VLOOKUP($D298,商品マスタ範囲,5,FALSE),INDEX(案件入力!$I$2:$I$297,MATCH($D298&amp;"|"&amp;TEXT(SUMPRODUCT(MAX((案件入力!$D$2:$D$297=$D298)*(案件入力!$R$2:$R$297="完了")*(案件入力!$B$2:$B$297))),"0"),案件入力!$T$2:$T$297,0))),"")</f>
        <v/>
      </c>
      <c r="I298" s="40" t="n"/>
      <c r="J298" s="11">
        <f>IF(OR($H298="",$I298=""),"",IFERROR(($I298-$H298)/$H298,""))</f>
        <v/>
      </c>
      <c r="K298" s="8" t="n"/>
      <c r="L298" s="40">
        <f>IFERROR(IF(SUMPRODUCT(MAX((案件入力!$D$2:$D$297=$D298)*(案件入力!$R$2:$R$297="完了")*(案件入力!$B$2:$B$297)))=0,VLOOKUP($D298,商品マスタ範囲,6,FALSE),INDEX(案件入力!$M$2:$M$297,MATCH($D298&amp;"|"&amp;TEXT(SUMPRODUCT(MAX((案件入力!$D$2:$D$297=$D298)*(案件入力!$R$2:$R$297="完了")*(案件入力!$B$2:$B$297))),"0"),案件入力!$T$2:$T$297,0))),"")</f>
        <v/>
      </c>
      <c r="M298" s="40" t="n"/>
      <c r="N298" s="11">
        <f>IF(OR($L298="",$M298=""),"",IFERROR(($M298-$L298)/$L298,""))</f>
        <v/>
      </c>
      <c r="O298" s="8" t="n"/>
      <c r="P298" s="9" t="n"/>
      <c r="Q298" s="7" t="n"/>
      <c r="R298" s="7" t="n"/>
      <c r="S298" s="7" t="n"/>
      <c r="T298" s="7">
        <f>IF($R298="完了",$D298&amp;"|"&amp;TEXT($B298,"0"),"")</f>
        <v/>
      </c>
    </row>
    <row r="299">
      <c r="A299" s="7">
        <f>IF($B299="","",TEXT(YEAR($B299),"0000")&amp;"-"&amp;TEXT(SUMPRODUCT((YEAR($B$2:$B299)=YEAR($B299))*($B$2:$B299&lt;&gt;"")),"000"))</f>
        <v/>
      </c>
      <c r="B299" s="8" t="n"/>
      <c r="C299" s="7" t="n"/>
      <c r="D299" s="9" t="n"/>
      <c r="E299" s="7">
        <f>IFERROR(VLOOKUP($D299,商品マスタ範囲,4,FALSE),"")</f>
        <v/>
      </c>
      <c r="F299" s="7">
        <f>IFERROR(VLOOKUP($D299,商品マスタ範囲,2,FALSE),"")</f>
        <v/>
      </c>
      <c r="G299" s="7">
        <f>IFERROR(VLOOKUP($D299,商品マスタ範囲,3,FALSE),"")</f>
        <v/>
      </c>
      <c r="H299" s="40">
        <f>IFERROR(IF(SUMPRODUCT(MAX((案件入力!$D$2:$D$298=$D299)*(案件入力!$R$2:$R$298="完了")*(案件入力!$B$2:$B$298)))=0,VLOOKUP($D299,商品マスタ範囲,5,FALSE),INDEX(案件入力!$I$2:$I$298,MATCH($D299&amp;"|"&amp;TEXT(SUMPRODUCT(MAX((案件入力!$D$2:$D$298=$D299)*(案件入力!$R$2:$R$298="完了")*(案件入力!$B$2:$B$298))),"0"),案件入力!$T$2:$T$298,0))),"")</f>
        <v/>
      </c>
      <c r="I299" s="40" t="n"/>
      <c r="J299" s="11">
        <f>IF(OR($H299="",$I299=""),"",IFERROR(($I299-$H299)/$H299,""))</f>
        <v/>
      </c>
      <c r="K299" s="8" t="n"/>
      <c r="L299" s="40">
        <f>IFERROR(IF(SUMPRODUCT(MAX((案件入力!$D$2:$D$298=$D299)*(案件入力!$R$2:$R$298="完了")*(案件入力!$B$2:$B$298)))=0,VLOOKUP($D299,商品マスタ範囲,6,FALSE),INDEX(案件入力!$M$2:$M$298,MATCH($D299&amp;"|"&amp;TEXT(SUMPRODUCT(MAX((案件入力!$D$2:$D$298=$D299)*(案件入力!$R$2:$R$298="完了")*(案件入力!$B$2:$B$298))),"0"),案件入力!$T$2:$T$298,0))),"")</f>
        <v/>
      </c>
      <c r="M299" s="40" t="n"/>
      <c r="N299" s="11">
        <f>IF(OR($L299="",$M299=""),"",IFERROR(($M299-$L299)/$L299,""))</f>
        <v/>
      </c>
      <c r="O299" s="8" t="n"/>
      <c r="P299" s="9" t="n"/>
      <c r="Q299" s="7" t="n"/>
      <c r="R299" s="7" t="n"/>
      <c r="S299" s="7" t="n"/>
      <c r="T299" s="7">
        <f>IF($R299="完了",$D299&amp;"|"&amp;TEXT($B299,"0"),"")</f>
        <v/>
      </c>
    </row>
    <row r="300">
      <c r="A300" s="7">
        <f>IF($B300="","",TEXT(YEAR($B300),"0000")&amp;"-"&amp;TEXT(SUMPRODUCT((YEAR($B$2:$B300)=YEAR($B300))*($B$2:$B300&lt;&gt;"")),"000"))</f>
        <v/>
      </c>
      <c r="B300" s="8" t="n"/>
      <c r="C300" s="7" t="n"/>
      <c r="D300" s="9" t="n"/>
      <c r="E300" s="7">
        <f>IFERROR(VLOOKUP($D300,商品マスタ範囲,4,FALSE),"")</f>
        <v/>
      </c>
      <c r="F300" s="7">
        <f>IFERROR(VLOOKUP($D300,商品マスタ範囲,2,FALSE),"")</f>
        <v/>
      </c>
      <c r="G300" s="7">
        <f>IFERROR(VLOOKUP($D300,商品マスタ範囲,3,FALSE),"")</f>
        <v/>
      </c>
      <c r="H300" s="40">
        <f>IFERROR(IF(SUMPRODUCT(MAX((案件入力!$D$2:$D$299=$D300)*(案件入力!$R$2:$R$299="完了")*(案件入力!$B$2:$B$299)))=0,VLOOKUP($D300,商品マスタ範囲,5,FALSE),INDEX(案件入力!$I$2:$I$299,MATCH($D300&amp;"|"&amp;TEXT(SUMPRODUCT(MAX((案件入力!$D$2:$D$299=$D300)*(案件入力!$R$2:$R$299="完了")*(案件入力!$B$2:$B$299))),"0"),案件入力!$T$2:$T$299,0))),"")</f>
        <v/>
      </c>
      <c r="I300" s="40" t="n"/>
      <c r="J300" s="11">
        <f>IF(OR($H300="",$I300=""),"",IFERROR(($I300-$H300)/$H300,""))</f>
        <v/>
      </c>
      <c r="K300" s="8" t="n"/>
      <c r="L300" s="40">
        <f>IFERROR(IF(SUMPRODUCT(MAX((案件入力!$D$2:$D$299=$D300)*(案件入力!$R$2:$R$299="完了")*(案件入力!$B$2:$B$299)))=0,VLOOKUP($D300,商品マスタ範囲,6,FALSE),INDEX(案件入力!$M$2:$M$299,MATCH($D300&amp;"|"&amp;TEXT(SUMPRODUCT(MAX((案件入力!$D$2:$D$299=$D300)*(案件入力!$R$2:$R$299="完了")*(案件入力!$B$2:$B$299))),"0"),案件入力!$T$2:$T$299,0))),"")</f>
        <v/>
      </c>
      <c r="M300" s="40" t="n"/>
      <c r="N300" s="11">
        <f>IF(OR($L300="",$M300=""),"",IFERROR(($M300-$L300)/$L300,""))</f>
        <v/>
      </c>
      <c r="O300" s="8" t="n"/>
      <c r="P300" s="9" t="n"/>
      <c r="Q300" s="7" t="n"/>
      <c r="R300" s="7" t="n"/>
      <c r="S300" s="7" t="n"/>
      <c r="T300" s="7">
        <f>IF($R300="完了",$D300&amp;"|"&amp;TEXT($B300,"0"),"")</f>
        <v/>
      </c>
    </row>
    <row r="301">
      <c r="A301" s="7">
        <f>IF($B301="","",TEXT(YEAR($B301),"0000")&amp;"-"&amp;TEXT(SUMPRODUCT((YEAR($B$2:$B301)=YEAR($B301))*($B$2:$B301&lt;&gt;"")),"000"))</f>
        <v/>
      </c>
      <c r="B301" s="8" t="n"/>
      <c r="C301" s="7" t="n"/>
      <c r="D301" s="9" t="n"/>
      <c r="E301" s="7">
        <f>IFERROR(VLOOKUP($D301,商品マスタ範囲,4,FALSE),"")</f>
        <v/>
      </c>
      <c r="F301" s="7">
        <f>IFERROR(VLOOKUP($D301,商品マスタ範囲,2,FALSE),"")</f>
        <v/>
      </c>
      <c r="G301" s="7">
        <f>IFERROR(VLOOKUP($D301,商品マスタ範囲,3,FALSE),"")</f>
        <v/>
      </c>
      <c r="H301" s="40">
        <f>IFERROR(IF(SUMPRODUCT(MAX((案件入力!$D$2:$D$300=$D301)*(案件入力!$R$2:$R$300="完了")*(案件入力!$B$2:$B$300)))=0,VLOOKUP($D301,商品マスタ範囲,5,FALSE),INDEX(案件入力!$I$2:$I$300,MATCH($D301&amp;"|"&amp;TEXT(SUMPRODUCT(MAX((案件入力!$D$2:$D$300=$D301)*(案件入力!$R$2:$R$300="完了")*(案件入力!$B$2:$B$300))),"0"),案件入力!$T$2:$T$300,0))),"")</f>
        <v/>
      </c>
      <c r="I301" s="40" t="n"/>
      <c r="J301" s="11">
        <f>IF(OR($H301="",$I301=""),"",IFERROR(($I301-$H301)/$H301,""))</f>
        <v/>
      </c>
      <c r="K301" s="8" t="n"/>
      <c r="L301" s="40">
        <f>IFERROR(IF(SUMPRODUCT(MAX((案件入力!$D$2:$D$300=$D301)*(案件入力!$R$2:$R$300="完了")*(案件入力!$B$2:$B$300)))=0,VLOOKUP($D301,商品マスタ範囲,6,FALSE),INDEX(案件入力!$M$2:$M$300,MATCH($D301&amp;"|"&amp;TEXT(SUMPRODUCT(MAX((案件入力!$D$2:$D$300=$D301)*(案件入力!$R$2:$R$300="完了")*(案件入力!$B$2:$B$300))),"0"),案件入力!$T$2:$T$300,0))),"")</f>
        <v/>
      </c>
      <c r="M301" s="40" t="n"/>
      <c r="N301" s="11">
        <f>IF(OR($L301="",$M301=""),"",IFERROR(($M301-$L301)/$L301,""))</f>
        <v/>
      </c>
      <c r="O301" s="8" t="n"/>
      <c r="P301" s="9" t="n"/>
      <c r="Q301" s="7" t="n"/>
      <c r="R301" s="7" t="n"/>
      <c r="S301" s="7" t="n"/>
      <c r="T301" s="7">
        <f>IF($R301="完了",$D301&amp;"|"&amp;TEXT($B301,"0"),"")</f>
        <v/>
      </c>
    </row>
  </sheetData>
  <autoFilter ref="A1:S301"/>
  <conditionalFormatting sqref="A2:S301">
    <cfRule type="expression" priority="1" dxfId="0" stopIfTrue="1">
      <formula>$R2="完了"</formula>
    </cfRule>
    <cfRule type="expression" priority="2" dxfId="1" stopIfTrue="1">
      <formula>AND($R2&lt;&gt;"完了",$K2&lt;&gt;"",$K2&lt;TODAY())</formula>
    </cfRule>
    <cfRule type="expression" priority="3" dxfId="2" stopIfTrue="1">
      <formula>AND($R2&lt;&gt;"完了",$K2&lt;&gt;"",$K2&gt;TODAY())</formula>
    </cfRule>
    <cfRule type="expression" priority="4" dxfId="3" stopIfTrue="1">
      <formula>AND($Q2="済",$R2&lt;&gt;"完了")</formula>
    </cfRule>
  </conditionalFormatting>
  <dataValidations count="8">
    <dataValidation sqref="C2:C301" showDropDown="0" showInputMessage="0" showErrorMessage="0" allowBlank="1" type="list">
      <formula1>"単価変更,新規登録"</formula1>
    </dataValidation>
    <dataValidation sqref="D2:D301" showDropDown="0" showInputMessage="0" showErrorMessage="0" allowBlank="1" type="list">
      <formula1>商品リスト</formula1>
    </dataValidation>
    <dataValidation sqref="E2:E301" showDropDown="0" showInputMessage="0" showErrorMessage="0" allowBlank="1" type="list">
      <formula1>荷姿リスト</formula1>
    </dataValidation>
    <dataValidation sqref="F2:F301" showDropDown="0" showInputMessage="0" showErrorMessage="0" allowBlank="1" type="list">
      <formula1>仕入先リスト</formula1>
    </dataValidation>
    <dataValidation sqref="G2:G301" showDropDown="0" showInputMessage="0" showErrorMessage="0" allowBlank="1" type="list">
      <formula1>得意先リスト</formula1>
    </dataValidation>
    <dataValidation sqref="Q2:Q301" showDropDown="0" showInputMessage="0" showErrorMessage="0" allowBlank="1" type="list">
      <formula1>"未,済"</formula1>
    </dataValidation>
    <dataValidation sqref="R2:R301" showDropDown="0" showInputMessage="0" showErrorMessage="0" allowBlank="1" type="list">
      <formula1>"未,完了"</formula1>
    </dataValidation>
    <dataValidation sqref="S2:S301" showDropDown="0" showInputMessage="0" showErrorMessage="0" allowBlank="1" type="list">
      <formula1>"藤田,中岡,白石"</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201"/>
  <sheetViews>
    <sheetView workbookViewId="0">
      <pane ySplit="1" topLeftCell="A2" activePane="bottomLeft" state="frozen"/>
      <selection pane="bottomLeft" activeCell="A1" sqref="A1"/>
    </sheetView>
  </sheetViews>
  <sheetFormatPr baseColWidth="8" defaultRowHeight="15"/>
  <cols>
    <col width="12" customWidth="1" min="1" max="1"/>
    <col width="24" customWidth="1" min="2" max="2"/>
    <col width="16" customWidth="1" min="3" max="3"/>
    <col width="14" customWidth="1" min="4" max="4"/>
    <col width="30" customWidth="1" min="5" max="5"/>
  </cols>
  <sheetData>
    <row r="1">
      <c r="A1" s="5" t="inlineStr">
        <is>
          <t>仕入先コード</t>
        </is>
      </c>
      <c r="B1" s="5" t="inlineStr">
        <is>
          <t>仕入先名</t>
        </is>
      </c>
      <c r="C1" s="5" t="inlineStr">
        <is>
          <t>電話番号</t>
        </is>
      </c>
      <c r="D1" s="5" t="inlineStr">
        <is>
          <t>担当者</t>
        </is>
      </c>
      <c r="E1" s="5" t="inlineStr">
        <is>
          <t>備考</t>
        </is>
      </c>
    </row>
    <row r="2">
      <c r="A2" s="12" t="inlineStr">
        <is>
          <t>S001</t>
        </is>
      </c>
      <c r="B2" s="12" t="inlineStr">
        <is>
          <t>赤田善㈱</t>
        </is>
      </c>
      <c r="C2" s="12" t="inlineStr"/>
      <c r="D2" s="12" t="inlineStr"/>
      <c r="E2" s="12" t="inlineStr"/>
    </row>
    <row r="3">
      <c r="A3" s="12" t="inlineStr">
        <is>
          <t>S002</t>
        </is>
      </c>
      <c r="B3" s="12" t="inlineStr">
        <is>
          <t>㈱秋田屋本店</t>
        </is>
      </c>
      <c r="C3" s="12" t="inlineStr"/>
      <c r="D3" s="12" t="inlineStr"/>
      <c r="E3" s="12" t="inlineStr"/>
    </row>
    <row r="4">
      <c r="A4" s="12" t="inlineStr">
        <is>
          <t>S003</t>
        </is>
      </c>
      <c r="B4" s="12" t="inlineStr">
        <is>
          <t>愛工房株式会社</t>
        </is>
      </c>
      <c r="C4" s="12" t="inlineStr"/>
      <c r="D4" s="12" t="inlineStr"/>
      <c r="E4" s="12" t="inlineStr"/>
    </row>
    <row r="5">
      <c r="A5" s="12" t="inlineStr">
        <is>
          <t>S004</t>
        </is>
      </c>
      <c r="B5" s="12" t="inlineStr">
        <is>
          <t>㈱えひめ飲料</t>
        </is>
      </c>
      <c r="C5" s="12" t="inlineStr"/>
      <c r="D5" s="12" t="inlineStr"/>
      <c r="E5" s="12" t="inlineStr"/>
    </row>
    <row r="6">
      <c r="A6" s="12" t="inlineStr">
        <is>
          <t>S005</t>
        </is>
      </c>
      <c r="B6" s="12" t="inlineStr">
        <is>
          <t>雄山㈱</t>
        </is>
      </c>
      <c r="C6" s="12" t="inlineStr"/>
      <c r="D6" s="12" t="inlineStr"/>
      <c r="E6" s="12" t="inlineStr"/>
    </row>
    <row r="7">
      <c r="A7" s="12" t="inlineStr">
        <is>
          <t>S006</t>
        </is>
      </c>
      <c r="B7" s="12" t="inlineStr">
        <is>
          <t>キリヤ化学㈱</t>
        </is>
      </c>
      <c r="C7" s="12" t="inlineStr"/>
      <c r="D7" s="12" t="inlineStr"/>
      <c r="E7" s="12" t="inlineStr"/>
    </row>
    <row r="8">
      <c r="A8" s="12" t="inlineStr">
        <is>
          <t>S007</t>
        </is>
      </c>
      <c r="B8" s="12" t="inlineStr">
        <is>
          <t>旭東化学産業㈱</t>
        </is>
      </c>
      <c r="C8" s="12" t="inlineStr"/>
      <c r="D8" s="12" t="inlineStr"/>
      <c r="E8" s="12" t="inlineStr"/>
    </row>
    <row r="9">
      <c r="A9" s="12" t="inlineStr">
        <is>
          <t>S008</t>
        </is>
      </c>
      <c r="B9" s="12" t="inlineStr">
        <is>
          <t>本州製缶㈱</t>
        </is>
      </c>
      <c r="C9" s="12" t="inlineStr"/>
      <c r="D9" s="12" t="inlineStr"/>
      <c r="E9" s="12" t="inlineStr"/>
    </row>
    <row r="10">
      <c r="A10" s="12" t="inlineStr">
        <is>
          <t>S009</t>
        </is>
      </c>
      <c r="B10" s="12" t="inlineStr">
        <is>
          <t>三栄源エフエフアイ㈱</t>
        </is>
      </c>
      <c r="C10" s="12" t="inlineStr"/>
      <c r="D10" s="12" t="inlineStr"/>
      <c r="E10" s="12" t="inlineStr"/>
    </row>
    <row r="11">
      <c r="A11" s="12" t="inlineStr">
        <is>
          <t>S010</t>
        </is>
      </c>
      <c r="B11" s="12" t="inlineStr">
        <is>
          <t>太陽化学㈱福岡営業所</t>
        </is>
      </c>
      <c r="C11" s="12" t="inlineStr"/>
      <c r="D11" s="12" t="inlineStr"/>
      <c r="E11" s="12" t="inlineStr"/>
    </row>
    <row r="12">
      <c r="A12" s="12" t="inlineStr">
        <is>
          <t>S011</t>
        </is>
      </c>
      <c r="B12" s="12" t="inlineStr">
        <is>
          <t>東海物産㈱</t>
        </is>
      </c>
      <c r="C12" s="12" t="inlineStr"/>
      <c r="D12" s="12" t="inlineStr"/>
      <c r="E12" s="12" t="inlineStr"/>
    </row>
    <row r="13">
      <c r="A13" s="12" t="inlineStr">
        <is>
          <t>S012</t>
        </is>
      </c>
      <c r="B13" s="12" t="inlineStr">
        <is>
          <t>日栄商事㈱</t>
        </is>
      </c>
      <c r="C13" s="12" t="inlineStr"/>
      <c r="D13" s="12" t="inlineStr"/>
      <c r="E13" s="12" t="inlineStr"/>
    </row>
    <row r="14">
      <c r="A14" s="12" t="inlineStr">
        <is>
          <t>S013</t>
        </is>
      </c>
      <c r="B14" s="12" t="inlineStr">
        <is>
          <t>ゴールドパック㈱</t>
        </is>
      </c>
      <c r="C14" s="12" t="inlineStr"/>
      <c r="D14" s="12" t="inlineStr"/>
      <c r="E14" s="12" t="inlineStr"/>
    </row>
    <row r="15">
      <c r="A15" s="12" t="inlineStr">
        <is>
          <t>S014</t>
        </is>
      </c>
      <c r="B15" s="12" t="inlineStr">
        <is>
          <t>八宝食産㈱</t>
        </is>
      </c>
      <c r="C15" s="12" t="inlineStr"/>
      <c r="D15" s="12" t="inlineStr"/>
      <c r="E15" s="12" t="inlineStr"/>
    </row>
    <row r="16">
      <c r="A16" s="12" t="inlineStr">
        <is>
          <t>S015</t>
        </is>
      </c>
      <c r="B16" s="12" t="inlineStr">
        <is>
          <t>フルタ製菓㈱美原工場</t>
        </is>
      </c>
      <c r="C16" s="12" t="inlineStr"/>
      <c r="D16" s="12" t="inlineStr"/>
      <c r="E16" s="12" t="inlineStr"/>
    </row>
    <row r="17">
      <c r="A17" s="12" t="inlineStr">
        <is>
          <t>S016</t>
        </is>
      </c>
      <c r="B17" s="12" t="inlineStr">
        <is>
          <t>北海道乳業販売㈱</t>
        </is>
      </c>
      <c r="C17" s="12" t="inlineStr"/>
      <c r="D17" s="12" t="inlineStr"/>
      <c r="E17" s="12" t="inlineStr"/>
    </row>
    <row r="18">
      <c r="A18" s="12" t="inlineStr">
        <is>
          <t>S017</t>
        </is>
      </c>
      <c r="B18" s="12" t="inlineStr">
        <is>
          <t>㈱丸紅商会</t>
        </is>
      </c>
      <c r="C18" s="12" t="inlineStr"/>
      <c r="D18" s="12" t="inlineStr"/>
      <c r="E18" s="12" t="inlineStr"/>
    </row>
    <row r="19">
      <c r="A19" s="12" t="inlineStr">
        <is>
          <t>S018</t>
        </is>
      </c>
      <c r="B19" s="12" t="inlineStr">
        <is>
          <t>ヤクルト薬品工業㈱</t>
        </is>
      </c>
      <c r="C19" s="12" t="inlineStr"/>
      <c r="D19" s="12" t="inlineStr"/>
      <c r="E19" s="12" t="inlineStr"/>
    </row>
    <row r="20">
      <c r="A20" s="12" t="inlineStr">
        <is>
          <t>S019</t>
        </is>
      </c>
      <c r="B20" s="12" t="inlineStr">
        <is>
          <t>ジェイフィルム㈱</t>
        </is>
      </c>
      <c r="C20" s="12" t="inlineStr"/>
      <c r="D20" s="12" t="inlineStr"/>
      <c r="E20" s="12" t="inlineStr"/>
    </row>
    <row r="21">
      <c r="A21" s="12" t="inlineStr">
        <is>
          <t>S020</t>
        </is>
      </c>
      <c r="B21" s="12" t="inlineStr">
        <is>
          <t>愛媛果汁食品㈱</t>
        </is>
      </c>
      <c r="C21" s="12" t="inlineStr"/>
      <c r="D21" s="12" t="inlineStr"/>
      <c r="E21" s="12" t="inlineStr"/>
    </row>
    <row r="22">
      <c r="A22" s="12" t="inlineStr">
        <is>
          <t>S021</t>
        </is>
      </c>
      <c r="B22" s="12" t="inlineStr">
        <is>
          <t>えひめ中央農協</t>
        </is>
      </c>
      <c r="C22" s="12" t="inlineStr"/>
      <c r="D22" s="12" t="inlineStr"/>
      <c r="E22" s="12" t="inlineStr"/>
    </row>
    <row r="23">
      <c r="A23" s="12" t="inlineStr">
        <is>
          <t>S022</t>
        </is>
      </c>
      <c r="B23" s="12" t="inlineStr">
        <is>
          <t>ケミコム・ジャパン㈱</t>
        </is>
      </c>
      <c r="C23" s="12" t="inlineStr"/>
      <c r="D23" s="12" t="inlineStr"/>
      <c r="E23" s="12" t="inlineStr"/>
    </row>
    <row r="24">
      <c r="A24" s="12" t="inlineStr">
        <is>
          <t>S023</t>
        </is>
      </c>
      <c r="B24" s="12" t="inlineStr">
        <is>
          <t>幸商事㈱</t>
        </is>
      </c>
      <c r="C24" s="12" t="inlineStr"/>
      <c r="D24" s="12" t="inlineStr"/>
      <c r="E24" s="12" t="inlineStr"/>
    </row>
    <row r="25">
      <c r="A25" s="12" t="inlineStr">
        <is>
          <t>S024</t>
        </is>
      </c>
      <c r="B25" s="12" t="inlineStr">
        <is>
          <t>㈱野澤組カルチャー</t>
        </is>
      </c>
      <c r="C25" s="12" t="inlineStr"/>
      <c r="D25" s="12" t="inlineStr"/>
      <c r="E25" s="12" t="inlineStr"/>
    </row>
    <row r="26">
      <c r="A26" s="12" t="inlineStr">
        <is>
          <t>S025</t>
        </is>
      </c>
      <c r="B26" s="12" t="inlineStr">
        <is>
          <t>日本フレーバー工業㈱</t>
        </is>
      </c>
      <c r="C26" s="12" t="inlineStr"/>
      <c r="D26" s="12" t="inlineStr"/>
      <c r="E26" s="12" t="inlineStr"/>
    </row>
    <row r="27">
      <c r="A27" s="12" t="inlineStr">
        <is>
          <t>S026</t>
        </is>
      </c>
      <c r="B27" s="12" t="inlineStr">
        <is>
          <t>大森産業㈱</t>
        </is>
      </c>
      <c r="C27" s="12" t="inlineStr"/>
      <c r="D27" s="12" t="inlineStr"/>
      <c r="E27" s="12" t="inlineStr"/>
    </row>
    <row r="28">
      <c r="A28" s="12" t="inlineStr">
        <is>
          <t>S027</t>
        </is>
      </c>
      <c r="B28" s="12" t="inlineStr">
        <is>
          <t>コウシン化学工業㈱</t>
        </is>
      </c>
      <c r="C28" s="12" t="inlineStr"/>
      <c r="D28" s="12" t="inlineStr"/>
      <c r="E28" s="12" t="inlineStr"/>
    </row>
    <row r="29">
      <c r="A29" s="12" t="inlineStr">
        <is>
          <t>S028</t>
        </is>
      </c>
      <c r="B29" s="12" t="inlineStr">
        <is>
          <t>小林桂㈱</t>
        </is>
      </c>
      <c r="C29" s="12" t="inlineStr"/>
      <c r="D29" s="12" t="inlineStr"/>
      <c r="E29" s="12" t="inlineStr"/>
    </row>
    <row r="30">
      <c r="A30" s="12" t="inlineStr">
        <is>
          <t>S029</t>
        </is>
      </c>
      <c r="B30" s="12" t="inlineStr">
        <is>
          <t>小池養蜂園</t>
        </is>
      </c>
      <c r="C30" s="12" t="inlineStr"/>
      <c r="D30" s="12" t="inlineStr"/>
      <c r="E30" s="12" t="inlineStr"/>
    </row>
    <row r="31">
      <c r="A31" s="12" t="inlineStr">
        <is>
          <t>S030</t>
        </is>
      </c>
      <c r="B31" s="12" t="inlineStr">
        <is>
          <t>㈱いわぎ物産センター</t>
        </is>
      </c>
      <c r="C31" s="12" t="inlineStr"/>
      <c r="D31" s="12" t="inlineStr"/>
      <c r="E31" s="12" t="inlineStr"/>
    </row>
    <row r="32">
      <c r="A32" s="12" t="inlineStr">
        <is>
          <t>S031</t>
        </is>
      </c>
      <c r="B32" s="12" t="inlineStr">
        <is>
          <t>森田フードシステム㈱</t>
        </is>
      </c>
      <c r="C32" s="12" t="inlineStr"/>
      <c r="D32" s="12" t="inlineStr"/>
      <c r="E32" s="12" t="inlineStr"/>
    </row>
    <row r="33">
      <c r="A33" s="12" t="inlineStr">
        <is>
          <t>S032</t>
        </is>
      </c>
      <c r="B33" s="12" t="inlineStr">
        <is>
          <t>サンダイヤ㈱</t>
        </is>
      </c>
      <c r="C33" s="12" t="inlineStr"/>
      <c r="D33" s="12" t="inlineStr"/>
      <c r="E33" s="12" t="inlineStr"/>
    </row>
    <row r="34">
      <c r="A34" s="12" t="inlineStr">
        <is>
          <t>S033</t>
        </is>
      </c>
      <c r="B34" s="12" t="inlineStr">
        <is>
          <t>㈱東京興業貿易商会</t>
        </is>
      </c>
      <c r="C34" s="12" t="inlineStr"/>
      <c r="D34" s="12" t="inlineStr"/>
      <c r="E34" s="12" t="inlineStr"/>
    </row>
    <row r="35">
      <c r="A35" s="12" t="inlineStr">
        <is>
          <t>S034</t>
        </is>
      </c>
      <c r="B35" s="12" t="inlineStr">
        <is>
          <t>㈲今井青果</t>
        </is>
      </c>
      <c r="C35" s="12" t="inlineStr"/>
      <c r="D35" s="12" t="inlineStr"/>
      <c r="E35" s="12" t="inlineStr"/>
    </row>
    <row r="36">
      <c r="A36" s="12" t="inlineStr">
        <is>
          <t>S035</t>
        </is>
      </c>
      <c r="B36" s="12" t="inlineStr">
        <is>
          <t>渡辺ケミカル㈱</t>
        </is>
      </c>
      <c r="C36" s="12" t="inlineStr"/>
      <c r="D36" s="12" t="inlineStr"/>
      <c r="E36" s="12" t="inlineStr"/>
    </row>
    <row r="37">
      <c r="A37" s="12" t="inlineStr">
        <is>
          <t>S036</t>
        </is>
      </c>
      <c r="B37" s="12" t="inlineStr">
        <is>
          <t>丸三産業㈱</t>
        </is>
      </c>
      <c r="C37" s="12" t="inlineStr"/>
      <c r="D37" s="12" t="inlineStr"/>
      <c r="E37" s="12" t="inlineStr"/>
    </row>
    <row r="38">
      <c r="A38" s="12" t="inlineStr">
        <is>
          <t>S037</t>
        </is>
      </c>
      <c r="B38" s="12" t="inlineStr">
        <is>
          <t>米田青果食品㈱</t>
        </is>
      </c>
      <c r="C38" s="12" t="inlineStr"/>
      <c r="D38" s="12" t="inlineStr"/>
      <c r="E38" s="12" t="inlineStr"/>
    </row>
    <row r="39">
      <c r="A39" s="12" t="inlineStr">
        <is>
          <t>S038</t>
        </is>
      </c>
      <c r="B39" s="12" t="inlineStr">
        <is>
          <t>株式会社AICOH</t>
        </is>
      </c>
      <c r="C39" s="12" t="inlineStr"/>
      <c r="D39" s="12" t="inlineStr"/>
      <c r="E39" s="12" t="inlineStr"/>
    </row>
    <row r="40">
      <c r="A40" s="12" t="inlineStr">
        <is>
          <t>S039</t>
        </is>
      </c>
      <c r="B40" s="12" t="inlineStr">
        <is>
          <t>不二化学薬品㈱</t>
        </is>
      </c>
      <c r="C40" s="12" t="inlineStr"/>
      <c r="D40" s="12" t="inlineStr"/>
      <c r="E40" s="12" t="inlineStr"/>
    </row>
    <row r="41">
      <c r="A41" s="12" t="inlineStr">
        <is>
          <t>S040</t>
        </is>
      </c>
      <c r="B41" s="12" t="inlineStr">
        <is>
          <t>スミレフーズ</t>
        </is>
      </c>
      <c r="C41" s="12" t="inlineStr"/>
      <c r="D41" s="12" t="inlineStr"/>
      <c r="E41" s="12" t="inlineStr"/>
    </row>
    <row r="42">
      <c r="A42" s="12" t="inlineStr">
        <is>
          <t>S041</t>
        </is>
      </c>
      <c r="B42" s="12" t="inlineStr">
        <is>
          <t>株式会社積松食糧</t>
        </is>
      </c>
      <c r="C42" s="12" t="inlineStr"/>
      <c r="D42" s="12" t="inlineStr"/>
      <c r="E42" s="12" t="inlineStr"/>
    </row>
    <row r="43">
      <c r="A43" s="12" t="inlineStr">
        <is>
          <t>S042</t>
        </is>
      </c>
      <c r="B43" s="12" t="inlineStr">
        <is>
          <t>㈱タニチ</t>
        </is>
      </c>
      <c r="C43" s="12" t="inlineStr"/>
      <c r="D43" s="12" t="inlineStr"/>
      <c r="E43" s="12" t="inlineStr"/>
    </row>
    <row r="44">
      <c r="A44" s="12" t="inlineStr">
        <is>
          <t>S043</t>
        </is>
      </c>
      <c r="B44" s="12" t="inlineStr">
        <is>
          <t>株式会社キタマ</t>
        </is>
      </c>
      <c r="C44" s="12" t="inlineStr"/>
      <c r="D44" s="12" t="inlineStr"/>
      <c r="E44" s="12" t="inlineStr"/>
    </row>
    <row r="45">
      <c r="A45" s="12" t="inlineStr">
        <is>
          <t>S044</t>
        </is>
      </c>
      <c r="B45" s="12" t="inlineStr">
        <is>
          <t>神戸化成株式会社</t>
        </is>
      </c>
      <c r="C45" s="12" t="inlineStr"/>
      <c r="D45" s="12" t="inlineStr"/>
      <c r="E45" s="12" t="inlineStr"/>
    </row>
    <row r="46">
      <c r="A46" s="12" t="inlineStr">
        <is>
          <t>S045</t>
        </is>
      </c>
      <c r="B46" s="12" t="inlineStr">
        <is>
          <t>株式会社オーシャン珈琲</t>
        </is>
      </c>
      <c r="C46" s="12" t="inlineStr"/>
      <c r="D46" s="12" t="inlineStr"/>
      <c r="E46" s="12" t="inlineStr"/>
    </row>
    <row r="47">
      <c r="A47" s="12" t="inlineStr">
        <is>
          <t>S046</t>
        </is>
      </c>
      <c r="B47" s="12" t="inlineStr">
        <is>
          <t>株式会社アドバック</t>
        </is>
      </c>
      <c r="C47" s="12" t="inlineStr"/>
      <c r="D47" s="12" t="inlineStr"/>
      <c r="E47" s="12" t="inlineStr"/>
    </row>
    <row r="48">
      <c r="A48" s="12" t="inlineStr">
        <is>
          <t>S047</t>
        </is>
      </c>
      <c r="B48" s="12" t="inlineStr">
        <is>
          <t>株式会社日本ゆずレモン</t>
        </is>
      </c>
      <c r="C48" s="12" t="inlineStr"/>
      <c r="D48" s="12" t="inlineStr"/>
      <c r="E48" s="12" t="inlineStr"/>
    </row>
    <row r="49">
      <c r="A49" s="12" t="inlineStr">
        <is>
          <t>S048</t>
        </is>
      </c>
      <c r="B49" s="12" t="inlineStr">
        <is>
          <t>レンゴー株式会社</t>
        </is>
      </c>
      <c r="C49" s="12" t="inlineStr"/>
      <c r="D49" s="12" t="inlineStr"/>
      <c r="E49" s="12" t="inlineStr"/>
    </row>
    <row r="50">
      <c r="A50" s="12" t="inlineStr">
        <is>
          <t>S049</t>
        </is>
      </c>
      <c r="B50" s="12" t="inlineStr">
        <is>
          <t>三州食研株式会社</t>
        </is>
      </c>
      <c r="C50" s="12" t="inlineStr"/>
      <c r="D50" s="12" t="inlineStr"/>
      <c r="E50" s="12" t="inlineStr"/>
    </row>
    <row r="51">
      <c r="A51" s="13" t="n"/>
      <c r="B51" s="13" t="n"/>
      <c r="C51" s="13" t="n"/>
      <c r="D51" s="13" t="n"/>
      <c r="E51" s="13" t="n"/>
    </row>
    <row r="52">
      <c r="A52" s="13" t="n"/>
      <c r="B52" s="13" t="n"/>
      <c r="C52" s="13" t="n"/>
      <c r="D52" s="13" t="n"/>
      <c r="E52" s="13" t="n"/>
    </row>
    <row r="53">
      <c r="A53" s="13" t="n"/>
      <c r="B53" s="13" t="n"/>
      <c r="C53" s="13" t="n"/>
      <c r="D53" s="13" t="n"/>
      <c r="E53" s="13" t="n"/>
    </row>
    <row r="54">
      <c r="A54" s="13" t="n"/>
      <c r="B54" s="13" t="n"/>
      <c r="C54" s="13" t="n"/>
      <c r="D54" s="13" t="n"/>
      <c r="E54" s="13" t="n"/>
    </row>
    <row r="55">
      <c r="A55" s="13" t="n"/>
      <c r="B55" s="13" t="n"/>
      <c r="C55" s="13" t="n"/>
      <c r="D55" s="13" t="n"/>
      <c r="E55" s="13" t="n"/>
    </row>
    <row r="56">
      <c r="A56" s="13" t="n"/>
      <c r="B56" s="13" t="n"/>
      <c r="C56" s="13" t="n"/>
      <c r="D56" s="13" t="n"/>
      <c r="E56" s="13" t="n"/>
    </row>
    <row r="57">
      <c r="A57" s="13" t="n"/>
      <c r="B57" s="13" t="n"/>
      <c r="C57" s="13" t="n"/>
      <c r="D57" s="13" t="n"/>
      <c r="E57" s="13" t="n"/>
    </row>
    <row r="58">
      <c r="A58" s="13" t="n"/>
      <c r="B58" s="13" t="n"/>
      <c r="C58" s="13" t="n"/>
      <c r="D58" s="13" t="n"/>
      <c r="E58" s="13" t="n"/>
    </row>
    <row r="59">
      <c r="A59" s="13" t="n"/>
      <c r="B59" s="13" t="n"/>
      <c r="C59" s="13" t="n"/>
      <c r="D59" s="13" t="n"/>
      <c r="E59" s="13" t="n"/>
    </row>
    <row r="60">
      <c r="A60" s="13" t="n"/>
      <c r="B60" s="13" t="n"/>
      <c r="C60" s="13" t="n"/>
      <c r="D60" s="13" t="n"/>
      <c r="E60" s="13" t="n"/>
    </row>
    <row r="61">
      <c r="A61" s="13" t="n"/>
      <c r="B61" s="13" t="n"/>
      <c r="C61" s="13" t="n"/>
      <c r="D61" s="13" t="n"/>
      <c r="E61" s="13" t="n"/>
    </row>
    <row r="62">
      <c r="A62" s="13" t="n"/>
      <c r="B62" s="13" t="n"/>
      <c r="C62" s="13" t="n"/>
      <c r="D62" s="13" t="n"/>
      <c r="E62" s="13" t="n"/>
    </row>
    <row r="63">
      <c r="A63" s="13" t="n"/>
      <c r="B63" s="13" t="n"/>
      <c r="C63" s="13" t="n"/>
      <c r="D63" s="13" t="n"/>
      <c r="E63" s="13" t="n"/>
    </row>
    <row r="64">
      <c r="A64" s="13" t="n"/>
      <c r="B64" s="13" t="n"/>
      <c r="C64" s="13" t="n"/>
      <c r="D64" s="13" t="n"/>
      <c r="E64" s="13" t="n"/>
    </row>
    <row r="65">
      <c r="A65" s="13" t="n"/>
      <c r="B65" s="13" t="n"/>
      <c r="C65" s="13" t="n"/>
      <c r="D65" s="13" t="n"/>
      <c r="E65" s="13" t="n"/>
    </row>
    <row r="66">
      <c r="A66" s="13" t="n"/>
      <c r="B66" s="13" t="n"/>
      <c r="C66" s="13" t="n"/>
      <c r="D66" s="13" t="n"/>
      <c r="E66" s="13" t="n"/>
    </row>
    <row r="67">
      <c r="A67" s="13" t="n"/>
      <c r="B67" s="13" t="n"/>
      <c r="C67" s="13" t="n"/>
      <c r="D67" s="13" t="n"/>
      <c r="E67" s="13" t="n"/>
    </row>
    <row r="68">
      <c r="A68" s="13" t="n"/>
      <c r="B68" s="13" t="n"/>
      <c r="C68" s="13" t="n"/>
      <c r="D68" s="13" t="n"/>
      <c r="E68" s="13" t="n"/>
    </row>
    <row r="69">
      <c r="A69" s="13" t="n"/>
      <c r="B69" s="13" t="n"/>
      <c r="C69" s="13" t="n"/>
      <c r="D69" s="13" t="n"/>
      <c r="E69" s="13" t="n"/>
    </row>
    <row r="70">
      <c r="A70" s="13" t="n"/>
      <c r="B70" s="13" t="n"/>
      <c r="C70" s="13" t="n"/>
      <c r="D70" s="13" t="n"/>
      <c r="E70" s="13" t="n"/>
    </row>
    <row r="71">
      <c r="A71" s="13" t="n"/>
      <c r="B71" s="13" t="n"/>
      <c r="C71" s="13" t="n"/>
      <c r="D71" s="13" t="n"/>
      <c r="E71" s="13" t="n"/>
    </row>
    <row r="72">
      <c r="A72" s="13" t="n"/>
      <c r="B72" s="13" t="n"/>
      <c r="C72" s="13" t="n"/>
      <c r="D72" s="13" t="n"/>
      <c r="E72" s="13" t="n"/>
    </row>
    <row r="73">
      <c r="A73" s="13" t="n"/>
      <c r="B73" s="13" t="n"/>
      <c r="C73" s="13" t="n"/>
      <c r="D73" s="13" t="n"/>
      <c r="E73" s="13" t="n"/>
    </row>
    <row r="74">
      <c r="A74" s="13" t="n"/>
      <c r="B74" s="13" t="n"/>
      <c r="C74" s="13" t="n"/>
      <c r="D74" s="13" t="n"/>
      <c r="E74" s="13" t="n"/>
    </row>
    <row r="75">
      <c r="A75" s="13" t="n"/>
      <c r="B75" s="13" t="n"/>
      <c r="C75" s="13" t="n"/>
      <c r="D75" s="13" t="n"/>
      <c r="E75" s="13" t="n"/>
    </row>
    <row r="76">
      <c r="A76" s="13" t="n"/>
      <c r="B76" s="13" t="n"/>
      <c r="C76" s="13" t="n"/>
      <c r="D76" s="13" t="n"/>
      <c r="E76" s="13" t="n"/>
    </row>
    <row r="77">
      <c r="A77" s="13" t="n"/>
      <c r="B77" s="13" t="n"/>
      <c r="C77" s="13" t="n"/>
      <c r="D77" s="13" t="n"/>
      <c r="E77" s="13" t="n"/>
    </row>
    <row r="78">
      <c r="A78" s="13" t="n"/>
      <c r="B78" s="13" t="n"/>
      <c r="C78" s="13" t="n"/>
      <c r="D78" s="13" t="n"/>
      <c r="E78" s="13" t="n"/>
    </row>
    <row r="79">
      <c r="A79" s="13" t="n"/>
      <c r="B79" s="13" t="n"/>
      <c r="C79" s="13" t="n"/>
      <c r="D79" s="13" t="n"/>
      <c r="E79" s="13" t="n"/>
    </row>
    <row r="80">
      <c r="A80" s="13" t="n"/>
      <c r="B80" s="13" t="n"/>
      <c r="C80" s="13" t="n"/>
      <c r="D80" s="13" t="n"/>
      <c r="E80" s="13" t="n"/>
    </row>
    <row r="81">
      <c r="A81" s="13" t="n"/>
      <c r="B81" s="13" t="n"/>
      <c r="C81" s="13" t="n"/>
      <c r="D81" s="13" t="n"/>
      <c r="E81" s="13" t="n"/>
    </row>
    <row r="82">
      <c r="A82" s="13" t="n"/>
      <c r="B82" s="13" t="n"/>
      <c r="C82" s="13" t="n"/>
      <c r="D82" s="13" t="n"/>
      <c r="E82" s="13" t="n"/>
    </row>
    <row r="83">
      <c r="A83" s="13" t="n"/>
      <c r="B83" s="13" t="n"/>
      <c r="C83" s="13" t="n"/>
      <c r="D83" s="13" t="n"/>
      <c r="E83" s="13" t="n"/>
    </row>
    <row r="84">
      <c r="A84" s="13" t="n"/>
      <c r="B84" s="13" t="n"/>
      <c r="C84" s="13" t="n"/>
      <c r="D84" s="13" t="n"/>
      <c r="E84" s="13" t="n"/>
    </row>
    <row r="85">
      <c r="A85" s="13" t="n"/>
      <c r="B85" s="13" t="n"/>
      <c r="C85" s="13" t="n"/>
      <c r="D85" s="13" t="n"/>
      <c r="E85" s="13" t="n"/>
    </row>
    <row r="86">
      <c r="A86" s="13" t="n"/>
      <c r="B86" s="13" t="n"/>
      <c r="C86" s="13" t="n"/>
      <c r="D86" s="13" t="n"/>
      <c r="E86" s="13" t="n"/>
    </row>
    <row r="87">
      <c r="A87" s="13" t="n"/>
      <c r="B87" s="13" t="n"/>
      <c r="C87" s="13" t="n"/>
      <c r="D87" s="13" t="n"/>
      <c r="E87" s="13" t="n"/>
    </row>
    <row r="88">
      <c r="A88" s="13" t="n"/>
      <c r="B88" s="13" t="n"/>
      <c r="C88" s="13" t="n"/>
      <c r="D88" s="13" t="n"/>
      <c r="E88" s="13" t="n"/>
    </row>
    <row r="89">
      <c r="A89" s="13" t="n"/>
      <c r="B89" s="13" t="n"/>
      <c r="C89" s="13" t="n"/>
      <c r="D89" s="13" t="n"/>
      <c r="E89" s="13" t="n"/>
    </row>
    <row r="90">
      <c r="A90" s="13" t="n"/>
      <c r="B90" s="13" t="n"/>
      <c r="C90" s="13" t="n"/>
      <c r="D90" s="13" t="n"/>
      <c r="E90" s="13" t="n"/>
    </row>
    <row r="91">
      <c r="A91" s="13" t="n"/>
      <c r="B91" s="13" t="n"/>
      <c r="C91" s="13" t="n"/>
      <c r="D91" s="13" t="n"/>
      <c r="E91" s="13" t="n"/>
    </row>
    <row r="92">
      <c r="A92" s="13" t="n"/>
      <c r="B92" s="13" t="n"/>
      <c r="C92" s="13" t="n"/>
      <c r="D92" s="13" t="n"/>
      <c r="E92" s="13" t="n"/>
    </row>
    <row r="93">
      <c r="A93" s="13" t="n"/>
      <c r="B93" s="13" t="n"/>
      <c r="C93" s="13" t="n"/>
      <c r="D93" s="13" t="n"/>
      <c r="E93" s="13" t="n"/>
    </row>
    <row r="94">
      <c r="A94" s="13" t="n"/>
      <c r="B94" s="13" t="n"/>
      <c r="C94" s="13" t="n"/>
      <c r="D94" s="13" t="n"/>
      <c r="E94" s="13" t="n"/>
    </row>
    <row r="95">
      <c r="A95" s="13" t="n"/>
      <c r="B95" s="13" t="n"/>
      <c r="C95" s="13" t="n"/>
      <c r="D95" s="13" t="n"/>
      <c r="E95" s="13" t="n"/>
    </row>
    <row r="96">
      <c r="A96" s="13" t="n"/>
      <c r="B96" s="13" t="n"/>
      <c r="C96" s="13" t="n"/>
      <c r="D96" s="13" t="n"/>
      <c r="E96" s="13" t="n"/>
    </row>
    <row r="97">
      <c r="A97" s="13" t="n"/>
      <c r="B97" s="13" t="n"/>
      <c r="C97" s="13" t="n"/>
      <c r="D97" s="13" t="n"/>
      <c r="E97" s="13" t="n"/>
    </row>
    <row r="98">
      <c r="A98" s="13" t="n"/>
      <c r="B98" s="13" t="n"/>
      <c r="C98" s="13" t="n"/>
      <c r="D98" s="13" t="n"/>
      <c r="E98" s="13" t="n"/>
    </row>
    <row r="99">
      <c r="A99" s="13" t="n"/>
      <c r="B99" s="13" t="n"/>
      <c r="C99" s="13" t="n"/>
      <c r="D99" s="13" t="n"/>
      <c r="E99" s="13" t="n"/>
    </row>
    <row r="100">
      <c r="A100" s="13" t="n"/>
      <c r="B100" s="13" t="n"/>
      <c r="C100" s="13" t="n"/>
      <c r="D100" s="13" t="n"/>
      <c r="E100" s="13" t="n"/>
    </row>
    <row r="101">
      <c r="A101" s="13" t="n"/>
      <c r="B101" s="13" t="n"/>
      <c r="C101" s="13" t="n"/>
      <c r="D101" s="13" t="n"/>
      <c r="E101" s="13" t="n"/>
    </row>
    <row r="102">
      <c r="A102" s="13" t="n"/>
      <c r="B102" s="13" t="n"/>
      <c r="C102" s="13" t="n"/>
      <c r="D102" s="13" t="n"/>
      <c r="E102" s="13" t="n"/>
    </row>
    <row r="103">
      <c r="A103" s="13" t="n"/>
      <c r="B103" s="13" t="n"/>
      <c r="C103" s="13" t="n"/>
      <c r="D103" s="13" t="n"/>
      <c r="E103" s="13" t="n"/>
    </row>
    <row r="104">
      <c r="A104" s="13" t="n"/>
      <c r="B104" s="13" t="n"/>
      <c r="C104" s="13" t="n"/>
      <c r="D104" s="13" t="n"/>
      <c r="E104" s="13" t="n"/>
    </row>
    <row r="105">
      <c r="A105" s="13" t="n"/>
      <c r="B105" s="13" t="n"/>
      <c r="C105" s="13" t="n"/>
      <c r="D105" s="13" t="n"/>
      <c r="E105" s="13" t="n"/>
    </row>
    <row r="106">
      <c r="A106" s="13" t="n"/>
      <c r="B106" s="13" t="n"/>
      <c r="C106" s="13" t="n"/>
      <c r="D106" s="13" t="n"/>
      <c r="E106" s="13" t="n"/>
    </row>
    <row r="107">
      <c r="A107" s="13" t="n"/>
      <c r="B107" s="13" t="n"/>
      <c r="C107" s="13" t="n"/>
      <c r="D107" s="13" t="n"/>
      <c r="E107" s="13" t="n"/>
    </row>
    <row r="108">
      <c r="A108" s="13" t="n"/>
      <c r="B108" s="13" t="n"/>
      <c r="C108" s="13" t="n"/>
      <c r="D108" s="13" t="n"/>
      <c r="E108" s="13" t="n"/>
    </row>
    <row r="109">
      <c r="A109" s="13" t="n"/>
      <c r="B109" s="13" t="n"/>
      <c r="C109" s="13" t="n"/>
      <c r="D109" s="13" t="n"/>
      <c r="E109" s="13" t="n"/>
    </row>
    <row r="110">
      <c r="A110" s="13" t="n"/>
      <c r="B110" s="13" t="n"/>
      <c r="C110" s="13" t="n"/>
      <c r="D110" s="13" t="n"/>
      <c r="E110" s="13" t="n"/>
    </row>
    <row r="111">
      <c r="A111" s="13" t="n"/>
      <c r="B111" s="13" t="n"/>
      <c r="C111" s="13" t="n"/>
      <c r="D111" s="13" t="n"/>
      <c r="E111" s="13" t="n"/>
    </row>
    <row r="112">
      <c r="A112" s="13" t="n"/>
      <c r="B112" s="13" t="n"/>
      <c r="C112" s="13" t="n"/>
      <c r="D112" s="13" t="n"/>
      <c r="E112" s="13" t="n"/>
    </row>
    <row r="113">
      <c r="A113" s="13" t="n"/>
      <c r="B113" s="13" t="n"/>
      <c r="C113" s="13" t="n"/>
      <c r="D113" s="13" t="n"/>
      <c r="E113" s="13" t="n"/>
    </row>
    <row r="114">
      <c r="A114" s="13" t="n"/>
      <c r="B114" s="13" t="n"/>
      <c r="C114" s="13" t="n"/>
      <c r="D114" s="13" t="n"/>
      <c r="E114" s="13" t="n"/>
    </row>
    <row r="115">
      <c r="A115" s="13" t="n"/>
      <c r="B115" s="13" t="n"/>
      <c r="C115" s="13" t="n"/>
      <c r="D115" s="13" t="n"/>
      <c r="E115" s="13" t="n"/>
    </row>
    <row r="116">
      <c r="A116" s="13" t="n"/>
      <c r="B116" s="13" t="n"/>
      <c r="C116" s="13" t="n"/>
      <c r="D116" s="13" t="n"/>
      <c r="E116" s="13" t="n"/>
    </row>
    <row r="117">
      <c r="A117" s="13" t="n"/>
      <c r="B117" s="13" t="n"/>
      <c r="C117" s="13" t="n"/>
      <c r="D117" s="13" t="n"/>
      <c r="E117" s="13" t="n"/>
    </row>
    <row r="118">
      <c r="A118" s="13" t="n"/>
      <c r="B118" s="13" t="n"/>
      <c r="C118" s="13" t="n"/>
      <c r="D118" s="13" t="n"/>
      <c r="E118" s="13" t="n"/>
    </row>
    <row r="119">
      <c r="A119" s="13" t="n"/>
      <c r="B119" s="13" t="n"/>
      <c r="C119" s="13" t="n"/>
      <c r="D119" s="13" t="n"/>
      <c r="E119" s="13" t="n"/>
    </row>
    <row r="120">
      <c r="A120" s="13" t="n"/>
      <c r="B120" s="13" t="n"/>
      <c r="C120" s="13" t="n"/>
      <c r="D120" s="13" t="n"/>
      <c r="E120" s="13" t="n"/>
    </row>
    <row r="121">
      <c r="A121" s="13" t="n"/>
      <c r="B121" s="13" t="n"/>
      <c r="C121" s="13" t="n"/>
      <c r="D121" s="13" t="n"/>
      <c r="E121" s="13" t="n"/>
    </row>
    <row r="122">
      <c r="A122" s="13" t="n"/>
      <c r="B122" s="13" t="n"/>
      <c r="C122" s="13" t="n"/>
      <c r="D122" s="13" t="n"/>
      <c r="E122" s="13" t="n"/>
    </row>
    <row r="123">
      <c r="A123" s="13" t="n"/>
      <c r="B123" s="13" t="n"/>
      <c r="C123" s="13" t="n"/>
      <c r="D123" s="13" t="n"/>
      <c r="E123" s="13" t="n"/>
    </row>
    <row r="124">
      <c r="A124" s="13" t="n"/>
      <c r="B124" s="13" t="n"/>
      <c r="C124" s="13" t="n"/>
      <c r="D124" s="13" t="n"/>
      <c r="E124" s="13" t="n"/>
    </row>
    <row r="125">
      <c r="A125" s="13" t="n"/>
      <c r="B125" s="13" t="n"/>
      <c r="C125" s="13" t="n"/>
      <c r="D125" s="13" t="n"/>
      <c r="E125" s="13" t="n"/>
    </row>
    <row r="126">
      <c r="A126" s="13" t="n"/>
      <c r="B126" s="13" t="n"/>
      <c r="C126" s="13" t="n"/>
      <c r="D126" s="13" t="n"/>
      <c r="E126" s="13" t="n"/>
    </row>
    <row r="127">
      <c r="A127" s="13" t="n"/>
      <c r="B127" s="13" t="n"/>
      <c r="C127" s="13" t="n"/>
      <c r="D127" s="13" t="n"/>
      <c r="E127" s="13" t="n"/>
    </row>
    <row r="128">
      <c r="A128" s="13" t="n"/>
      <c r="B128" s="13" t="n"/>
      <c r="C128" s="13" t="n"/>
      <c r="D128" s="13" t="n"/>
      <c r="E128" s="13" t="n"/>
    </row>
    <row r="129">
      <c r="A129" s="13" t="n"/>
      <c r="B129" s="13" t="n"/>
      <c r="C129" s="13" t="n"/>
      <c r="D129" s="13" t="n"/>
      <c r="E129" s="13" t="n"/>
    </row>
    <row r="130">
      <c r="A130" s="13" t="n"/>
      <c r="B130" s="13" t="n"/>
      <c r="C130" s="13" t="n"/>
      <c r="D130" s="13" t="n"/>
      <c r="E130" s="13" t="n"/>
    </row>
    <row r="131">
      <c r="A131" s="13" t="n"/>
      <c r="B131" s="13" t="n"/>
      <c r="C131" s="13" t="n"/>
      <c r="D131" s="13" t="n"/>
      <c r="E131" s="13" t="n"/>
    </row>
    <row r="132">
      <c r="A132" s="13" t="n"/>
      <c r="B132" s="13" t="n"/>
      <c r="C132" s="13" t="n"/>
      <c r="D132" s="13" t="n"/>
      <c r="E132" s="13" t="n"/>
    </row>
    <row r="133">
      <c r="A133" s="13" t="n"/>
      <c r="B133" s="13" t="n"/>
      <c r="C133" s="13" t="n"/>
      <c r="D133" s="13" t="n"/>
      <c r="E133" s="13" t="n"/>
    </row>
    <row r="134">
      <c r="A134" s="13" t="n"/>
      <c r="B134" s="13" t="n"/>
      <c r="C134" s="13" t="n"/>
      <c r="D134" s="13" t="n"/>
      <c r="E134" s="13" t="n"/>
    </row>
    <row r="135">
      <c r="A135" s="13" t="n"/>
      <c r="B135" s="13" t="n"/>
      <c r="C135" s="13" t="n"/>
      <c r="D135" s="13" t="n"/>
      <c r="E135" s="13" t="n"/>
    </row>
    <row r="136">
      <c r="A136" s="13" t="n"/>
      <c r="B136" s="13" t="n"/>
      <c r="C136" s="13" t="n"/>
      <c r="D136" s="13" t="n"/>
      <c r="E136" s="13" t="n"/>
    </row>
    <row r="137">
      <c r="A137" s="13" t="n"/>
      <c r="B137" s="13" t="n"/>
      <c r="C137" s="13" t="n"/>
      <c r="D137" s="13" t="n"/>
      <c r="E137" s="13" t="n"/>
    </row>
    <row r="138">
      <c r="A138" s="13" t="n"/>
      <c r="B138" s="13" t="n"/>
      <c r="C138" s="13" t="n"/>
      <c r="D138" s="13" t="n"/>
      <c r="E138" s="13" t="n"/>
    </row>
    <row r="139">
      <c r="A139" s="13" t="n"/>
      <c r="B139" s="13" t="n"/>
      <c r="C139" s="13" t="n"/>
      <c r="D139" s="13" t="n"/>
      <c r="E139" s="13" t="n"/>
    </row>
    <row r="140">
      <c r="A140" s="13" t="n"/>
      <c r="B140" s="13" t="n"/>
      <c r="C140" s="13" t="n"/>
      <c r="D140" s="13" t="n"/>
      <c r="E140" s="13" t="n"/>
    </row>
    <row r="141">
      <c r="A141" s="13" t="n"/>
      <c r="B141" s="13" t="n"/>
      <c r="C141" s="13" t="n"/>
      <c r="D141" s="13" t="n"/>
      <c r="E141" s="13" t="n"/>
    </row>
    <row r="142">
      <c r="A142" s="13" t="n"/>
      <c r="B142" s="13" t="n"/>
      <c r="C142" s="13" t="n"/>
      <c r="D142" s="13" t="n"/>
      <c r="E142" s="13" t="n"/>
    </row>
    <row r="143">
      <c r="A143" s="13" t="n"/>
      <c r="B143" s="13" t="n"/>
      <c r="C143" s="13" t="n"/>
      <c r="D143" s="13" t="n"/>
      <c r="E143" s="13" t="n"/>
    </row>
    <row r="144">
      <c r="A144" s="13" t="n"/>
      <c r="B144" s="13" t="n"/>
      <c r="C144" s="13" t="n"/>
      <c r="D144" s="13" t="n"/>
      <c r="E144" s="13" t="n"/>
    </row>
    <row r="145">
      <c r="A145" s="13" t="n"/>
      <c r="B145" s="13" t="n"/>
      <c r="C145" s="13" t="n"/>
      <c r="D145" s="13" t="n"/>
      <c r="E145" s="13" t="n"/>
    </row>
    <row r="146">
      <c r="A146" s="13" t="n"/>
      <c r="B146" s="13" t="n"/>
      <c r="C146" s="13" t="n"/>
      <c r="D146" s="13" t="n"/>
      <c r="E146" s="13" t="n"/>
    </row>
    <row r="147">
      <c r="A147" s="13" t="n"/>
      <c r="B147" s="13" t="n"/>
      <c r="C147" s="13" t="n"/>
      <c r="D147" s="13" t="n"/>
      <c r="E147" s="13" t="n"/>
    </row>
    <row r="148">
      <c r="A148" s="13" t="n"/>
      <c r="B148" s="13" t="n"/>
      <c r="C148" s="13" t="n"/>
      <c r="D148" s="13" t="n"/>
      <c r="E148" s="13" t="n"/>
    </row>
    <row r="149">
      <c r="A149" s="13" t="n"/>
      <c r="B149" s="13" t="n"/>
      <c r="C149" s="13" t="n"/>
      <c r="D149" s="13" t="n"/>
      <c r="E149" s="13" t="n"/>
    </row>
    <row r="150">
      <c r="A150" s="13" t="n"/>
      <c r="B150" s="13" t="n"/>
      <c r="C150" s="13" t="n"/>
      <c r="D150" s="13" t="n"/>
      <c r="E150" s="13" t="n"/>
    </row>
    <row r="151">
      <c r="A151" s="13" t="n"/>
      <c r="B151" s="13" t="n"/>
      <c r="C151" s="13" t="n"/>
      <c r="D151" s="13" t="n"/>
      <c r="E151" s="13" t="n"/>
    </row>
    <row r="152">
      <c r="A152" s="13" t="n"/>
      <c r="B152" s="13" t="n"/>
      <c r="C152" s="13" t="n"/>
      <c r="D152" s="13" t="n"/>
      <c r="E152" s="13" t="n"/>
    </row>
    <row r="153">
      <c r="A153" s="13" t="n"/>
      <c r="B153" s="13" t="n"/>
      <c r="C153" s="13" t="n"/>
      <c r="D153" s="13" t="n"/>
      <c r="E153" s="13" t="n"/>
    </row>
    <row r="154">
      <c r="A154" s="13" t="n"/>
      <c r="B154" s="13" t="n"/>
      <c r="C154" s="13" t="n"/>
      <c r="D154" s="13" t="n"/>
      <c r="E154" s="13" t="n"/>
    </row>
    <row r="155">
      <c r="A155" s="13" t="n"/>
      <c r="B155" s="13" t="n"/>
      <c r="C155" s="13" t="n"/>
      <c r="D155" s="13" t="n"/>
      <c r="E155" s="13" t="n"/>
    </row>
    <row r="156">
      <c r="A156" s="13" t="n"/>
      <c r="B156" s="13" t="n"/>
      <c r="C156" s="13" t="n"/>
      <c r="D156" s="13" t="n"/>
      <c r="E156" s="13" t="n"/>
    </row>
    <row r="157">
      <c r="A157" s="13" t="n"/>
      <c r="B157" s="13" t="n"/>
      <c r="C157" s="13" t="n"/>
      <c r="D157" s="13" t="n"/>
      <c r="E157" s="13" t="n"/>
    </row>
    <row r="158">
      <c r="A158" s="13" t="n"/>
      <c r="B158" s="13" t="n"/>
      <c r="C158" s="13" t="n"/>
      <c r="D158" s="13" t="n"/>
      <c r="E158" s="13" t="n"/>
    </row>
    <row r="159">
      <c r="A159" s="13" t="n"/>
      <c r="B159" s="13" t="n"/>
      <c r="C159" s="13" t="n"/>
      <c r="D159" s="13" t="n"/>
      <c r="E159" s="13" t="n"/>
    </row>
    <row r="160">
      <c r="A160" s="13" t="n"/>
      <c r="B160" s="13" t="n"/>
      <c r="C160" s="13" t="n"/>
      <c r="D160" s="13" t="n"/>
      <c r="E160" s="13" t="n"/>
    </row>
    <row r="161">
      <c r="A161" s="13" t="n"/>
      <c r="B161" s="13" t="n"/>
      <c r="C161" s="13" t="n"/>
      <c r="D161" s="13" t="n"/>
      <c r="E161" s="13" t="n"/>
    </row>
    <row r="162">
      <c r="A162" s="13" t="n"/>
      <c r="B162" s="13" t="n"/>
      <c r="C162" s="13" t="n"/>
      <c r="D162" s="13" t="n"/>
      <c r="E162" s="13" t="n"/>
    </row>
    <row r="163">
      <c r="A163" s="13" t="n"/>
      <c r="B163" s="13" t="n"/>
      <c r="C163" s="13" t="n"/>
      <c r="D163" s="13" t="n"/>
      <c r="E163" s="13" t="n"/>
    </row>
    <row r="164">
      <c r="A164" s="13" t="n"/>
      <c r="B164" s="13" t="n"/>
      <c r="C164" s="13" t="n"/>
      <c r="D164" s="13" t="n"/>
      <c r="E164" s="13" t="n"/>
    </row>
    <row r="165">
      <c r="A165" s="13" t="n"/>
      <c r="B165" s="13" t="n"/>
      <c r="C165" s="13" t="n"/>
      <c r="D165" s="13" t="n"/>
      <c r="E165" s="13" t="n"/>
    </row>
    <row r="166">
      <c r="A166" s="13" t="n"/>
      <c r="B166" s="13" t="n"/>
      <c r="C166" s="13" t="n"/>
      <c r="D166" s="13" t="n"/>
      <c r="E166" s="13" t="n"/>
    </row>
    <row r="167">
      <c r="A167" s="13" t="n"/>
      <c r="B167" s="13" t="n"/>
      <c r="C167" s="13" t="n"/>
      <c r="D167" s="13" t="n"/>
      <c r="E167" s="13" t="n"/>
    </row>
    <row r="168">
      <c r="A168" s="13" t="n"/>
      <c r="B168" s="13" t="n"/>
      <c r="C168" s="13" t="n"/>
      <c r="D168" s="13" t="n"/>
      <c r="E168" s="13" t="n"/>
    </row>
    <row r="169">
      <c r="A169" s="13" t="n"/>
      <c r="B169" s="13" t="n"/>
      <c r="C169" s="13" t="n"/>
      <c r="D169" s="13" t="n"/>
      <c r="E169" s="13" t="n"/>
    </row>
    <row r="170">
      <c r="A170" s="13" t="n"/>
      <c r="B170" s="13" t="n"/>
      <c r="C170" s="13" t="n"/>
      <c r="D170" s="13" t="n"/>
      <c r="E170" s="13" t="n"/>
    </row>
    <row r="171">
      <c r="A171" s="13" t="n"/>
      <c r="B171" s="13" t="n"/>
      <c r="C171" s="13" t="n"/>
      <c r="D171" s="13" t="n"/>
      <c r="E171" s="13" t="n"/>
    </row>
    <row r="172">
      <c r="A172" s="13" t="n"/>
      <c r="B172" s="13" t="n"/>
      <c r="C172" s="13" t="n"/>
      <c r="D172" s="13" t="n"/>
      <c r="E172" s="13" t="n"/>
    </row>
    <row r="173">
      <c r="A173" s="13" t="n"/>
      <c r="B173" s="13" t="n"/>
      <c r="C173" s="13" t="n"/>
      <c r="D173" s="13" t="n"/>
      <c r="E173" s="13" t="n"/>
    </row>
    <row r="174">
      <c r="A174" s="13" t="n"/>
      <c r="B174" s="13" t="n"/>
      <c r="C174" s="13" t="n"/>
      <c r="D174" s="13" t="n"/>
      <c r="E174" s="13" t="n"/>
    </row>
    <row r="175">
      <c r="A175" s="13" t="n"/>
      <c r="B175" s="13" t="n"/>
      <c r="C175" s="13" t="n"/>
      <c r="D175" s="13" t="n"/>
      <c r="E175" s="13" t="n"/>
    </row>
    <row r="176">
      <c r="A176" s="13" t="n"/>
      <c r="B176" s="13" t="n"/>
      <c r="C176" s="13" t="n"/>
      <c r="D176" s="13" t="n"/>
      <c r="E176" s="13" t="n"/>
    </row>
    <row r="177">
      <c r="A177" s="13" t="n"/>
      <c r="B177" s="13" t="n"/>
      <c r="C177" s="13" t="n"/>
      <c r="D177" s="13" t="n"/>
      <c r="E177" s="13" t="n"/>
    </row>
    <row r="178">
      <c r="A178" s="13" t="n"/>
      <c r="B178" s="13" t="n"/>
      <c r="C178" s="13" t="n"/>
      <c r="D178" s="13" t="n"/>
      <c r="E178" s="13" t="n"/>
    </row>
    <row r="179">
      <c r="A179" s="13" t="n"/>
      <c r="B179" s="13" t="n"/>
      <c r="C179" s="13" t="n"/>
      <c r="D179" s="13" t="n"/>
      <c r="E179" s="13" t="n"/>
    </row>
    <row r="180">
      <c r="A180" s="13" t="n"/>
      <c r="B180" s="13" t="n"/>
      <c r="C180" s="13" t="n"/>
      <c r="D180" s="13" t="n"/>
      <c r="E180" s="13" t="n"/>
    </row>
    <row r="181">
      <c r="A181" s="13" t="n"/>
      <c r="B181" s="13" t="n"/>
      <c r="C181" s="13" t="n"/>
      <c r="D181" s="13" t="n"/>
      <c r="E181" s="13" t="n"/>
    </row>
    <row r="182">
      <c r="A182" s="13" t="n"/>
      <c r="B182" s="13" t="n"/>
      <c r="C182" s="13" t="n"/>
      <c r="D182" s="13" t="n"/>
      <c r="E182" s="13" t="n"/>
    </row>
    <row r="183">
      <c r="A183" s="13" t="n"/>
      <c r="B183" s="13" t="n"/>
      <c r="C183" s="13" t="n"/>
      <c r="D183" s="13" t="n"/>
      <c r="E183" s="13" t="n"/>
    </row>
    <row r="184">
      <c r="A184" s="13" t="n"/>
      <c r="B184" s="13" t="n"/>
      <c r="C184" s="13" t="n"/>
      <c r="D184" s="13" t="n"/>
      <c r="E184" s="13" t="n"/>
    </row>
    <row r="185">
      <c r="A185" s="13" t="n"/>
      <c r="B185" s="13" t="n"/>
      <c r="C185" s="13" t="n"/>
      <c r="D185" s="13" t="n"/>
      <c r="E185" s="13" t="n"/>
    </row>
    <row r="186">
      <c r="A186" s="13" t="n"/>
      <c r="B186" s="13" t="n"/>
      <c r="C186" s="13" t="n"/>
      <c r="D186" s="13" t="n"/>
      <c r="E186" s="13" t="n"/>
    </row>
    <row r="187">
      <c r="A187" s="13" t="n"/>
      <c r="B187" s="13" t="n"/>
      <c r="C187" s="13" t="n"/>
      <c r="D187" s="13" t="n"/>
      <c r="E187" s="13" t="n"/>
    </row>
    <row r="188">
      <c r="A188" s="13" t="n"/>
      <c r="B188" s="13" t="n"/>
      <c r="C188" s="13" t="n"/>
      <c r="D188" s="13" t="n"/>
      <c r="E188" s="13" t="n"/>
    </row>
    <row r="189">
      <c r="A189" s="13" t="n"/>
      <c r="B189" s="13" t="n"/>
      <c r="C189" s="13" t="n"/>
      <c r="D189" s="13" t="n"/>
      <c r="E189" s="13" t="n"/>
    </row>
    <row r="190">
      <c r="A190" s="13" t="n"/>
      <c r="B190" s="13" t="n"/>
      <c r="C190" s="13" t="n"/>
      <c r="D190" s="13" t="n"/>
      <c r="E190" s="13" t="n"/>
    </row>
    <row r="191">
      <c r="A191" s="13" t="n"/>
      <c r="B191" s="13" t="n"/>
      <c r="C191" s="13" t="n"/>
      <c r="D191" s="13" t="n"/>
      <c r="E191" s="13" t="n"/>
    </row>
    <row r="192">
      <c r="A192" s="13" t="n"/>
      <c r="B192" s="13" t="n"/>
      <c r="C192" s="13" t="n"/>
      <c r="D192" s="13" t="n"/>
      <c r="E192" s="13" t="n"/>
    </row>
    <row r="193">
      <c r="A193" s="13" t="n"/>
      <c r="B193" s="13" t="n"/>
      <c r="C193" s="13" t="n"/>
      <c r="D193" s="13" t="n"/>
      <c r="E193" s="13" t="n"/>
    </row>
    <row r="194">
      <c r="A194" s="13" t="n"/>
      <c r="B194" s="13" t="n"/>
      <c r="C194" s="13" t="n"/>
      <c r="D194" s="13" t="n"/>
      <c r="E194" s="13" t="n"/>
    </row>
    <row r="195">
      <c r="A195" s="13" t="n"/>
      <c r="B195" s="13" t="n"/>
      <c r="C195" s="13" t="n"/>
      <c r="D195" s="13" t="n"/>
      <c r="E195" s="13" t="n"/>
    </row>
    <row r="196">
      <c r="A196" s="13" t="n"/>
      <c r="B196" s="13" t="n"/>
      <c r="C196" s="13" t="n"/>
      <c r="D196" s="13" t="n"/>
      <c r="E196" s="13" t="n"/>
    </row>
    <row r="197">
      <c r="A197" s="13" t="n"/>
      <c r="B197" s="13" t="n"/>
      <c r="C197" s="13" t="n"/>
      <c r="D197" s="13" t="n"/>
      <c r="E197" s="13" t="n"/>
    </row>
    <row r="198">
      <c r="A198" s="13" t="n"/>
      <c r="B198" s="13" t="n"/>
      <c r="C198" s="13" t="n"/>
      <c r="D198" s="13" t="n"/>
      <c r="E198" s="13" t="n"/>
    </row>
    <row r="199">
      <c r="A199" s="13" t="n"/>
      <c r="B199" s="13" t="n"/>
      <c r="C199" s="13" t="n"/>
      <c r="D199" s="13" t="n"/>
      <c r="E199" s="13" t="n"/>
    </row>
    <row r="200">
      <c r="A200" s="13" t="n"/>
      <c r="B200" s="13" t="n"/>
      <c r="C200" s="13" t="n"/>
      <c r="D200" s="13" t="n"/>
      <c r="E200" s="13" t="n"/>
    </row>
    <row r="201">
      <c r="A201" s="13" t="n"/>
      <c r="B201" s="13" t="n"/>
      <c r="C201" s="13" t="n"/>
      <c r="D201" s="13" t="n"/>
      <c r="E201" s="13" t="n"/>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201"/>
  <sheetViews>
    <sheetView workbookViewId="0">
      <pane ySplit="1" topLeftCell="A2" activePane="bottomLeft" state="frozen"/>
      <selection pane="bottomLeft" activeCell="A1" sqref="A1"/>
    </sheetView>
  </sheetViews>
  <sheetFormatPr baseColWidth="8" defaultRowHeight="15"/>
  <cols>
    <col width="12" customWidth="1" min="1" max="1"/>
    <col width="24" customWidth="1" min="2" max="2"/>
    <col width="16" customWidth="1" min="3" max="3"/>
    <col width="14" customWidth="1" min="4" max="4"/>
    <col width="30" customWidth="1" min="5" max="5"/>
  </cols>
  <sheetData>
    <row r="1">
      <c r="A1" s="5" t="inlineStr">
        <is>
          <t>得意先コード</t>
        </is>
      </c>
      <c r="B1" s="5" t="inlineStr">
        <is>
          <t>得意先名</t>
        </is>
      </c>
      <c r="C1" s="5" t="inlineStr">
        <is>
          <t>電話番号</t>
        </is>
      </c>
      <c r="D1" s="5" t="inlineStr">
        <is>
          <t>担当者</t>
        </is>
      </c>
      <c r="E1" s="5" t="inlineStr">
        <is>
          <t>備考</t>
        </is>
      </c>
    </row>
    <row r="2">
      <c r="A2" s="14" t="inlineStr">
        <is>
          <t>C001</t>
        </is>
      </c>
      <c r="B2" s="14" t="inlineStr">
        <is>
          <t>株式会社サンプル商事</t>
        </is>
      </c>
      <c r="C2" s="14" t="inlineStr">
        <is>
          <t>03-4444-5555</t>
        </is>
      </c>
      <c r="D2" s="14" t="inlineStr">
        <is>
          <t>田中</t>
        </is>
      </c>
      <c r="E2" s="14" t="inlineStr">
        <is>
          <t>サンプルデータ</t>
        </is>
      </c>
    </row>
    <row r="3">
      <c r="A3" s="14" t="inlineStr">
        <is>
          <t>C002</t>
        </is>
      </c>
      <c r="B3" s="14" t="inlineStr">
        <is>
          <t>有限会社テスト物産</t>
        </is>
      </c>
      <c r="C3" s="14" t="inlineStr">
        <is>
          <t>03-5555-6666</t>
        </is>
      </c>
      <c r="D3" s="14" t="inlineStr">
        <is>
          <t>高橋</t>
        </is>
      </c>
      <c r="E3" s="14" t="inlineStr">
        <is>
          <t>サンプルデータ</t>
        </is>
      </c>
    </row>
    <row r="4">
      <c r="A4" s="14" t="inlineStr">
        <is>
          <t>C003</t>
        </is>
      </c>
      <c r="B4" s="14" t="inlineStr">
        <is>
          <t>サンプルストア株式会社</t>
        </is>
      </c>
      <c r="C4" s="14" t="inlineStr">
        <is>
          <t>03-6666-7777</t>
        </is>
      </c>
      <c r="D4" s="14" t="inlineStr">
        <is>
          <t>伊藤</t>
        </is>
      </c>
      <c r="E4" s="14" t="inlineStr">
        <is>
          <t>サンプルデータ</t>
        </is>
      </c>
    </row>
    <row r="5">
      <c r="A5" s="13" t="n"/>
      <c r="B5" s="13" t="n"/>
      <c r="C5" s="13" t="n"/>
      <c r="D5" s="13" t="n"/>
      <c r="E5" s="13" t="n"/>
    </row>
    <row r="6">
      <c r="A6" s="13" t="n"/>
      <c r="B6" s="13" t="n"/>
      <c r="C6" s="13" t="n"/>
      <c r="D6" s="13" t="n"/>
      <c r="E6" s="13" t="n"/>
    </row>
    <row r="7">
      <c r="A7" s="13" t="n"/>
      <c r="B7" s="13" t="n"/>
      <c r="C7" s="13" t="n"/>
      <c r="D7" s="13" t="n"/>
      <c r="E7" s="13" t="n"/>
    </row>
    <row r="8">
      <c r="A8" s="13" t="n"/>
      <c r="B8" s="13" t="n"/>
      <c r="C8" s="13" t="n"/>
      <c r="D8" s="13" t="n"/>
      <c r="E8" s="13" t="n"/>
    </row>
    <row r="9">
      <c r="A9" s="13" t="n"/>
      <c r="B9" s="13" t="n"/>
      <c r="C9" s="13" t="n"/>
      <c r="D9" s="13" t="n"/>
      <c r="E9" s="13" t="n"/>
    </row>
    <row r="10">
      <c r="A10" s="13" t="n"/>
      <c r="B10" s="13" t="n"/>
      <c r="C10" s="13" t="n"/>
      <c r="D10" s="13" t="n"/>
      <c r="E10" s="13" t="n"/>
    </row>
    <row r="11">
      <c r="A11" s="13" t="n"/>
      <c r="B11" s="13" t="n"/>
      <c r="C11" s="13" t="n"/>
      <c r="D11" s="13" t="n"/>
      <c r="E11" s="13" t="n"/>
    </row>
    <row r="12">
      <c r="A12" s="13" t="n"/>
      <c r="B12" s="13" t="n"/>
      <c r="C12" s="13" t="n"/>
      <c r="D12" s="13" t="n"/>
      <c r="E12" s="13" t="n"/>
    </row>
    <row r="13">
      <c r="A13" s="13" t="n"/>
      <c r="B13" s="13" t="n"/>
      <c r="C13" s="13" t="n"/>
      <c r="D13" s="13" t="n"/>
      <c r="E13" s="13" t="n"/>
    </row>
    <row r="14">
      <c r="A14" s="13" t="n"/>
      <c r="B14" s="13" t="n"/>
      <c r="C14" s="13" t="n"/>
      <c r="D14" s="13" t="n"/>
      <c r="E14" s="13" t="n"/>
    </row>
    <row r="15">
      <c r="A15" s="13" t="n"/>
      <c r="B15" s="13" t="n"/>
      <c r="C15" s="13" t="n"/>
      <c r="D15" s="13" t="n"/>
      <c r="E15" s="13" t="n"/>
    </row>
    <row r="16">
      <c r="A16" s="13" t="n"/>
      <c r="B16" s="13" t="n"/>
      <c r="C16" s="13" t="n"/>
      <c r="D16" s="13" t="n"/>
      <c r="E16" s="13" t="n"/>
    </row>
    <row r="17">
      <c r="A17" s="13" t="n"/>
      <c r="B17" s="13" t="n"/>
      <c r="C17" s="13" t="n"/>
      <c r="D17" s="13" t="n"/>
      <c r="E17" s="13" t="n"/>
    </row>
    <row r="18">
      <c r="A18" s="13" t="n"/>
      <c r="B18" s="13" t="n"/>
      <c r="C18" s="13" t="n"/>
      <c r="D18" s="13" t="n"/>
      <c r="E18" s="13" t="n"/>
    </row>
    <row r="19">
      <c r="A19" s="13" t="n"/>
      <c r="B19" s="13" t="n"/>
      <c r="C19" s="13" t="n"/>
      <c r="D19" s="13" t="n"/>
      <c r="E19" s="13" t="n"/>
    </row>
    <row r="20">
      <c r="A20" s="13" t="n"/>
      <c r="B20" s="13" t="n"/>
      <c r="C20" s="13" t="n"/>
      <c r="D20" s="13" t="n"/>
      <c r="E20" s="13" t="n"/>
    </row>
    <row r="21">
      <c r="A21" s="13" t="n"/>
      <c r="B21" s="13" t="n"/>
      <c r="C21" s="13" t="n"/>
      <c r="D21" s="13" t="n"/>
      <c r="E21" s="13" t="n"/>
    </row>
    <row r="22">
      <c r="A22" s="13" t="n"/>
      <c r="B22" s="13" t="n"/>
      <c r="C22" s="13" t="n"/>
      <c r="D22" s="13" t="n"/>
      <c r="E22" s="13" t="n"/>
    </row>
    <row r="23">
      <c r="A23" s="13" t="n"/>
      <c r="B23" s="13" t="n"/>
      <c r="C23" s="13" t="n"/>
      <c r="D23" s="13" t="n"/>
      <c r="E23" s="13" t="n"/>
    </row>
    <row r="24">
      <c r="A24" s="13" t="n"/>
      <c r="B24" s="13" t="n"/>
      <c r="C24" s="13" t="n"/>
      <c r="D24" s="13" t="n"/>
      <c r="E24" s="13" t="n"/>
    </row>
    <row r="25">
      <c r="A25" s="13" t="n"/>
      <c r="B25" s="13" t="n"/>
      <c r="C25" s="13" t="n"/>
      <c r="D25" s="13" t="n"/>
      <c r="E25" s="13" t="n"/>
    </row>
    <row r="26">
      <c r="A26" s="13" t="n"/>
      <c r="B26" s="13" t="n"/>
      <c r="C26" s="13" t="n"/>
      <c r="D26" s="13" t="n"/>
      <c r="E26" s="13" t="n"/>
    </row>
    <row r="27">
      <c r="A27" s="13" t="n"/>
      <c r="B27" s="13" t="n"/>
      <c r="C27" s="13" t="n"/>
      <c r="D27" s="13" t="n"/>
      <c r="E27" s="13" t="n"/>
    </row>
    <row r="28">
      <c r="A28" s="13" t="n"/>
      <c r="B28" s="13" t="n"/>
      <c r="C28" s="13" t="n"/>
      <c r="D28" s="13" t="n"/>
      <c r="E28" s="13" t="n"/>
    </row>
    <row r="29">
      <c r="A29" s="13" t="n"/>
      <c r="B29" s="13" t="n"/>
      <c r="C29" s="13" t="n"/>
      <c r="D29" s="13" t="n"/>
      <c r="E29" s="13" t="n"/>
    </row>
    <row r="30">
      <c r="A30" s="13" t="n"/>
      <c r="B30" s="13" t="n"/>
      <c r="C30" s="13" t="n"/>
      <c r="D30" s="13" t="n"/>
      <c r="E30" s="13" t="n"/>
    </row>
    <row r="31">
      <c r="A31" s="13" t="n"/>
      <c r="B31" s="13" t="n"/>
      <c r="C31" s="13" t="n"/>
      <c r="D31" s="13" t="n"/>
      <c r="E31" s="13" t="n"/>
    </row>
    <row r="32">
      <c r="A32" s="13" t="n"/>
      <c r="B32" s="13" t="n"/>
      <c r="C32" s="13" t="n"/>
      <c r="D32" s="13" t="n"/>
      <c r="E32" s="13" t="n"/>
    </row>
    <row r="33">
      <c r="A33" s="13" t="n"/>
      <c r="B33" s="13" t="n"/>
      <c r="C33" s="13" t="n"/>
      <c r="D33" s="13" t="n"/>
      <c r="E33" s="13" t="n"/>
    </row>
    <row r="34">
      <c r="A34" s="13" t="n"/>
      <c r="B34" s="13" t="n"/>
      <c r="C34" s="13" t="n"/>
      <c r="D34" s="13" t="n"/>
      <c r="E34" s="13" t="n"/>
    </row>
    <row r="35">
      <c r="A35" s="13" t="n"/>
      <c r="B35" s="13" t="n"/>
      <c r="C35" s="13" t="n"/>
      <c r="D35" s="13" t="n"/>
      <c r="E35" s="13" t="n"/>
    </row>
    <row r="36">
      <c r="A36" s="13" t="n"/>
      <c r="B36" s="13" t="n"/>
      <c r="C36" s="13" t="n"/>
      <c r="D36" s="13" t="n"/>
      <c r="E36" s="13" t="n"/>
    </row>
    <row r="37">
      <c r="A37" s="13" t="n"/>
      <c r="B37" s="13" t="n"/>
      <c r="C37" s="13" t="n"/>
      <c r="D37" s="13" t="n"/>
      <c r="E37" s="13" t="n"/>
    </row>
    <row r="38">
      <c r="A38" s="13" t="n"/>
      <c r="B38" s="13" t="n"/>
      <c r="C38" s="13" t="n"/>
      <c r="D38" s="13" t="n"/>
      <c r="E38" s="13" t="n"/>
    </row>
    <row r="39">
      <c r="A39" s="13" t="n"/>
      <c r="B39" s="13" t="n"/>
      <c r="C39" s="13" t="n"/>
      <c r="D39" s="13" t="n"/>
      <c r="E39" s="13" t="n"/>
    </row>
    <row r="40">
      <c r="A40" s="13" t="n"/>
      <c r="B40" s="13" t="n"/>
      <c r="C40" s="13" t="n"/>
      <c r="D40" s="13" t="n"/>
      <c r="E40" s="13" t="n"/>
    </row>
    <row r="41">
      <c r="A41" s="13" t="n"/>
      <c r="B41" s="13" t="n"/>
      <c r="C41" s="13" t="n"/>
      <c r="D41" s="13" t="n"/>
      <c r="E41" s="13" t="n"/>
    </row>
    <row r="42">
      <c r="A42" s="13" t="n"/>
      <c r="B42" s="13" t="n"/>
      <c r="C42" s="13" t="n"/>
      <c r="D42" s="13" t="n"/>
      <c r="E42" s="13" t="n"/>
    </row>
    <row r="43">
      <c r="A43" s="13" t="n"/>
      <c r="B43" s="13" t="n"/>
      <c r="C43" s="13" t="n"/>
      <c r="D43" s="13" t="n"/>
      <c r="E43" s="13" t="n"/>
    </row>
    <row r="44">
      <c r="A44" s="13" t="n"/>
      <c r="B44" s="13" t="n"/>
      <c r="C44" s="13" t="n"/>
      <c r="D44" s="13" t="n"/>
      <c r="E44" s="13" t="n"/>
    </row>
    <row r="45">
      <c r="A45" s="13" t="n"/>
      <c r="B45" s="13" t="n"/>
      <c r="C45" s="13" t="n"/>
      <c r="D45" s="13" t="n"/>
      <c r="E45" s="13" t="n"/>
    </row>
    <row r="46">
      <c r="A46" s="13" t="n"/>
      <c r="B46" s="13" t="n"/>
      <c r="C46" s="13" t="n"/>
      <c r="D46" s="13" t="n"/>
      <c r="E46" s="13" t="n"/>
    </row>
    <row r="47">
      <c r="A47" s="13" t="n"/>
      <c r="B47" s="13" t="n"/>
      <c r="C47" s="13" t="n"/>
      <c r="D47" s="13" t="n"/>
      <c r="E47" s="13" t="n"/>
    </row>
    <row r="48">
      <c r="A48" s="13" t="n"/>
      <c r="B48" s="13" t="n"/>
      <c r="C48" s="13" t="n"/>
      <c r="D48" s="13" t="n"/>
      <c r="E48" s="13" t="n"/>
    </row>
    <row r="49">
      <c r="A49" s="13" t="n"/>
      <c r="B49" s="13" t="n"/>
      <c r="C49" s="13" t="n"/>
      <c r="D49" s="13" t="n"/>
      <c r="E49" s="13" t="n"/>
    </row>
    <row r="50">
      <c r="A50" s="13" t="n"/>
      <c r="B50" s="13" t="n"/>
      <c r="C50" s="13" t="n"/>
      <c r="D50" s="13" t="n"/>
      <c r="E50" s="13" t="n"/>
    </row>
    <row r="51">
      <c r="A51" s="13" t="n"/>
      <c r="B51" s="13" t="n"/>
      <c r="C51" s="13" t="n"/>
      <c r="D51" s="13" t="n"/>
      <c r="E51" s="13" t="n"/>
    </row>
    <row r="52">
      <c r="A52" s="13" t="n"/>
      <c r="B52" s="13" t="n"/>
      <c r="C52" s="13" t="n"/>
      <c r="D52" s="13" t="n"/>
      <c r="E52" s="13" t="n"/>
    </row>
    <row r="53">
      <c r="A53" s="13" t="n"/>
      <c r="B53" s="13" t="n"/>
      <c r="C53" s="13" t="n"/>
      <c r="D53" s="13" t="n"/>
      <c r="E53" s="13" t="n"/>
    </row>
    <row r="54">
      <c r="A54" s="13" t="n"/>
      <c r="B54" s="13" t="n"/>
      <c r="C54" s="13" t="n"/>
      <c r="D54" s="13" t="n"/>
      <c r="E54" s="13" t="n"/>
    </row>
    <row r="55">
      <c r="A55" s="13" t="n"/>
      <c r="B55" s="13" t="n"/>
      <c r="C55" s="13" t="n"/>
      <c r="D55" s="13" t="n"/>
      <c r="E55" s="13" t="n"/>
    </row>
    <row r="56">
      <c r="A56" s="13" t="n"/>
      <c r="B56" s="13" t="n"/>
      <c r="C56" s="13" t="n"/>
      <c r="D56" s="13" t="n"/>
      <c r="E56" s="13" t="n"/>
    </row>
    <row r="57">
      <c r="A57" s="13" t="n"/>
      <c r="B57" s="13" t="n"/>
      <c r="C57" s="13" t="n"/>
      <c r="D57" s="13" t="n"/>
      <c r="E57" s="13" t="n"/>
    </row>
    <row r="58">
      <c r="A58" s="13" t="n"/>
      <c r="B58" s="13" t="n"/>
      <c r="C58" s="13" t="n"/>
      <c r="D58" s="13" t="n"/>
      <c r="E58" s="13" t="n"/>
    </row>
    <row r="59">
      <c r="A59" s="13" t="n"/>
      <c r="B59" s="13" t="n"/>
      <c r="C59" s="13" t="n"/>
      <c r="D59" s="13" t="n"/>
      <c r="E59" s="13" t="n"/>
    </row>
    <row r="60">
      <c r="A60" s="13" t="n"/>
      <c r="B60" s="13" t="n"/>
      <c r="C60" s="13" t="n"/>
      <c r="D60" s="13" t="n"/>
      <c r="E60" s="13" t="n"/>
    </row>
    <row r="61">
      <c r="A61" s="13" t="n"/>
      <c r="B61" s="13" t="n"/>
      <c r="C61" s="13" t="n"/>
      <c r="D61" s="13" t="n"/>
      <c r="E61" s="13" t="n"/>
    </row>
    <row r="62">
      <c r="A62" s="13" t="n"/>
      <c r="B62" s="13" t="n"/>
      <c r="C62" s="13" t="n"/>
      <c r="D62" s="13" t="n"/>
      <c r="E62" s="13" t="n"/>
    </row>
    <row r="63">
      <c r="A63" s="13" t="n"/>
      <c r="B63" s="13" t="n"/>
      <c r="C63" s="13" t="n"/>
      <c r="D63" s="13" t="n"/>
      <c r="E63" s="13" t="n"/>
    </row>
    <row r="64">
      <c r="A64" s="13" t="n"/>
      <c r="B64" s="13" t="n"/>
      <c r="C64" s="13" t="n"/>
      <c r="D64" s="13" t="n"/>
      <c r="E64" s="13" t="n"/>
    </row>
    <row r="65">
      <c r="A65" s="13" t="n"/>
      <c r="B65" s="13" t="n"/>
      <c r="C65" s="13" t="n"/>
      <c r="D65" s="13" t="n"/>
      <c r="E65" s="13" t="n"/>
    </row>
    <row r="66">
      <c r="A66" s="13" t="n"/>
      <c r="B66" s="13" t="n"/>
      <c r="C66" s="13" t="n"/>
      <c r="D66" s="13" t="n"/>
      <c r="E66" s="13" t="n"/>
    </row>
    <row r="67">
      <c r="A67" s="13" t="n"/>
      <c r="B67" s="13" t="n"/>
      <c r="C67" s="13" t="n"/>
      <c r="D67" s="13" t="n"/>
      <c r="E67" s="13" t="n"/>
    </row>
    <row r="68">
      <c r="A68" s="13" t="n"/>
      <c r="B68" s="13" t="n"/>
      <c r="C68" s="13" t="n"/>
      <c r="D68" s="13" t="n"/>
      <c r="E68" s="13" t="n"/>
    </row>
    <row r="69">
      <c r="A69" s="13" t="n"/>
      <c r="B69" s="13" t="n"/>
      <c r="C69" s="13" t="n"/>
      <c r="D69" s="13" t="n"/>
      <c r="E69" s="13" t="n"/>
    </row>
    <row r="70">
      <c r="A70" s="13" t="n"/>
      <c r="B70" s="13" t="n"/>
      <c r="C70" s="13" t="n"/>
      <c r="D70" s="13" t="n"/>
      <c r="E70" s="13" t="n"/>
    </row>
    <row r="71">
      <c r="A71" s="13" t="n"/>
      <c r="B71" s="13" t="n"/>
      <c r="C71" s="13" t="n"/>
      <c r="D71" s="13" t="n"/>
      <c r="E71" s="13" t="n"/>
    </row>
    <row r="72">
      <c r="A72" s="13" t="n"/>
      <c r="B72" s="13" t="n"/>
      <c r="C72" s="13" t="n"/>
      <c r="D72" s="13" t="n"/>
      <c r="E72" s="13" t="n"/>
    </row>
    <row r="73">
      <c r="A73" s="13" t="n"/>
      <c r="B73" s="13" t="n"/>
      <c r="C73" s="13" t="n"/>
      <c r="D73" s="13" t="n"/>
      <c r="E73" s="13" t="n"/>
    </row>
    <row r="74">
      <c r="A74" s="13" t="n"/>
      <c r="B74" s="13" t="n"/>
      <c r="C74" s="13" t="n"/>
      <c r="D74" s="13" t="n"/>
      <c r="E74" s="13" t="n"/>
    </row>
    <row r="75">
      <c r="A75" s="13" t="n"/>
      <c r="B75" s="13" t="n"/>
      <c r="C75" s="13" t="n"/>
      <c r="D75" s="13" t="n"/>
      <c r="E75" s="13" t="n"/>
    </row>
    <row r="76">
      <c r="A76" s="13" t="n"/>
      <c r="B76" s="13" t="n"/>
      <c r="C76" s="13" t="n"/>
      <c r="D76" s="13" t="n"/>
      <c r="E76" s="13" t="n"/>
    </row>
    <row r="77">
      <c r="A77" s="13" t="n"/>
      <c r="B77" s="13" t="n"/>
      <c r="C77" s="13" t="n"/>
      <c r="D77" s="13" t="n"/>
      <c r="E77" s="13" t="n"/>
    </row>
    <row r="78">
      <c r="A78" s="13" t="n"/>
      <c r="B78" s="13" t="n"/>
      <c r="C78" s="13" t="n"/>
      <c r="D78" s="13" t="n"/>
      <c r="E78" s="13" t="n"/>
    </row>
    <row r="79">
      <c r="A79" s="13" t="n"/>
      <c r="B79" s="13" t="n"/>
      <c r="C79" s="13" t="n"/>
      <c r="D79" s="13" t="n"/>
      <c r="E79" s="13" t="n"/>
    </row>
    <row r="80">
      <c r="A80" s="13" t="n"/>
      <c r="B80" s="13" t="n"/>
      <c r="C80" s="13" t="n"/>
      <c r="D80" s="13" t="n"/>
      <c r="E80" s="13" t="n"/>
    </row>
    <row r="81">
      <c r="A81" s="13" t="n"/>
      <c r="B81" s="13" t="n"/>
      <c r="C81" s="13" t="n"/>
      <c r="D81" s="13" t="n"/>
      <c r="E81" s="13" t="n"/>
    </row>
    <row r="82">
      <c r="A82" s="13" t="n"/>
      <c r="B82" s="13" t="n"/>
      <c r="C82" s="13" t="n"/>
      <c r="D82" s="13" t="n"/>
      <c r="E82" s="13" t="n"/>
    </row>
    <row r="83">
      <c r="A83" s="13" t="n"/>
      <c r="B83" s="13" t="n"/>
      <c r="C83" s="13" t="n"/>
      <c r="D83" s="13" t="n"/>
      <c r="E83" s="13" t="n"/>
    </row>
    <row r="84">
      <c r="A84" s="13" t="n"/>
      <c r="B84" s="13" t="n"/>
      <c r="C84" s="13" t="n"/>
      <c r="D84" s="13" t="n"/>
      <c r="E84" s="13" t="n"/>
    </row>
    <row r="85">
      <c r="A85" s="13" t="n"/>
      <c r="B85" s="13" t="n"/>
      <c r="C85" s="13" t="n"/>
      <c r="D85" s="13" t="n"/>
      <c r="E85" s="13" t="n"/>
    </row>
    <row r="86">
      <c r="A86" s="13" t="n"/>
      <c r="B86" s="13" t="n"/>
      <c r="C86" s="13" t="n"/>
      <c r="D86" s="13" t="n"/>
      <c r="E86" s="13" t="n"/>
    </row>
    <row r="87">
      <c r="A87" s="13" t="n"/>
      <c r="B87" s="13" t="n"/>
      <c r="C87" s="13" t="n"/>
      <c r="D87" s="13" t="n"/>
      <c r="E87" s="13" t="n"/>
    </row>
    <row r="88">
      <c r="A88" s="13" t="n"/>
      <c r="B88" s="13" t="n"/>
      <c r="C88" s="13" t="n"/>
      <c r="D88" s="13" t="n"/>
      <c r="E88" s="13" t="n"/>
    </row>
    <row r="89">
      <c r="A89" s="13" t="n"/>
      <c r="B89" s="13" t="n"/>
      <c r="C89" s="13" t="n"/>
      <c r="D89" s="13" t="n"/>
      <c r="E89" s="13" t="n"/>
    </row>
    <row r="90">
      <c r="A90" s="13" t="n"/>
      <c r="B90" s="13" t="n"/>
      <c r="C90" s="13" t="n"/>
      <c r="D90" s="13" t="n"/>
      <c r="E90" s="13" t="n"/>
    </row>
    <row r="91">
      <c r="A91" s="13" t="n"/>
      <c r="B91" s="13" t="n"/>
      <c r="C91" s="13" t="n"/>
      <c r="D91" s="13" t="n"/>
      <c r="E91" s="13" t="n"/>
    </row>
    <row r="92">
      <c r="A92" s="13" t="n"/>
      <c r="B92" s="13" t="n"/>
      <c r="C92" s="13" t="n"/>
      <c r="D92" s="13" t="n"/>
      <c r="E92" s="13" t="n"/>
    </row>
    <row r="93">
      <c r="A93" s="13" t="n"/>
      <c r="B93" s="13" t="n"/>
      <c r="C93" s="13" t="n"/>
      <c r="D93" s="13" t="n"/>
      <c r="E93" s="13" t="n"/>
    </row>
    <row r="94">
      <c r="A94" s="13" t="n"/>
      <c r="B94" s="13" t="n"/>
      <c r="C94" s="13" t="n"/>
      <c r="D94" s="13" t="n"/>
      <c r="E94" s="13" t="n"/>
    </row>
    <row r="95">
      <c r="A95" s="13" t="n"/>
      <c r="B95" s="13" t="n"/>
      <c r="C95" s="13" t="n"/>
      <c r="D95" s="13" t="n"/>
      <c r="E95" s="13" t="n"/>
    </row>
    <row r="96">
      <c r="A96" s="13" t="n"/>
      <c r="B96" s="13" t="n"/>
      <c r="C96" s="13" t="n"/>
      <c r="D96" s="13" t="n"/>
      <c r="E96" s="13" t="n"/>
    </row>
    <row r="97">
      <c r="A97" s="13" t="n"/>
      <c r="B97" s="13" t="n"/>
      <c r="C97" s="13" t="n"/>
      <c r="D97" s="13" t="n"/>
      <c r="E97" s="13" t="n"/>
    </row>
    <row r="98">
      <c r="A98" s="13" t="n"/>
      <c r="B98" s="13" t="n"/>
      <c r="C98" s="13" t="n"/>
      <c r="D98" s="13" t="n"/>
      <c r="E98" s="13" t="n"/>
    </row>
    <row r="99">
      <c r="A99" s="13" t="n"/>
      <c r="B99" s="13" t="n"/>
      <c r="C99" s="13" t="n"/>
      <c r="D99" s="13" t="n"/>
      <c r="E99" s="13" t="n"/>
    </row>
    <row r="100">
      <c r="A100" s="13" t="n"/>
      <c r="B100" s="13" t="n"/>
      <c r="C100" s="13" t="n"/>
      <c r="D100" s="13" t="n"/>
      <c r="E100" s="13" t="n"/>
    </row>
    <row r="101">
      <c r="A101" s="13" t="n"/>
      <c r="B101" s="13" t="n"/>
      <c r="C101" s="13" t="n"/>
      <c r="D101" s="13" t="n"/>
      <c r="E101" s="13" t="n"/>
    </row>
    <row r="102">
      <c r="A102" s="13" t="n"/>
      <c r="B102" s="13" t="n"/>
      <c r="C102" s="13" t="n"/>
      <c r="D102" s="13" t="n"/>
      <c r="E102" s="13" t="n"/>
    </row>
    <row r="103">
      <c r="A103" s="13" t="n"/>
      <c r="B103" s="13" t="n"/>
      <c r="C103" s="13" t="n"/>
      <c r="D103" s="13" t="n"/>
      <c r="E103" s="13" t="n"/>
    </row>
    <row r="104">
      <c r="A104" s="13" t="n"/>
      <c r="B104" s="13" t="n"/>
      <c r="C104" s="13" t="n"/>
      <c r="D104" s="13" t="n"/>
      <c r="E104" s="13" t="n"/>
    </row>
    <row r="105">
      <c r="A105" s="13" t="n"/>
      <c r="B105" s="13" t="n"/>
      <c r="C105" s="13" t="n"/>
      <c r="D105" s="13" t="n"/>
      <c r="E105" s="13" t="n"/>
    </row>
    <row r="106">
      <c r="A106" s="13" t="n"/>
      <c r="B106" s="13" t="n"/>
      <c r="C106" s="13" t="n"/>
      <c r="D106" s="13" t="n"/>
      <c r="E106" s="13" t="n"/>
    </row>
    <row r="107">
      <c r="A107" s="13" t="n"/>
      <c r="B107" s="13" t="n"/>
      <c r="C107" s="13" t="n"/>
      <c r="D107" s="13" t="n"/>
      <c r="E107" s="13" t="n"/>
    </row>
    <row r="108">
      <c r="A108" s="13" t="n"/>
      <c r="B108" s="13" t="n"/>
      <c r="C108" s="13" t="n"/>
      <c r="D108" s="13" t="n"/>
      <c r="E108" s="13" t="n"/>
    </row>
    <row r="109">
      <c r="A109" s="13" t="n"/>
      <c r="B109" s="13" t="n"/>
      <c r="C109" s="13" t="n"/>
      <c r="D109" s="13" t="n"/>
      <c r="E109" s="13" t="n"/>
    </row>
    <row r="110">
      <c r="A110" s="13" t="n"/>
      <c r="B110" s="13" t="n"/>
      <c r="C110" s="13" t="n"/>
      <c r="D110" s="13" t="n"/>
      <c r="E110" s="13" t="n"/>
    </row>
    <row r="111">
      <c r="A111" s="13" t="n"/>
      <c r="B111" s="13" t="n"/>
      <c r="C111" s="13" t="n"/>
      <c r="D111" s="13" t="n"/>
      <c r="E111" s="13" t="n"/>
    </row>
    <row r="112">
      <c r="A112" s="13" t="n"/>
      <c r="B112" s="13" t="n"/>
      <c r="C112" s="13" t="n"/>
      <c r="D112" s="13" t="n"/>
      <c r="E112" s="13" t="n"/>
    </row>
    <row r="113">
      <c r="A113" s="13" t="n"/>
      <c r="B113" s="13" t="n"/>
      <c r="C113" s="13" t="n"/>
      <c r="D113" s="13" t="n"/>
      <c r="E113" s="13" t="n"/>
    </row>
    <row r="114">
      <c r="A114" s="13" t="n"/>
      <c r="B114" s="13" t="n"/>
      <c r="C114" s="13" t="n"/>
      <c r="D114" s="13" t="n"/>
      <c r="E114" s="13" t="n"/>
    </row>
    <row r="115">
      <c r="A115" s="13" t="n"/>
      <c r="B115" s="13" t="n"/>
      <c r="C115" s="13" t="n"/>
      <c r="D115" s="13" t="n"/>
      <c r="E115" s="13" t="n"/>
    </row>
    <row r="116">
      <c r="A116" s="13" t="n"/>
      <c r="B116" s="13" t="n"/>
      <c r="C116" s="13" t="n"/>
      <c r="D116" s="13" t="n"/>
      <c r="E116" s="13" t="n"/>
    </row>
    <row r="117">
      <c r="A117" s="13" t="n"/>
      <c r="B117" s="13" t="n"/>
      <c r="C117" s="13" t="n"/>
      <c r="D117" s="13" t="n"/>
      <c r="E117" s="13" t="n"/>
    </row>
    <row r="118">
      <c r="A118" s="13" t="n"/>
      <c r="B118" s="13" t="n"/>
      <c r="C118" s="13" t="n"/>
      <c r="D118" s="13" t="n"/>
      <c r="E118" s="13" t="n"/>
    </row>
    <row r="119">
      <c r="A119" s="13" t="n"/>
      <c r="B119" s="13" t="n"/>
      <c r="C119" s="13" t="n"/>
      <c r="D119" s="13" t="n"/>
      <c r="E119" s="13" t="n"/>
    </row>
    <row r="120">
      <c r="A120" s="13" t="n"/>
      <c r="B120" s="13" t="n"/>
      <c r="C120" s="13" t="n"/>
      <c r="D120" s="13" t="n"/>
      <c r="E120" s="13" t="n"/>
    </row>
    <row r="121">
      <c r="A121" s="13" t="n"/>
      <c r="B121" s="13" t="n"/>
      <c r="C121" s="13" t="n"/>
      <c r="D121" s="13" t="n"/>
      <c r="E121" s="13" t="n"/>
    </row>
    <row r="122">
      <c r="A122" s="13" t="n"/>
      <c r="B122" s="13" t="n"/>
      <c r="C122" s="13" t="n"/>
      <c r="D122" s="13" t="n"/>
      <c r="E122" s="13" t="n"/>
    </row>
    <row r="123">
      <c r="A123" s="13" t="n"/>
      <c r="B123" s="13" t="n"/>
      <c r="C123" s="13" t="n"/>
      <c r="D123" s="13" t="n"/>
      <c r="E123" s="13" t="n"/>
    </row>
    <row r="124">
      <c r="A124" s="13" t="n"/>
      <c r="B124" s="13" t="n"/>
      <c r="C124" s="13" t="n"/>
      <c r="D124" s="13" t="n"/>
      <c r="E124" s="13" t="n"/>
    </row>
    <row r="125">
      <c r="A125" s="13" t="n"/>
      <c r="B125" s="13" t="n"/>
      <c r="C125" s="13" t="n"/>
      <c r="D125" s="13" t="n"/>
      <c r="E125" s="13" t="n"/>
    </row>
    <row r="126">
      <c r="A126" s="13" t="n"/>
      <c r="B126" s="13" t="n"/>
      <c r="C126" s="13" t="n"/>
      <c r="D126" s="13" t="n"/>
      <c r="E126" s="13" t="n"/>
    </row>
    <row r="127">
      <c r="A127" s="13" t="n"/>
      <c r="B127" s="13" t="n"/>
      <c r="C127" s="13" t="n"/>
      <c r="D127" s="13" t="n"/>
      <c r="E127" s="13" t="n"/>
    </row>
    <row r="128">
      <c r="A128" s="13" t="n"/>
      <c r="B128" s="13" t="n"/>
      <c r="C128" s="13" t="n"/>
      <c r="D128" s="13" t="n"/>
      <c r="E128" s="13" t="n"/>
    </row>
    <row r="129">
      <c r="A129" s="13" t="n"/>
      <c r="B129" s="13" t="n"/>
      <c r="C129" s="13" t="n"/>
      <c r="D129" s="13" t="n"/>
      <c r="E129" s="13" t="n"/>
    </row>
    <row r="130">
      <c r="A130" s="13" t="n"/>
      <c r="B130" s="13" t="n"/>
      <c r="C130" s="13" t="n"/>
      <c r="D130" s="13" t="n"/>
      <c r="E130" s="13" t="n"/>
    </row>
    <row r="131">
      <c r="A131" s="13" t="n"/>
      <c r="B131" s="13" t="n"/>
      <c r="C131" s="13" t="n"/>
      <c r="D131" s="13" t="n"/>
      <c r="E131" s="13" t="n"/>
    </row>
    <row r="132">
      <c r="A132" s="13" t="n"/>
      <c r="B132" s="13" t="n"/>
      <c r="C132" s="13" t="n"/>
      <c r="D132" s="13" t="n"/>
      <c r="E132" s="13" t="n"/>
    </row>
    <row r="133">
      <c r="A133" s="13" t="n"/>
      <c r="B133" s="13" t="n"/>
      <c r="C133" s="13" t="n"/>
      <c r="D133" s="13" t="n"/>
      <c r="E133" s="13" t="n"/>
    </row>
    <row r="134">
      <c r="A134" s="13" t="n"/>
      <c r="B134" s="13" t="n"/>
      <c r="C134" s="13" t="n"/>
      <c r="D134" s="13" t="n"/>
      <c r="E134" s="13" t="n"/>
    </row>
    <row r="135">
      <c r="A135" s="13" t="n"/>
      <c r="B135" s="13" t="n"/>
      <c r="C135" s="13" t="n"/>
      <c r="D135" s="13" t="n"/>
      <c r="E135" s="13" t="n"/>
    </row>
    <row r="136">
      <c r="A136" s="13" t="n"/>
      <c r="B136" s="13" t="n"/>
      <c r="C136" s="13" t="n"/>
      <c r="D136" s="13" t="n"/>
      <c r="E136" s="13" t="n"/>
    </row>
    <row r="137">
      <c r="A137" s="13" t="n"/>
      <c r="B137" s="13" t="n"/>
      <c r="C137" s="13" t="n"/>
      <c r="D137" s="13" t="n"/>
      <c r="E137" s="13" t="n"/>
    </row>
    <row r="138">
      <c r="A138" s="13" t="n"/>
      <c r="B138" s="13" t="n"/>
      <c r="C138" s="13" t="n"/>
      <c r="D138" s="13" t="n"/>
      <c r="E138" s="13" t="n"/>
    </row>
    <row r="139">
      <c r="A139" s="13" t="n"/>
      <c r="B139" s="13" t="n"/>
      <c r="C139" s="13" t="n"/>
      <c r="D139" s="13" t="n"/>
      <c r="E139" s="13" t="n"/>
    </row>
    <row r="140">
      <c r="A140" s="13" t="n"/>
      <c r="B140" s="13" t="n"/>
      <c r="C140" s="13" t="n"/>
      <c r="D140" s="13" t="n"/>
      <c r="E140" s="13" t="n"/>
    </row>
    <row r="141">
      <c r="A141" s="13" t="n"/>
      <c r="B141" s="13" t="n"/>
      <c r="C141" s="13" t="n"/>
      <c r="D141" s="13" t="n"/>
      <c r="E141" s="13" t="n"/>
    </row>
    <row r="142">
      <c r="A142" s="13" t="n"/>
      <c r="B142" s="13" t="n"/>
      <c r="C142" s="13" t="n"/>
      <c r="D142" s="13" t="n"/>
      <c r="E142" s="13" t="n"/>
    </row>
    <row r="143">
      <c r="A143" s="13" t="n"/>
      <c r="B143" s="13" t="n"/>
      <c r="C143" s="13" t="n"/>
      <c r="D143" s="13" t="n"/>
      <c r="E143" s="13" t="n"/>
    </row>
    <row r="144">
      <c r="A144" s="13" t="n"/>
      <c r="B144" s="13" t="n"/>
      <c r="C144" s="13" t="n"/>
      <c r="D144" s="13" t="n"/>
      <c r="E144" s="13" t="n"/>
    </row>
    <row r="145">
      <c r="A145" s="13" t="n"/>
      <c r="B145" s="13" t="n"/>
      <c r="C145" s="13" t="n"/>
      <c r="D145" s="13" t="n"/>
      <c r="E145" s="13" t="n"/>
    </row>
    <row r="146">
      <c r="A146" s="13" t="n"/>
      <c r="B146" s="13" t="n"/>
      <c r="C146" s="13" t="n"/>
      <c r="D146" s="13" t="n"/>
      <c r="E146" s="13" t="n"/>
    </row>
    <row r="147">
      <c r="A147" s="13" t="n"/>
      <c r="B147" s="13" t="n"/>
      <c r="C147" s="13" t="n"/>
      <c r="D147" s="13" t="n"/>
      <c r="E147" s="13" t="n"/>
    </row>
    <row r="148">
      <c r="A148" s="13" t="n"/>
      <c r="B148" s="13" t="n"/>
      <c r="C148" s="13" t="n"/>
      <c r="D148" s="13" t="n"/>
      <c r="E148" s="13" t="n"/>
    </row>
    <row r="149">
      <c r="A149" s="13" t="n"/>
      <c r="B149" s="13" t="n"/>
      <c r="C149" s="13" t="n"/>
      <c r="D149" s="13" t="n"/>
      <c r="E149" s="13" t="n"/>
    </row>
    <row r="150">
      <c r="A150" s="13" t="n"/>
      <c r="B150" s="13" t="n"/>
      <c r="C150" s="13" t="n"/>
      <c r="D150" s="13" t="n"/>
      <c r="E150" s="13" t="n"/>
    </row>
    <row r="151">
      <c r="A151" s="13" t="n"/>
      <c r="B151" s="13" t="n"/>
      <c r="C151" s="13" t="n"/>
      <c r="D151" s="13" t="n"/>
      <c r="E151" s="13" t="n"/>
    </row>
    <row r="152">
      <c r="A152" s="13" t="n"/>
      <c r="B152" s="13" t="n"/>
      <c r="C152" s="13" t="n"/>
      <c r="D152" s="13" t="n"/>
      <c r="E152" s="13" t="n"/>
    </row>
    <row r="153">
      <c r="A153" s="13" t="n"/>
      <c r="B153" s="13" t="n"/>
      <c r="C153" s="13" t="n"/>
      <c r="D153" s="13" t="n"/>
      <c r="E153" s="13" t="n"/>
    </row>
    <row r="154">
      <c r="A154" s="13" t="n"/>
      <c r="B154" s="13" t="n"/>
      <c r="C154" s="13" t="n"/>
      <c r="D154" s="13" t="n"/>
      <c r="E154" s="13" t="n"/>
    </row>
    <row r="155">
      <c r="A155" s="13" t="n"/>
      <c r="B155" s="13" t="n"/>
      <c r="C155" s="13" t="n"/>
      <c r="D155" s="13" t="n"/>
      <c r="E155" s="13" t="n"/>
    </row>
    <row r="156">
      <c r="A156" s="13" t="n"/>
      <c r="B156" s="13" t="n"/>
      <c r="C156" s="13" t="n"/>
      <c r="D156" s="13" t="n"/>
      <c r="E156" s="13" t="n"/>
    </row>
    <row r="157">
      <c r="A157" s="13" t="n"/>
      <c r="B157" s="13" t="n"/>
      <c r="C157" s="13" t="n"/>
      <c r="D157" s="13" t="n"/>
      <c r="E157" s="13" t="n"/>
    </row>
    <row r="158">
      <c r="A158" s="13" t="n"/>
      <c r="B158" s="13" t="n"/>
      <c r="C158" s="13" t="n"/>
      <c r="D158" s="13" t="n"/>
      <c r="E158" s="13" t="n"/>
    </row>
    <row r="159">
      <c r="A159" s="13" t="n"/>
      <c r="B159" s="13" t="n"/>
      <c r="C159" s="13" t="n"/>
      <c r="D159" s="13" t="n"/>
      <c r="E159" s="13" t="n"/>
    </row>
    <row r="160">
      <c r="A160" s="13" t="n"/>
      <c r="B160" s="13" t="n"/>
      <c r="C160" s="13" t="n"/>
      <c r="D160" s="13" t="n"/>
      <c r="E160" s="13" t="n"/>
    </row>
    <row r="161">
      <c r="A161" s="13" t="n"/>
      <c r="B161" s="13" t="n"/>
      <c r="C161" s="13" t="n"/>
      <c r="D161" s="13" t="n"/>
      <c r="E161" s="13" t="n"/>
    </row>
    <row r="162">
      <c r="A162" s="13" t="n"/>
      <c r="B162" s="13" t="n"/>
      <c r="C162" s="13" t="n"/>
      <c r="D162" s="13" t="n"/>
      <c r="E162" s="13" t="n"/>
    </row>
    <row r="163">
      <c r="A163" s="13" t="n"/>
      <c r="B163" s="13" t="n"/>
      <c r="C163" s="13" t="n"/>
      <c r="D163" s="13" t="n"/>
      <c r="E163" s="13" t="n"/>
    </row>
    <row r="164">
      <c r="A164" s="13" t="n"/>
      <c r="B164" s="13" t="n"/>
      <c r="C164" s="13" t="n"/>
      <c r="D164" s="13" t="n"/>
      <c r="E164" s="13" t="n"/>
    </row>
    <row r="165">
      <c r="A165" s="13" t="n"/>
      <c r="B165" s="13" t="n"/>
      <c r="C165" s="13" t="n"/>
      <c r="D165" s="13" t="n"/>
      <c r="E165" s="13" t="n"/>
    </row>
    <row r="166">
      <c r="A166" s="13" t="n"/>
      <c r="B166" s="13" t="n"/>
      <c r="C166" s="13" t="n"/>
      <c r="D166" s="13" t="n"/>
      <c r="E166" s="13" t="n"/>
    </row>
    <row r="167">
      <c r="A167" s="13" t="n"/>
      <c r="B167" s="13" t="n"/>
      <c r="C167" s="13" t="n"/>
      <c r="D167" s="13" t="n"/>
      <c r="E167" s="13" t="n"/>
    </row>
    <row r="168">
      <c r="A168" s="13" t="n"/>
      <c r="B168" s="13" t="n"/>
      <c r="C168" s="13" t="n"/>
      <c r="D168" s="13" t="n"/>
      <c r="E168" s="13" t="n"/>
    </row>
    <row r="169">
      <c r="A169" s="13" t="n"/>
      <c r="B169" s="13" t="n"/>
      <c r="C169" s="13" t="n"/>
      <c r="D169" s="13" t="n"/>
      <c r="E169" s="13" t="n"/>
    </row>
    <row r="170">
      <c r="A170" s="13" t="n"/>
      <c r="B170" s="13" t="n"/>
      <c r="C170" s="13" t="n"/>
      <c r="D170" s="13" t="n"/>
      <c r="E170" s="13" t="n"/>
    </row>
    <row r="171">
      <c r="A171" s="13" t="n"/>
      <c r="B171" s="13" t="n"/>
      <c r="C171" s="13" t="n"/>
      <c r="D171" s="13" t="n"/>
      <c r="E171" s="13" t="n"/>
    </row>
    <row r="172">
      <c r="A172" s="13" t="n"/>
      <c r="B172" s="13" t="n"/>
      <c r="C172" s="13" t="n"/>
      <c r="D172" s="13" t="n"/>
      <c r="E172" s="13" t="n"/>
    </row>
    <row r="173">
      <c r="A173" s="13" t="n"/>
      <c r="B173" s="13" t="n"/>
      <c r="C173" s="13" t="n"/>
      <c r="D173" s="13" t="n"/>
      <c r="E173" s="13" t="n"/>
    </row>
    <row r="174">
      <c r="A174" s="13" t="n"/>
      <c r="B174" s="13" t="n"/>
      <c r="C174" s="13" t="n"/>
      <c r="D174" s="13" t="n"/>
      <c r="E174" s="13" t="n"/>
    </row>
    <row r="175">
      <c r="A175" s="13" t="n"/>
      <c r="B175" s="13" t="n"/>
      <c r="C175" s="13" t="n"/>
      <c r="D175" s="13" t="n"/>
      <c r="E175" s="13" t="n"/>
    </row>
    <row r="176">
      <c r="A176" s="13" t="n"/>
      <c r="B176" s="13" t="n"/>
      <c r="C176" s="13" t="n"/>
      <c r="D176" s="13" t="n"/>
      <c r="E176" s="13" t="n"/>
    </row>
    <row r="177">
      <c r="A177" s="13" t="n"/>
      <c r="B177" s="13" t="n"/>
      <c r="C177" s="13" t="n"/>
      <c r="D177" s="13" t="n"/>
      <c r="E177" s="13" t="n"/>
    </row>
    <row r="178">
      <c r="A178" s="13" t="n"/>
      <c r="B178" s="13" t="n"/>
      <c r="C178" s="13" t="n"/>
      <c r="D178" s="13" t="n"/>
      <c r="E178" s="13" t="n"/>
    </row>
    <row r="179">
      <c r="A179" s="13" t="n"/>
      <c r="B179" s="13" t="n"/>
      <c r="C179" s="13" t="n"/>
      <c r="D179" s="13" t="n"/>
      <c r="E179" s="13" t="n"/>
    </row>
    <row r="180">
      <c r="A180" s="13" t="n"/>
      <c r="B180" s="13" t="n"/>
      <c r="C180" s="13" t="n"/>
      <c r="D180" s="13" t="n"/>
      <c r="E180" s="13" t="n"/>
    </row>
    <row r="181">
      <c r="A181" s="13" t="n"/>
      <c r="B181" s="13" t="n"/>
      <c r="C181" s="13" t="n"/>
      <c r="D181" s="13" t="n"/>
      <c r="E181" s="13" t="n"/>
    </row>
    <row r="182">
      <c r="A182" s="13" t="n"/>
      <c r="B182" s="13" t="n"/>
      <c r="C182" s="13" t="n"/>
      <c r="D182" s="13" t="n"/>
      <c r="E182" s="13" t="n"/>
    </row>
    <row r="183">
      <c r="A183" s="13" t="n"/>
      <c r="B183" s="13" t="n"/>
      <c r="C183" s="13" t="n"/>
      <c r="D183" s="13" t="n"/>
      <c r="E183" s="13" t="n"/>
    </row>
    <row r="184">
      <c r="A184" s="13" t="n"/>
      <c r="B184" s="13" t="n"/>
      <c r="C184" s="13" t="n"/>
      <c r="D184" s="13" t="n"/>
      <c r="E184" s="13" t="n"/>
    </row>
    <row r="185">
      <c r="A185" s="13" t="n"/>
      <c r="B185" s="13" t="n"/>
      <c r="C185" s="13" t="n"/>
      <c r="D185" s="13" t="n"/>
      <c r="E185" s="13" t="n"/>
    </row>
    <row r="186">
      <c r="A186" s="13" t="n"/>
      <c r="B186" s="13" t="n"/>
      <c r="C186" s="13" t="n"/>
      <c r="D186" s="13" t="n"/>
      <c r="E186" s="13" t="n"/>
    </row>
    <row r="187">
      <c r="A187" s="13" t="n"/>
      <c r="B187" s="13" t="n"/>
      <c r="C187" s="13" t="n"/>
      <c r="D187" s="13" t="n"/>
      <c r="E187" s="13" t="n"/>
    </row>
    <row r="188">
      <c r="A188" s="13" t="n"/>
      <c r="B188" s="13" t="n"/>
      <c r="C188" s="13" t="n"/>
      <c r="D188" s="13" t="n"/>
      <c r="E188" s="13" t="n"/>
    </row>
    <row r="189">
      <c r="A189" s="13" t="n"/>
      <c r="B189" s="13" t="n"/>
      <c r="C189" s="13" t="n"/>
      <c r="D189" s="13" t="n"/>
      <c r="E189" s="13" t="n"/>
    </row>
    <row r="190">
      <c r="A190" s="13" t="n"/>
      <c r="B190" s="13" t="n"/>
      <c r="C190" s="13" t="n"/>
      <c r="D190" s="13" t="n"/>
      <c r="E190" s="13" t="n"/>
    </row>
    <row r="191">
      <c r="A191" s="13" t="n"/>
      <c r="B191" s="13" t="n"/>
      <c r="C191" s="13" t="n"/>
      <c r="D191" s="13" t="n"/>
      <c r="E191" s="13" t="n"/>
    </row>
    <row r="192">
      <c r="A192" s="13" t="n"/>
      <c r="B192" s="13" t="n"/>
      <c r="C192" s="13" t="n"/>
      <c r="D192" s="13" t="n"/>
      <c r="E192" s="13" t="n"/>
    </row>
    <row r="193">
      <c r="A193" s="13" t="n"/>
      <c r="B193" s="13" t="n"/>
      <c r="C193" s="13" t="n"/>
      <c r="D193" s="13" t="n"/>
      <c r="E193" s="13" t="n"/>
    </row>
    <row r="194">
      <c r="A194" s="13" t="n"/>
      <c r="B194" s="13" t="n"/>
      <c r="C194" s="13" t="n"/>
      <c r="D194" s="13" t="n"/>
      <c r="E194" s="13" t="n"/>
    </row>
    <row r="195">
      <c r="A195" s="13" t="n"/>
      <c r="B195" s="13" t="n"/>
      <c r="C195" s="13" t="n"/>
      <c r="D195" s="13" t="n"/>
      <c r="E195" s="13" t="n"/>
    </row>
    <row r="196">
      <c r="A196" s="13" t="n"/>
      <c r="B196" s="13" t="n"/>
      <c r="C196" s="13" t="n"/>
      <c r="D196" s="13" t="n"/>
      <c r="E196" s="13" t="n"/>
    </row>
    <row r="197">
      <c r="A197" s="13" t="n"/>
      <c r="B197" s="13" t="n"/>
      <c r="C197" s="13" t="n"/>
      <c r="D197" s="13" t="n"/>
      <c r="E197" s="13" t="n"/>
    </row>
    <row r="198">
      <c r="A198" s="13" t="n"/>
      <c r="B198" s="13" t="n"/>
      <c r="C198" s="13" t="n"/>
      <c r="D198" s="13" t="n"/>
      <c r="E198" s="13" t="n"/>
    </row>
    <row r="199">
      <c r="A199" s="13" t="n"/>
      <c r="B199" s="13" t="n"/>
      <c r="C199" s="13" t="n"/>
      <c r="D199" s="13" t="n"/>
      <c r="E199" s="13" t="n"/>
    </row>
    <row r="200">
      <c r="A200" s="13" t="n"/>
      <c r="B200" s="13" t="n"/>
      <c r="C200" s="13" t="n"/>
      <c r="D200" s="13" t="n"/>
      <c r="E200" s="13" t="n"/>
    </row>
    <row r="201">
      <c r="A201" s="13" t="n"/>
      <c r="B201" s="13" t="n"/>
      <c r="C201" s="13" t="n"/>
      <c r="D201" s="13" t="n"/>
      <c r="E201" s="13" t="n"/>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201"/>
  <sheetViews>
    <sheetView workbookViewId="0">
      <pane ySplit="1" topLeftCell="A2" activePane="bottomLeft" state="frozen"/>
      <selection pane="bottomLeft" activeCell="A1" sqref="A1"/>
    </sheetView>
  </sheetViews>
  <sheetFormatPr baseColWidth="8" defaultRowHeight="15"/>
  <cols>
    <col width="12" customWidth="1" min="1" max="1"/>
    <col width="22" customWidth="1" min="2" max="2"/>
    <col width="20" customWidth="1" min="3" max="3"/>
    <col width="20" customWidth="1" min="4" max="4"/>
    <col width="16" customWidth="1" min="5" max="5"/>
    <col width="12" customWidth="1" min="6" max="6"/>
    <col width="12" customWidth="1" min="7" max="7"/>
    <col width="14" customWidth="1" min="8" max="8"/>
    <col width="14" customWidth="1" min="9" max="9"/>
    <col width="26" customWidth="1" min="10" max="10"/>
  </cols>
  <sheetData>
    <row r="1">
      <c r="A1" s="5" t="inlineStr">
        <is>
          <t>商品コード</t>
        </is>
      </c>
      <c r="B1" s="5" t="inlineStr">
        <is>
          <t>商品名</t>
        </is>
      </c>
      <c r="C1" s="5" t="inlineStr">
        <is>
          <t>標準仕入先</t>
        </is>
      </c>
      <c r="D1" s="5" t="inlineStr">
        <is>
          <t>標準得意先</t>
        </is>
      </c>
      <c r="E1" s="5" t="inlineStr">
        <is>
          <t>標準荷姿</t>
        </is>
      </c>
      <c r="F1" s="5" t="inlineStr">
        <is>
          <t>初期仕入価格</t>
        </is>
      </c>
      <c r="G1" s="5" t="inlineStr">
        <is>
          <t>初期売価</t>
        </is>
      </c>
      <c r="H1" s="5" t="inlineStr">
        <is>
          <t>現行仕入価格</t>
        </is>
      </c>
      <c r="I1" s="5" t="inlineStr">
        <is>
          <t>現行売価</t>
        </is>
      </c>
      <c r="J1" s="5" t="inlineStr">
        <is>
          <t>備考</t>
        </is>
      </c>
    </row>
    <row r="2">
      <c r="A2" s="14" t="inlineStr">
        <is>
          <t>G001</t>
        </is>
      </c>
      <c r="B2" s="14" t="inlineStr">
        <is>
          <t>国産たまねぎ</t>
        </is>
      </c>
      <c r="C2" s="14" t="inlineStr">
        <is>
          <t>赤田善㈱</t>
        </is>
      </c>
      <c r="D2" s="14" t="inlineStr">
        <is>
          <t>株式会社サンプル商事</t>
        </is>
      </c>
      <c r="E2" s="14" t="inlineStr">
        <is>
          <t>10kg段ボール</t>
        </is>
      </c>
      <c r="F2" s="41" t="n">
        <v>800</v>
      </c>
      <c r="G2" s="41" t="n">
        <v>1200</v>
      </c>
      <c r="H2" s="42">
        <f>IFERROR(IF(SUMPRODUCT(MAX((案件入力!$D$2:$D$301=$B2)*(案件入力!$R$2:$R$301="完了")*(案件入力!$B$2:$B$301)))=0,$F2,INDEX(案件入力!$I$2:$I$301,MATCH($B2&amp;"|"&amp;TEXT(SUMPRODUCT(MAX((案件入力!$D$2:$D$301=$B2)*(案件入力!$R$2:$R$301="完了")*(案件入力!$B$2:$B$301))),"0"),案件入力!$T$2:$T$301,0))),$F2)</f>
        <v/>
      </c>
      <c r="I2" s="42">
        <f>IFERROR(IF(SUMPRODUCT(MAX((案件入力!$D$2:$D$301=$B2)*(案件入力!$R$2:$R$301="完了")*(案件入力!$B$2:$B$301)))=0,$G2,INDEX(案件入力!$M$2:$M$301,MATCH($B2&amp;"|"&amp;TEXT(SUMPRODUCT(MAX((案件入力!$D$2:$D$301=$B2)*(案件入力!$R$2:$R$301="完了")*(案件入力!$B$2:$B$301))),"0"),案件入力!$T$2:$T$301,0))),$G2)</f>
        <v/>
      </c>
      <c r="J2" s="14" t="inlineStr">
        <is>
          <t>サンプルデータ</t>
        </is>
      </c>
    </row>
    <row r="3">
      <c r="A3" s="14" t="inlineStr">
        <is>
          <t>G002</t>
        </is>
      </c>
      <c r="B3" s="14" t="inlineStr">
        <is>
          <t>冷凍えび</t>
        </is>
      </c>
      <c r="C3" s="14" t="inlineStr">
        <is>
          <t>北海道乳業販売㈱</t>
        </is>
      </c>
      <c r="D3" s="14" t="inlineStr">
        <is>
          <t>サンプルストア株式会社</t>
        </is>
      </c>
      <c r="E3" s="14" t="inlineStr">
        <is>
          <t>発泡スチロール箱</t>
        </is>
      </c>
      <c r="F3" s="41" t="n">
        <v>2500</v>
      </c>
      <c r="G3" s="41" t="n">
        <v>3400</v>
      </c>
      <c r="H3" s="42">
        <f>IFERROR(IF(SUMPRODUCT(MAX((案件入力!$D$2:$D$301=$B3)*(案件入力!$R$2:$R$301="完了")*(案件入力!$B$2:$B$301)))=0,$F3,INDEX(案件入力!$I$2:$I$301,MATCH($B3&amp;"|"&amp;TEXT(SUMPRODUCT(MAX((案件入力!$D$2:$D$301=$B3)*(案件入力!$R$2:$R$301="完了")*(案件入力!$B$2:$B$301))),"0"),案件入力!$T$2:$T$301,0))),$F3)</f>
        <v/>
      </c>
      <c r="I3" s="42">
        <f>IFERROR(IF(SUMPRODUCT(MAX((案件入力!$D$2:$D$301=$B3)*(案件入力!$R$2:$R$301="完了")*(案件入力!$B$2:$B$301)))=0,$G3,INDEX(案件入力!$M$2:$M$301,MATCH($B3&amp;"|"&amp;TEXT(SUMPRODUCT(MAX((案件入力!$D$2:$D$301=$B3)*(案件入力!$R$2:$R$301="完了")*(案件入力!$B$2:$B$301))),"0"),案件入力!$T$2:$T$301,0))),$G3)</f>
        <v/>
      </c>
      <c r="J3" s="14" t="inlineStr">
        <is>
          <t>サンプルデータ</t>
        </is>
      </c>
    </row>
    <row r="4">
      <c r="A4" s="14" t="inlineStr">
        <is>
          <t>G003</t>
        </is>
      </c>
      <c r="B4" s="14" t="inlineStr">
        <is>
          <t>パスタ乾麺</t>
        </is>
      </c>
      <c r="C4" s="14" t="inlineStr">
        <is>
          <t>㈱秋田屋本店</t>
        </is>
      </c>
      <c r="D4" s="14" t="inlineStr">
        <is>
          <t>有限会社テスト物産</t>
        </is>
      </c>
      <c r="E4" s="14" t="inlineStr">
        <is>
          <t>5kgネット袋</t>
        </is>
      </c>
      <c r="F4" s="41" t="n">
        <v>900</v>
      </c>
      <c r="G4" s="41" t="n">
        <v>1300</v>
      </c>
      <c r="H4" s="42">
        <f>IFERROR(IF(SUMPRODUCT(MAX((案件入力!$D$2:$D$301=$B4)*(案件入力!$R$2:$R$301="完了")*(案件入力!$B$2:$B$301)))=0,$F4,INDEX(案件入力!$I$2:$I$301,MATCH($B4&amp;"|"&amp;TEXT(SUMPRODUCT(MAX((案件入力!$D$2:$D$301=$B4)*(案件入力!$R$2:$R$301="完了")*(案件入力!$B$2:$B$301))),"0"),案件入力!$T$2:$T$301,0))),$F4)</f>
        <v/>
      </c>
      <c r="I4" s="42">
        <f>IFERROR(IF(SUMPRODUCT(MAX((案件入力!$D$2:$D$301=$B4)*(案件入力!$R$2:$R$301="完了")*(案件入力!$B$2:$B$301)))=0,$G4,INDEX(案件入力!$M$2:$M$301,MATCH($B4&amp;"|"&amp;TEXT(SUMPRODUCT(MAX((案件入力!$D$2:$D$301=$B4)*(案件入力!$R$2:$R$301="完了")*(案件入力!$B$2:$B$301))),"0"),案件入力!$T$2:$T$301,0))),$G4)</f>
        <v/>
      </c>
      <c r="J4" s="14" t="inlineStr">
        <is>
          <t>サンプルデータ</t>
        </is>
      </c>
    </row>
    <row r="5">
      <c r="A5" s="13" t="n"/>
      <c r="B5" s="13" t="n"/>
      <c r="C5" s="13" t="n"/>
      <c r="D5" s="13" t="n"/>
      <c r="E5" s="13" t="n"/>
      <c r="F5" s="43" t="n"/>
      <c r="G5" s="43" t="n"/>
      <c r="H5" s="42">
        <f>IFERROR(IF(SUMPRODUCT(MAX((案件入力!$D$2:$D$301=$B5)*(案件入力!$R$2:$R$301="完了")*(案件入力!$B$2:$B$301)))=0,$F5,INDEX(案件入力!$I$2:$I$301,MATCH($B5&amp;"|"&amp;TEXT(SUMPRODUCT(MAX((案件入力!$D$2:$D$301=$B5)*(案件入力!$R$2:$R$301="完了")*(案件入力!$B$2:$B$301))),"0"),案件入力!$T$2:$T$301,0))),$F5)</f>
        <v/>
      </c>
      <c r="I5" s="42">
        <f>IFERROR(IF(SUMPRODUCT(MAX((案件入力!$D$2:$D$301=$B5)*(案件入力!$R$2:$R$301="完了")*(案件入力!$B$2:$B$301)))=0,$G5,INDEX(案件入力!$M$2:$M$301,MATCH($B5&amp;"|"&amp;TEXT(SUMPRODUCT(MAX((案件入力!$D$2:$D$301=$B5)*(案件入力!$R$2:$R$301="完了")*(案件入力!$B$2:$B$301))),"0"),案件入力!$T$2:$T$301,0))),$G5)</f>
        <v/>
      </c>
      <c r="J5" s="13" t="n"/>
    </row>
    <row r="6">
      <c r="A6" s="13" t="n"/>
      <c r="B6" s="13" t="n"/>
      <c r="C6" s="13" t="n"/>
      <c r="D6" s="13" t="n"/>
      <c r="E6" s="13" t="n"/>
      <c r="F6" s="43" t="n"/>
      <c r="G6" s="43" t="n"/>
      <c r="H6" s="42">
        <f>IFERROR(IF(SUMPRODUCT(MAX((案件入力!$D$2:$D$301=$B6)*(案件入力!$R$2:$R$301="完了")*(案件入力!$B$2:$B$301)))=0,$F6,INDEX(案件入力!$I$2:$I$301,MATCH($B6&amp;"|"&amp;TEXT(SUMPRODUCT(MAX((案件入力!$D$2:$D$301=$B6)*(案件入力!$R$2:$R$301="完了")*(案件入力!$B$2:$B$301))),"0"),案件入力!$T$2:$T$301,0))),$F6)</f>
        <v/>
      </c>
      <c r="I6" s="42">
        <f>IFERROR(IF(SUMPRODUCT(MAX((案件入力!$D$2:$D$301=$B6)*(案件入力!$R$2:$R$301="完了")*(案件入力!$B$2:$B$301)))=0,$G6,INDEX(案件入力!$M$2:$M$301,MATCH($B6&amp;"|"&amp;TEXT(SUMPRODUCT(MAX((案件入力!$D$2:$D$301=$B6)*(案件入力!$R$2:$R$301="完了")*(案件入力!$B$2:$B$301))),"0"),案件入力!$T$2:$T$301,0))),$G6)</f>
        <v/>
      </c>
      <c r="J6" s="13" t="n"/>
    </row>
    <row r="7">
      <c r="A7" s="13" t="n"/>
      <c r="B7" s="13" t="n"/>
      <c r="C7" s="13" t="n"/>
      <c r="D7" s="13" t="n"/>
      <c r="E7" s="13" t="n"/>
      <c r="F7" s="43" t="n"/>
      <c r="G7" s="43" t="n"/>
      <c r="H7" s="42">
        <f>IFERROR(IF(SUMPRODUCT(MAX((案件入力!$D$2:$D$301=$B7)*(案件入力!$R$2:$R$301="完了")*(案件入力!$B$2:$B$301)))=0,$F7,INDEX(案件入力!$I$2:$I$301,MATCH($B7&amp;"|"&amp;TEXT(SUMPRODUCT(MAX((案件入力!$D$2:$D$301=$B7)*(案件入力!$R$2:$R$301="完了")*(案件入力!$B$2:$B$301))),"0"),案件入力!$T$2:$T$301,0))),$F7)</f>
        <v/>
      </c>
      <c r="I7" s="42">
        <f>IFERROR(IF(SUMPRODUCT(MAX((案件入力!$D$2:$D$301=$B7)*(案件入力!$R$2:$R$301="完了")*(案件入力!$B$2:$B$301)))=0,$G7,INDEX(案件入力!$M$2:$M$301,MATCH($B7&amp;"|"&amp;TEXT(SUMPRODUCT(MAX((案件入力!$D$2:$D$301=$B7)*(案件入力!$R$2:$R$301="完了")*(案件入力!$B$2:$B$301))),"0"),案件入力!$T$2:$T$301,0))),$G7)</f>
        <v/>
      </c>
      <c r="J7" s="13" t="n"/>
    </row>
    <row r="8">
      <c r="A8" s="13" t="n"/>
      <c r="B8" s="13" t="n"/>
      <c r="C8" s="13" t="n"/>
      <c r="D8" s="13" t="n"/>
      <c r="E8" s="13" t="n"/>
      <c r="F8" s="43" t="n"/>
      <c r="G8" s="43" t="n"/>
      <c r="H8" s="42">
        <f>IFERROR(IF(SUMPRODUCT(MAX((案件入力!$D$2:$D$301=$B8)*(案件入力!$R$2:$R$301="完了")*(案件入力!$B$2:$B$301)))=0,$F8,INDEX(案件入力!$I$2:$I$301,MATCH($B8&amp;"|"&amp;TEXT(SUMPRODUCT(MAX((案件入力!$D$2:$D$301=$B8)*(案件入力!$R$2:$R$301="完了")*(案件入力!$B$2:$B$301))),"0"),案件入力!$T$2:$T$301,0))),$F8)</f>
        <v/>
      </c>
      <c r="I8" s="42">
        <f>IFERROR(IF(SUMPRODUCT(MAX((案件入力!$D$2:$D$301=$B8)*(案件入力!$R$2:$R$301="完了")*(案件入力!$B$2:$B$301)))=0,$G8,INDEX(案件入力!$M$2:$M$301,MATCH($B8&amp;"|"&amp;TEXT(SUMPRODUCT(MAX((案件入力!$D$2:$D$301=$B8)*(案件入力!$R$2:$R$301="完了")*(案件入力!$B$2:$B$301))),"0"),案件入力!$T$2:$T$301,0))),$G8)</f>
        <v/>
      </c>
      <c r="J8" s="13" t="n"/>
    </row>
    <row r="9">
      <c r="A9" s="13" t="n"/>
      <c r="B9" s="13" t="n"/>
      <c r="C9" s="13" t="n"/>
      <c r="D9" s="13" t="n"/>
      <c r="E9" s="13" t="n"/>
      <c r="F9" s="43" t="n"/>
      <c r="G9" s="43" t="n"/>
      <c r="H9" s="42">
        <f>IFERROR(IF(SUMPRODUCT(MAX((案件入力!$D$2:$D$301=$B9)*(案件入力!$R$2:$R$301="完了")*(案件入力!$B$2:$B$301)))=0,$F9,INDEX(案件入力!$I$2:$I$301,MATCH($B9&amp;"|"&amp;TEXT(SUMPRODUCT(MAX((案件入力!$D$2:$D$301=$B9)*(案件入力!$R$2:$R$301="完了")*(案件入力!$B$2:$B$301))),"0"),案件入力!$T$2:$T$301,0))),$F9)</f>
        <v/>
      </c>
      <c r="I9" s="42">
        <f>IFERROR(IF(SUMPRODUCT(MAX((案件入力!$D$2:$D$301=$B9)*(案件入力!$R$2:$R$301="完了")*(案件入力!$B$2:$B$301)))=0,$G9,INDEX(案件入力!$M$2:$M$301,MATCH($B9&amp;"|"&amp;TEXT(SUMPRODUCT(MAX((案件入力!$D$2:$D$301=$B9)*(案件入力!$R$2:$R$301="完了")*(案件入力!$B$2:$B$301))),"0"),案件入力!$T$2:$T$301,0))),$G9)</f>
        <v/>
      </c>
      <c r="J9" s="13" t="n"/>
    </row>
    <row r="10">
      <c r="A10" s="13" t="n"/>
      <c r="B10" s="13" t="n"/>
      <c r="C10" s="13" t="n"/>
      <c r="D10" s="13" t="n"/>
      <c r="E10" s="13" t="n"/>
      <c r="F10" s="43" t="n"/>
      <c r="G10" s="43" t="n"/>
      <c r="H10" s="42">
        <f>IFERROR(IF(SUMPRODUCT(MAX((案件入力!$D$2:$D$301=$B10)*(案件入力!$R$2:$R$301="完了")*(案件入力!$B$2:$B$301)))=0,$F10,INDEX(案件入力!$I$2:$I$301,MATCH($B10&amp;"|"&amp;TEXT(SUMPRODUCT(MAX((案件入力!$D$2:$D$301=$B10)*(案件入力!$R$2:$R$301="完了")*(案件入力!$B$2:$B$301))),"0"),案件入力!$T$2:$T$301,0))),$F10)</f>
        <v/>
      </c>
      <c r="I10" s="42">
        <f>IFERROR(IF(SUMPRODUCT(MAX((案件入力!$D$2:$D$301=$B10)*(案件入力!$R$2:$R$301="完了")*(案件入力!$B$2:$B$301)))=0,$G10,INDEX(案件入力!$M$2:$M$301,MATCH($B10&amp;"|"&amp;TEXT(SUMPRODUCT(MAX((案件入力!$D$2:$D$301=$B10)*(案件入力!$R$2:$R$301="完了")*(案件入力!$B$2:$B$301))),"0"),案件入力!$T$2:$T$301,0))),$G10)</f>
        <v/>
      </c>
      <c r="J10" s="13" t="n"/>
    </row>
    <row r="11">
      <c r="A11" s="13" t="n"/>
      <c r="B11" s="13" t="n"/>
      <c r="C11" s="13" t="n"/>
      <c r="D11" s="13" t="n"/>
      <c r="E11" s="13" t="n"/>
      <c r="F11" s="43" t="n"/>
      <c r="G11" s="43" t="n"/>
      <c r="H11" s="42">
        <f>IFERROR(IF(SUMPRODUCT(MAX((案件入力!$D$2:$D$301=$B11)*(案件入力!$R$2:$R$301="完了")*(案件入力!$B$2:$B$301)))=0,$F11,INDEX(案件入力!$I$2:$I$301,MATCH($B11&amp;"|"&amp;TEXT(SUMPRODUCT(MAX((案件入力!$D$2:$D$301=$B11)*(案件入力!$R$2:$R$301="完了")*(案件入力!$B$2:$B$301))),"0"),案件入力!$T$2:$T$301,0))),$F11)</f>
        <v/>
      </c>
      <c r="I11" s="42">
        <f>IFERROR(IF(SUMPRODUCT(MAX((案件入力!$D$2:$D$301=$B11)*(案件入力!$R$2:$R$301="完了")*(案件入力!$B$2:$B$301)))=0,$G11,INDEX(案件入力!$M$2:$M$301,MATCH($B11&amp;"|"&amp;TEXT(SUMPRODUCT(MAX((案件入力!$D$2:$D$301=$B11)*(案件入力!$R$2:$R$301="完了")*(案件入力!$B$2:$B$301))),"0"),案件入力!$T$2:$T$301,0))),$G11)</f>
        <v/>
      </c>
      <c r="J11" s="13" t="n"/>
    </row>
    <row r="12">
      <c r="A12" s="13" t="n"/>
      <c r="B12" s="13" t="n"/>
      <c r="C12" s="13" t="n"/>
      <c r="D12" s="13" t="n"/>
      <c r="E12" s="13" t="n"/>
      <c r="F12" s="43" t="n"/>
      <c r="G12" s="43" t="n"/>
      <c r="H12" s="42">
        <f>IFERROR(IF(SUMPRODUCT(MAX((案件入力!$D$2:$D$301=$B12)*(案件入力!$R$2:$R$301="完了")*(案件入力!$B$2:$B$301)))=0,$F12,INDEX(案件入力!$I$2:$I$301,MATCH($B12&amp;"|"&amp;TEXT(SUMPRODUCT(MAX((案件入力!$D$2:$D$301=$B12)*(案件入力!$R$2:$R$301="完了")*(案件入力!$B$2:$B$301))),"0"),案件入力!$T$2:$T$301,0))),$F12)</f>
        <v/>
      </c>
      <c r="I12" s="42">
        <f>IFERROR(IF(SUMPRODUCT(MAX((案件入力!$D$2:$D$301=$B12)*(案件入力!$R$2:$R$301="完了")*(案件入力!$B$2:$B$301)))=0,$G12,INDEX(案件入力!$M$2:$M$301,MATCH($B12&amp;"|"&amp;TEXT(SUMPRODUCT(MAX((案件入力!$D$2:$D$301=$B12)*(案件入力!$R$2:$R$301="完了")*(案件入力!$B$2:$B$301))),"0"),案件入力!$T$2:$T$301,0))),$G12)</f>
        <v/>
      </c>
      <c r="J12" s="13" t="n"/>
    </row>
    <row r="13">
      <c r="A13" s="13" t="n"/>
      <c r="B13" s="13" t="n"/>
      <c r="C13" s="13" t="n"/>
      <c r="D13" s="13" t="n"/>
      <c r="E13" s="13" t="n"/>
      <c r="F13" s="43" t="n"/>
      <c r="G13" s="43" t="n"/>
      <c r="H13" s="42">
        <f>IFERROR(IF(SUMPRODUCT(MAX((案件入力!$D$2:$D$301=$B13)*(案件入力!$R$2:$R$301="完了")*(案件入力!$B$2:$B$301)))=0,$F13,INDEX(案件入力!$I$2:$I$301,MATCH($B13&amp;"|"&amp;TEXT(SUMPRODUCT(MAX((案件入力!$D$2:$D$301=$B13)*(案件入力!$R$2:$R$301="完了")*(案件入力!$B$2:$B$301))),"0"),案件入力!$T$2:$T$301,0))),$F13)</f>
        <v/>
      </c>
      <c r="I13" s="42">
        <f>IFERROR(IF(SUMPRODUCT(MAX((案件入力!$D$2:$D$301=$B13)*(案件入力!$R$2:$R$301="完了")*(案件入力!$B$2:$B$301)))=0,$G13,INDEX(案件入力!$M$2:$M$301,MATCH($B13&amp;"|"&amp;TEXT(SUMPRODUCT(MAX((案件入力!$D$2:$D$301=$B13)*(案件入力!$R$2:$R$301="完了")*(案件入力!$B$2:$B$301))),"0"),案件入力!$T$2:$T$301,0))),$G13)</f>
        <v/>
      </c>
      <c r="J13" s="13" t="n"/>
    </row>
    <row r="14">
      <c r="A14" s="13" t="n"/>
      <c r="B14" s="13" t="n"/>
      <c r="C14" s="13" t="n"/>
      <c r="D14" s="13" t="n"/>
      <c r="E14" s="13" t="n"/>
      <c r="F14" s="43" t="n"/>
      <c r="G14" s="43" t="n"/>
      <c r="H14" s="42">
        <f>IFERROR(IF(SUMPRODUCT(MAX((案件入力!$D$2:$D$301=$B14)*(案件入力!$R$2:$R$301="完了")*(案件入力!$B$2:$B$301)))=0,$F14,INDEX(案件入力!$I$2:$I$301,MATCH($B14&amp;"|"&amp;TEXT(SUMPRODUCT(MAX((案件入力!$D$2:$D$301=$B14)*(案件入力!$R$2:$R$301="完了")*(案件入力!$B$2:$B$301))),"0"),案件入力!$T$2:$T$301,0))),$F14)</f>
        <v/>
      </c>
      <c r="I14" s="42">
        <f>IFERROR(IF(SUMPRODUCT(MAX((案件入力!$D$2:$D$301=$B14)*(案件入力!$R$2:$R$301="完了")*(案件入力!$B$2:$B$301)))=0,$G14,INDEX(案件入力!$M$2:$M$301,MATCH($B14&amp;"|"&amp;TEXT(SUMPRODUCT(MAX((案件入力!$D$2:$D$301=$B14)*(案件入力!$R$2:$R$301="完了")*(案件入力!$B$2:$B$301))),"0"),案件入力!$T$2:$T$301,0))),$G14)</f>
        <v/>
      </c>
      <c r="J14" s="13" t="n"/>
    </row>
    <row r="15">
      <c r="A15" s="13" t="n"/>
      <c r="B15" s="13" t="n"/>
      <c r="C15" s="13" t="n"/>
      <c r="D15" s="13" t="n"/>
      <c r="E15" s="13" t="n"/>
      <c r="F15" s="43" t="n"/>
      <c r="G15" s="43" t="n"/>
      <c r="H15" s="42">
        <f>IFERROR(IF(SUMPRODUCT(MAX((案件入力!$D$2:$D$301=$B15)*(案件入力!$R$2:$R$301="完了")*(案件入力!$B$2:$B$301)))=0,$F15,INDEX(案件入力!$I$2:$I$301,MATCH($B15&amp;"|"&amp;TEXT(SUMPRODUCT(MAX((案件入力!$D$2:$D$301=$B15)*(案件入力!$R$2:$R$301="完了")*(案件入力!$B$2:$B$301))),"0"),案件入力!$T$2:$T$301,0))),$F15)</f>
        <v/>
      </c>
      <c r="I15" s="42">
        <f>IFERROR(IF(SUMPRODUCT(MAX((案件入力!$D$2:$D$301=$B15)*(案件入力!$R$2:$R$301="完了")*(案件入力!$B$2:$B$301)))=0,$G15,INDEX(案件入力!$M$2:$M$301,MATCH($B15&amp;"|"&amp;TEXT(SUMPRODUCT(MAX((案件入力!$D$2:$D$301=$B15)*(案件入力!$R$2:$R$301="完了")*(案件入力!$B$2:$B$301))),"0"),案件入力!$T$2:$T$301,0))),$G15)</f>
        <v/>
      </c>
      <c r="J15" s="13" t="n"/>
    </row>
    <row r="16">
      <c r="A16" s="13" t="n"/>
      <c r="B16" s="13" t="n"/>
      <c r="C16" s="13" t="n"/>
      <c r="D16" s="13" t="n"/>
      <c r="E16" s="13" t="n"/>
      <c r="F16" s="43" t="n"/>
      <c r="G16" s="43" t="n"/>
      <c r="H16" s="42">
        <f>IFERROR(IF(SUMPRODUCT(MAX((案件入力!$D$2:$D$301=$B16)*(案件入力!$R$2:$R$301="完了")*(案件入力!$B$2:$B$301)))=0,$F16,INDEX(案件入力!$I$2:$I$301,MATCH($B16&amp;"|"&amp;TEXT(SUMPRODUCT(MAX((案件入力!$D$2:$D$301=$B16)*(案件入力!$R$2:$R$301="完了")*(案件入力!$B$2:$B$301))),"0"),案件入力!$T$2:$T$301,0))),$F16)</f>
        <v/>
      </c>
      <c r="I16" s="42">
        <f>IFERROR(IF(SUMPRODUCT(MAX((案件入力!$D$2:$D$301=$B16)*(案件入力!$R$2:$R$301="完了")*(案件入力!$B$2:$B$301)))=0,$G16,INDEX(案件入力!$M$2:$M$301,MATCH($B16&amp;"|"&amp;TEXT(SUMPRODUCT(MAX((案件入力!$D$2:$D$301=$B16)*(案件入力!$R$2:$R$301="完了")*(案件入力!$B$2:$B$301))),"0"),案件入力!$T$2:$T$301,0))),$G16)</f>
        <v/>
      </c>
      <c r="J16" s="13" t="n"/>
    </row>
    <row r="17">
      <c r="A17" s="13" t="n"/>
      <c r="B17" s="13" t="n"/>
      <c r="C17" s="13" t="n"/>
      <c r="D17" s="13" t="n"/>
      <c r="E17" s="13" t="n"/>
      <c r="F17" s="43" t="n"/>
      <c r="G17" s="43" t="n"/>
      <c r="H17" s="42">
        <f>IFERROR(IF(SUMPRODUCT(MAX((案件入力!$D$2:$D$301=$B17)*(案件入力!$R$2:$R$301="完了")*(案件入力!$B$2:$B$301)))=0,$F17,INDEX(案件入力!$I$2:$I$301,MATCH($B17&amp;"|"&amp;TEXT(SUMPRODUCT(MAX((案件入力!$D$2:$D$301=$B17)*(案件入力!$R$2:$R$301="完了")*(案件入力!$B$2:$B$301))),"0"),案件入力!$T$2:$T$301,0))),$F17)</f>
        <v/>
      </c>
      <c r="I17" s="42">
        <f>IFERROR(IF(SUMPRODUCT(MAX((案件入力!$D$2:$D$301=$B17)*(案件入力!$R$2:$R$301="完了")*(案件入力!$B$2:$B$301)))=0,$G17,INDEX(案件入力!$M$2:$M$301,MATCH($B17&amp;"|"&amp;TEXT(SUMPRODUCT(MAX((案件入力!$D$2:$D$301=$B17)*(案件入力!$R$2:$R$301="完了")*(案件入力!$B$2:$B$301))),"0"),案件入力!$T$2:$T$301,0))),$G17)</f>
        <v/>
      </c>
      <c r="J17" s="13" t="n"/>
    </row>
    <row r="18">
      <c r="A18" s="13" t="n"/>
      <c r="B18" s="13" t="n"/>
      <c r="C18" s="13" t="n"/>
      <c r="D18" s="13" t="n"/>
      <c r="E18" s="13" t="n"/>
      <c r="F18" s="43" t="n"/>
      <c r="G18" s="43" t="n"/>
      <c r="H18" s="42">
        <f>IFERROR(IF(SUMPRODUCT(MAX((案件入力!$D$2:$D$301=$B18)*(案件入力!$R$2:$R$301="完了")*(案件入力!$B$2:$B$301)))=0,$F18,INDEX(案件入力!$I$2:$I$301,MATCH($B18&amp;"|"&amp;TEXT(SUMPRODUCT(MAX((案件入力!$D$2:$D$301=$B18)*(案件入力!$R$2:$R$301="完了")*(案件入力!$B$2:$B$301))),"0"),案件入力!$T$2:$T$301,0))),$F18)</f>
        <v/>
      </c>
      <c r="I18" s="42">
        <f>IFERROR(IF(SUMPRODUCT(MAX((案件入力!$D$2:$D$301=$B18)*(案件入力!$R$2:$R$301="完了")*(案件入力!$B$2:$B$301)))=0,$G18,INDEX(案件入力!$M$2:$M$301,MATCH($B18&amp;"|"&amp;TEXT(SUMPRODUCT(MAX((案件入力!$D$2:$D$301=$B18)*(案件入力!$R$2:$R$301="完了")*(案件入力!$B$2:$B$301))),"0"),案件入力!$T$2:$T$301,0))),$G18)</f>
        <v/>
      </c>
      <c r="J18" s="13" t="n"/>
    </row>
    <row r="19">
      <c r="A19" s="13" t="n"/>
      <c r="B19" s="13" t="n"/>
      <c r="C19" s="13" t="n"/>
      <c r="D19" s="13" t="n"/>
      <c r="E19" s="13" t="n"/>
      <c r="F19" s="43" t="n"/>
      <c r="G19" s="43" t="n"/>
      <c r="H19" s="42">
        <f>IFERROR(IF(SUMPRODUCT(MAX((案件入力!$D$2:$D$301=$B19)*(案件入力!$R$2:$R$301="完了")*(案件入力!$B$2:$B$301)))=0,$F19,INDEX(案件入力!$I$2:$I$301,MATCH($B19&amp;"|"&amp;TEXT(SUMPRODUCT(MAX((案件入力!$D$2:$D$301=$B19)*(案件入力!$R$2:$R$301="完了")*(案件入力!$B$2:$B$301))),"0"),案件入力!$T$2:$T$301,0))),$F19)</f>
        <v/>
      </c>
      <c r="I19" s="42">
        <f>IFERROR(IF(SUMPRODUCT(MAX((案件入力!$D$2:$D$301=$B19)*(案件入力!$R$2:$R$301="完了")*(案件入力!$B$2:$B$301)))=0,$G19,INDEX(案件入力!$M$2:$M$301,MATCH($B19&amp;"|"&amp;TEXT(SUMPRODUCT(MAX((案件入力!$D$2:$D$301=$B19)*(案件入力!$R$2:$R$301="完了")*(案件入力!$B$2:$B$301))),"0"),案件入力!$T$2:$T$301,0))),$G19)</f>
        <v/>
      </c>
      <c r="J19" s="13" t="n"/>
    </row>
    <row r="20">
      <c r="A20" s="13" t="n"/>
      <c r="B20" s="13" t="n"/>
      <c r="C20" s="13" t="n"/>
      <c r="D20" s="13" t="n"/>
      <c r="E20" s="13" t="n"/>
      <c r="F20" s="43" t="n"/>
      <c r="G20" s="43" t="n"/>
      <c r="H20" s="42">
        <f>IFERROR(IF(SUMPRODUCT(MAX((案件入力!$D$2:$D$301=$B20)*(案件入力!$R$2:$R$301="完了")*(案件入力!$B$2:$B$301)))=0,$F20,INDEX(案件入力!$I$2:$I$301,MATCH($B20&amp;"|"&amp;TEXT(SUMPRODUCT(MAX((案件入力!$D$2:$D$301=$B20)*(案件入力!$R$2:$R$301="完了")*(案件入力!$B$2:$B$301))),"0"),案件入力!$T$2:$T$301,0))),$F20)</f>
        <v/>
      </c>
      <c r="I20" s="42">
        <f>IFERROR(IF(SUMPRODUCT(MAX((案件入力!$D$2:$D$301=$B20)*(案件入力!$R$2:$R$301="完了")*(案件入力!$B$2:$B$301)))=0,$G20,INDEX(案件入力!$M$2:$M$301,MATCH($B20&amp;"|"&amp;TEXT(SUMPRODUCT(MAX((案件入力!$D$2:$D$301=$B20)*(案件入力!$R$2:$R$301="完了")*(案件入力!$B$2:$B$301))),"0"),案件入力!$T$2:$T$301,0))),$G20)</f>
        <v/>
      </c>
      <c r="J20" s="13" t="n"/>
    </row>
    <row r="21">
      <c r="A21" s="13" t="n"/>
      <c r="B21" s="13" t="n"/>
      <c r="C21" s="13" t="n"/>
      <c r="D21" s="13" t="n"/>
      <c r="E21" s="13" t="n"/>
      <c r="F21" s="43" t="n"/>
      <c r="G21" s="43" t="n"/>
      <c r="H21" s="42">
        <f>IFERROR(IF(SUMPRODUCT(MAX((案件入力!$D$2:$D$301=$B21)*(案件入力!$R$2:$R$301="完了")*(案件入力!$B$2:$B$301)))=0,$F21,INDEX(案件入力!$I$2:$I$301,MATCH($B21&amp;"|"&amp;TEXT(SUMPRODUCT(MAX((案件入力!$D$2:$D$301=$B21)*(案件入力!$R$2:$R$301="完了")*(案件入力!$B$2:$B$301))),"0"),案件入力!$T$2:$T$301,0))),$F21)</f>
        <v/>
      </c>
      <c r="I21" s="42">
        <f>IFERROR(IF(SUMPRODUCT(MAX((案件入力!$D$2:$D$301=$B21)*(案件入力!$R$2:$R$301="完了")*(案件入力!$B$2:$B$301)))=0,$G21,INDEX(案件入力!$M$2:$M$301,MATCH($B21&amp;"|"&amp;TEXT(SUMPRODUCT(MAX((案件入力!$D$2:$D$301=$B21)*(案件入力!$R$2:$R$301="完了")*(案件入力!$B$2:$B$301))),"0"),案件入力!$T$2:$T$301,0))),$G21)</f>
        <v/>
      </c>
      <c r="J21" s="13" t="n"/>
    </row>
    <row r="22">
      <c r="A22" s="13" t="n"/>
      <c r="B22" s="13" t="n"/>
      <c r="C22" s="13" t="n"/>
      <c r="D22" s="13" t="n"/>
      <c r="E22" s="13" t="n"/>
      <c r="F22" s="43" t="n"/>
      <c r="G22" s="43" t="n"/>
      <c r="H22" s="42">
        <f>IFERROR(IF(SUMPRODUCT(MAX((案件入力!$D$2:$D$301=$B22)*(案件入力!$R$2:$R$301="完了")*(案件入力!$B$2:$B$301)))=0,$F22,INDEX(案件入力!$I$2:$I$301,MATCH($B22&amp;"|"&amp;TEXT(SUMPRODUCT(MAX((案件入力!$D$2:$D$301=$B22)*(案件入力!$R$2:$R$301="完了")*(案件入力!$B$2:$B$301))),"0"),案件入力!$T$2:$T$301,0))),$F22)</f>
        <v/>
      </c>
      <c r="I22" s="42">
        <f>IFERROR(IF(SUMPRODUCT(MAX((案件入力!$D$2:$D$301=$B22)*(案件入力!$R$2:$R$301="完了")*(案件入力!$B$2:$B$301)))=0,$G22,INDEX(案件入力!$M$2:$M$301,MATCH($B22&amp;"|"&amp;TEXT(SUMPRODUCT(MAX((案件入力!$D$2:$D$301=$B22)*(案件入力!$R$2:$R$301="完了")*(案件入力!$B$2:$B$301))),"0"),案件入力!$T$2:$T$301,0))),$G22)</f>
        <v/>
      </c>
      <c r="J22" s="13" t="n"/>
    </row>
    <row r="23">
      <c r="A23" s="13" t="n"/>
      <c r="B23" s="13" t="n"/>
      <c r="C23" s="13" t="n"/>
      <c r="D23" s="13" t="n"/>
      <c r="E23" s="13" t="n"/>
      <c r="F23" s="43" t="n"/>
      <c r="G23" s="43" t="n"/>
      <c r="H23" s="42">
        <f>IFERROR(IF(SUMPRODUCT(MAX((案件入力!$D$2:$D$301=$B23)*(案件入力!$R$2:$R$301="完了")*(案件入力!$B$2:$B$301)))=0,$F23,INDEX(案件入力!$I$2:$I$301,MATCH($B23&amp;"|"&amp;TEXT(SUMPRODUCT(MAX((案件入力!$D$2:$D$301=$B23)*(案件入力!$R$2:$R$301="完了")*(案件入力!$B$2:$B$301))),"0"),案件入力!$T$2:$T$301,0))),$F23)</f>
        <v/>
      </c>
      <c r="I23" s="42">
        <f>IFERROR(IF(SUMPRODUCT(MAX((案件入力!$D$2:$D$301=$B23)*(案件入力!$R$2:$R$301="完了")*(案件入力!$B$2:$B$301)))=0,$G23,INDEX(案件入力!$M$2:$M$301,MATCH($B23&amp;"|"&amp;TEXT(SUMPRODUCT(MAX((案件入力!$D$2:$D$301=$B23)*(案件入力!$R$2:$R$301="完了")*(案件入力!$B$2:$B$301))),"0"),案件入力!$T$2:$T$301,0))),$G23)</f>
        <v/>
      </c>
      <c r="J23" s="13" t="n"/>
    </row>
    <row r="24">
      <c r="A24" s="13" t="n"/>
      <c r="B24" s="13" t="n"/>
      <c r="C24" s="13" t="n"/>
      <c r="D24" s="13" t="n"/>
      <c r="E24" s="13" t="n"/>
      <c r="F24" s="43" t="n"/>
      <c r="G24" s="43" t="n"/>
      <c r="H24" s="42">
        <f>IFERROR(IF(SUMPRODUCT(MAX((案件入力!$D$2:$D$301=$B24)*(案件入力!$R$2:$R$301="完了")*(案件入力!$B$2:$B$301)))=0,$F24,INDEX(案件入力!$I$2:$I$301,MATCH($B24&amp;"|"&amp;TEXT(SUMPRODUCT(MAX((案件入力!$D$2:$D$301=$B24)*(案件入力!$R$2:$R$301="完了")*(案件入力!$B$2:$B$301))),"0"),案件入力!$T$2:$T$301,0))),$F24)</f>
        <v/>
      </c>
      <c r="I24" s="42">
        <f>IFERROR(IF(SUMPRODUCT(MAX((案件入力!$D$2:$D$301=$B24)*(案件入力!$R$2:$R$301="完了")*(案件入力!$B$2:$B$301)))=0,$G24,INDEX(案件入力!$M$2:$M$301,MATCH($B24&amp;"|"&amp;TEXT(SUMPRODUCT(MAX((案件入力!$D$2:$D$301=$B24)*(案件入力!$R$2:$R$301="完了")*(案件入力!$B$2:$B$301))),"0"),案件入力!$T$2:$T$301,0))),$G24)</f>
        <v/>
      </c>
      <c r="J24" s="13" t="n"/>
    </row>
    <row r="25">
      <c r="A25" s="13" t="n"/>
      <c r="B25" s="13" t="n"/>
      <c r="C25" s="13" t="n"/>
      <c r="D25" s="13" t="n"/>
      <c r="E25" s="13" t="n"/>
      <c r="F25" s="43" t="n"/>
      <c r="G25" s="43" t="n"/>
      <c r="H25" s="42">
        <f>IFERROR(IF(SUMPRODUCT(MAX((案件入力!$D$2:$D$301=$B25)*(案件入力!$R$2:$R$301="完了")*(案件入力!$B$2:$B$301)))=0,$F25,INDEX(案件入力!$I$2:$I$301,MATCH($B25&amp;"|"&amp;TEXT(SUMPRODUCT(MAX((案件入力!$D$2:$D$301=$B25)*(案件入力!$R$2:$R$301="完了")*(案件入力!$B$2:$B$301))),"0"),案件入力!$T$2:$T$301,0))),$F25)</f>
        <v/>
      </c>
      <c r="I25" s="42">
        <f>IFERROR(IF(SUMPRODUCT(MAX((案件入力!$D$2:$D$301=$B25)*(案件入力!$R$2:$R$301="完了")*(案件入力!$B$2:$B$301)))=0,$G25,INDEX(案件入力!$M$2:$M$301,MATCH($B25&amp;"|"&amp;TEXT(SUMPRODUCT(MAX((案件入力!$D$2:$D$301=$B25)*(案件入力!$R$2:$R$301="完了")*(案件入力!$B$2:$B$301))),"0"),案件入力!$T$2:$T$301,0))),$G25)</f>
        <v/>
      </c>
      <c r="J25" s="13" t="n"/>
    </row>
    <row r="26">
      <c r="A26" s="13" t="n"/>
      <c r="B26" s="13" t="n"/>
      <c r="C26" s="13" t="n"/>
      <c r="D26" s="13" t="n"/>
      <c r="E26" s="13" t="n"/>
      <c r="F26" s="43" t="n"/>
      <c r="G26" s="43" t="n"/>
      <c r="H26" s="42">
        <f>IFERROR(IF(SUMPRODUCT(MAX((案件入力!$D$2:$D$301=$B26)*(案件入力!$R$2:$R$301="完了")*(案件入力!$B$2:$B$301)))=0,$F26,INDEX(案件入力!$I$2:$I$301,MATCH($B26&amp;"|"&amp;TEXT(SUMPRODUCT(MAX((案件入力!$D$2:$D$301=$B26)*(案件入力!$R$2:$R$301="完了")*(案件入力!$B$2:$B$301))),"0"),案件入力!$T$2:$T$301,0))),$F26)</f>
        <v/>
      </c>
      <c r="I26" s="42">
        <f>IFERROR(IF(SUMPRODUCT(MAX((案件入力!$D$2:$D$301=$B26)*(案件入力!$R$2:$R$301="完了")*(案件入力!$B$2:$B$301)))=0,$G26,INDEX(案件入力!$M$2:$M$301,MATCH($B26&amp;"|"&amp;TEXT(SUMPRODUCT(MAX((案件入力!$D$2:$D$301=$B26)*(案件入力!$R$2:$R$301="完了")*(案件入力!$B$2:$B$301))),"0"),案件入力!$T$2:$T$301,0))),$G26)</f>
        <v/>
      </c>
      <c r="J26" s="13" t="n"/>
    </row>
    <row r="27">
      <c r="A27" s="13" t="n"/>
      <c r="B27" s="13" t="n"/>
      <c r="C27" s="13" t="n"/>
      <c r="D27" s="13" t="n"/>
      <c r="E27" s="13" t="n"/>
      <c r="F27" s="43" t="n"/>
      <c r="G27" s="43" t="n"/>
      <c r="H27" s="42">
        <f>IFERROR(IF(SUMPRODUCT(MAX((案件入力!$D$2:$D$301=$B27)*(案件入力!$R$2:$R$301="完了")*(案件入力!$B$2:$B$301)))=0,$F27,INDEX(案件入力!$I$2:$I$301,MATCH($B27&amp;"|"&amp;TEXT(SUMPRODUCT(MAX((案件入力!$D$2:$D$301=$B27)*(案件入力!$R$2:$R$301="完了")*(案件入力!$B$2:$B$301))),"0"),案件入力!$T$2:$T$301,0))),$F27)</f>
        <v/>
      </c>
      <c r="I27" s="42">
        <f>IFERROR(IF(SUMPRODUCT(MAX((案件入力!$D$2:$D$301=$B27)*(案件入力!$R$2:$R$301="完了")*(案件入力!$B$2:$B$301)))=0,$G27,INDEX(案件入力!$M$2:$M$301,MATCH($B27&amp;"|"&amp;TEXT(SUMPRODUCT(MAX((案件入力!$D$2:$D$301=$B27)*(案件入力!$R$2:$R$301="完了")*(案件入力!$B$2:$B$301))),"0"),案件入力!$T$2:$T$301,0))),$G27)</f>
        <v/>
      </c>
      <c r="J27" s="13" t="n"/>
    </row>
    <row r="28">
      <c r="A28" s="13" t="n"/>
      <c r="B28" s="13" t="n"/>
      <c r="C28" s="13" t="n"/>
      <c r="D28" s="13" t="n"/>
      <c r="E28" s="13" t="n"/>
      <c r="F28" s="43" t="n"/>
      <c r="G28" s="43" t="n"/>
      <c r="H28" s="42">
        <f>IFERROR(IF(SUMPRODUCT(MAX((案件入力!$D$2:$D$301=$B28)*(案件入力!$R$2:$R$301="完了")*(案件入力!$B$2:$B$301)))=0,$F28,INDEX(案件入力!$I$2:$I$301,MATCH($B28&amp;"|"&amp;TEXT(SUMPRODUCT(MAX((案件入力!$D$2:$D$301=$B28)*(案件入力!$R$2:$R$301="完了")*(案件入力!$B$2:$B$301))),"0"),案件入力!$T$2:$T$301,0))),$F28)</f>
        <v/>
      </c>
      <c r="I28" s="42">
        <f>IFERROR(IF(SUMPRODUCT(MAX((案件入力!$D$2:$D$301=$B28)*(案件入力!$R$2:$R$301="完了")*(案件入力!$B$2:$B$301)))=0,$G28,INDEX(案件入力!$M$2:$M$301,MATCH($B28&amp;"|"&amp;TEXT(SUMPRODUCT(MAX((案件入力!$D$2:$D$301=$B28)*(案件入力!$R$2:$R$301="完了")*(案件入力!$B$2:$B$301))),"0"),案件入力!$T$2:$T$301,0))),$G28)</f>
        <v/>
      </c>
      <c r="J28" s="13" t="n"/>
    </row>
    <row r="29">
      <c r="A29" s="13" t="n"/>
      <c r="B29" s="13" t="n"/>
      <c r="C29" s="13" t="n"/>
      <c r="D29" s="13" t="n"/>
      <c r="E29" s="13" t="n"/>
      <c r="F29" s="43" t="n"/>
      <c r="G29" s="43" t="n"/>
      <c r="H29" s="42">
        <f>IFERROR(IF(SUMPRODUCT(MAX((案件入力!$D$2:$D$301=$B29)*(案件入力!$R$2:$R$301="完了")*(案件入力!$B$2:$B$301)))=0,$F29,INDEX(案件入力!$I$2:$I$301,MATCH($B29&amp;"|"&amp;TEXT(SUMPRODUCT(MAX((案件入力!$D$2:$D$301=$B29)*(案件入力!$R$2:$R$301="完了")*(案件入力!$B$2:$B$301))),"0"),案件入力!$T$2:$T$301,0))),$F29)</f>
        <v/>
      </c>
      <c r="I29" s="42">
        <f>IFERROR(IF(SUMPRODUCT(MAX((案件入力!$D$2:$D$301=$B29)*(案件入力!$R$2:$R$301="完了")*(案件入力!$B$2:$B$301)))=0,$G29,INDEX(案件入力!$M$2:$M$301,MATCH($B29&amp;"|"&amp;TEXT(SUMPRODUCT(MAX((案件入力!$D$2:$D$301=$B29)*(案件入力!$R$2:$R$301="完了")*(案件入力!$B$2:$B$301))),"0"),案件入力!$T$2:$T$301,0))),$G29)</f>
        <v/>
      </c>
      <c r="J29" s="13" t="n"/>
    </row>
    <row r="30">
      <c r="A30" s="13" t="n"/>
      <c r="B30" s="13" t="n"/>
      <c r="C30" s="13" t="n"/>
      <c r="D30" s="13" t="n"/>
      <c r="E30" s="13" t="n"/>
      <c r="F30" s="43" t="n"/>
      <c r="G30" s="43" t="n"/>
      <c r="H30" s="42">
        <f>IFERROR(IF(SUMPRODUCT(MAX((案件入力!$D$2:$D$301=$B30)*(案件入力!$R$2:$R$301="完了")*(案件入力!$B$2:$B$301)))=0,$F30,INDEX(案件入力!$I$2:$I$301,MATCH($B30&amp;"|"&amp;TEXT(SUMPRODUCT(MAX((案件入力!$D$2:$D$301=$B30)*(案件入力!$R$2:$R$301="完了")*(案件入力!$B$2:$B$301))),"0"),案件入力!$T$2:$T$301,0))),$F30)</f>
        <v/>
      </c>
      <c r="I30" s="42">
        <f>IFERROR(IF(SUMPRODUCT(MAX((案件入力!$D$2:$D$301=$B30)*(案件入力!$R$2:$R$301="完了")*(案件入力!$B$2:$B$301)))=0,$G30,INDEX(案件入力!$M$2:$M$301,MATCH($B30&amp;"|"&amp;TEXT(SUMPRODUCT(MAX((案件入力!$D$2:$D$301=$B30)*(案件入力!$R$2:$R$301="完了")*(案件入力!$B$2:$B$301))),"0"),案件入力!$T$2:$T$301,0))),$G30)</f>
        <v/>
      </c>
      <c r="J30" s="13" t="n"/>
    </row>
    <row r="31">
      <c r="A31" s="13" t="n"/>
      <c r="B31" s="13" t="n"/>
      <c r="C31" s="13" t="n"/>
      <c r="D31" s="13" t="n"/>
      <c r="E31" s="13" t="n"/>
      <c r="F31" s="43" t="n"/>
      <c r="G31" s="43" t="n"/>
      <c r="H31" s="42">
        <f>IFERROR(IF(SUMPRODUCT(MAX((案件入力!$D$2:$D$301=$B31)*(案件入力!$R$2:$R$301="完了")*(案件入力!$B$2:$B$301)))=0,$F31,INDEX(案件入力!$I$2:$I$301,MATCH($B31&amp;"|"&amp;TEXT(SUMPRODUCT(MAX((案件入力!$D$2:$D$301=$B31)*(案件入力!$R$2:$R$301="完了")*(案件入力!$B$2:$B$301))),"0"),案件入力!$T$2:$T$301,0))),$F31)</f>
        <v/>
      </c>
      <c r="I31" s="42">
        <f>IFERROR(IF(SUMPRODUCT(MAX((案件入力!$D$2:$D$301=$B31)*(案件入力!$R$2:$R$301="完了")*(案件入力!$B$2:$B$301)))=0,$G31,INDEX(案件入力!$M$2:$M$301,MATCH($B31&amp;"|"&amp;TEXT(SUMPRODUCT(MAX((案件入力!$D$2:$D$301=$B31)*(案件入力!$R$2:$R$301="完了")*(案件入力!$B$2:$B$301))),"0"),案件入力!$T$2:$T$301,0))),$G31)</f>
        <v/>
      </c>
      <c r="J31" s="13" t="n"/>
    </row>
    <row r="32">
      <c r="A32" s="13" t="n"/>
      <c r="B32" s="13" t="n"/>
      <c r="C32" s="13" t="n"/>
      <c r="D32" s="13" t="n"/>
      <c r="E32" s="13" t="n"/>
      <c r="F32" s="43" t="n"/>
      <c r="G32" s="43" t="n"/>
      <c r="H32" s="42">
        <f>IFERROR(IF(SUMPRODUCT(MAX((案件入力!$D$2:$D$301=$B32)*(案件入力!$R$2:$R$301="完了")*(案件入力!$B$2:$B$301)))=0,$F32,INDEX(案件入力!$I$2:$I$301,MATCH($B32&amp;"|"&amp;TEXT(SUMPRODUCT(MAX((案件入力!$D$2:$D$301=$B32)*(案件入力!$R$2:$R$301="完了")*(案件入力!$B$2:$B$301))),"0"),案件入力!$T$2:$T$301,0))),$F32)</f>
        <v/>
      </c>
      <c r="I32" s="42">
        <f>IFERROR(IF(SUMPRODUCT(MAX((案件入力!$D$2:$D$301=$B32)*(案件入力!$R$2:$R$301="完了")*(案件入力!$B$2:$B$301)))=0,$G32,INDEX(案件入力!$M$2:$M$301,MATCH($B32&amp;"|"&amp;TEXT(SUMPRODUCT(MAX((案件入力!$D$2:$D$301=$B32)*(案件入力!$R$2:$R$301="完了")*(案件入力!$B$2:$B$301))),"0"),案件入力!$T$2:$T$301,0))),$G32)</f>
        <v/>
      </c>
      <c r="J32" s="13" t="n"/>
    </row>
    <row r="33">
      <c r="A33" s="13" t="n"/>
      <c r="B33" s="13" t="n"/>
      <c r="C33" s="13" t="n"/>
      <c r="D33" s="13" t="n"/>
      <c r="E33" s="13" t="n"/>
      <c r="F33" s="43" t="n"/>
      <c r="G33" s="43" t="n"/>
      <c r="H33" s="42">
        <f>IFERROR(IF(SUMPRODUCT(MAX((案件入力!$D$2:$D$301=$B33)*(案件入力!$R$2:$R$301="完了")*(案件入力!$B$2:$B$301)))=0,$F33,INDEX(案件入力!$I$2:$I$301,MATCH($B33&amp;"|"&amp;TEXT(SUMPRODUCT(MAX((案件入力!$D$2:$D$301=$B33)*(案件入力!$R$2:$R$301="完了")*(案件入力!$B$2:$B$301))),"0"),案件入力!$T$2:$T$301,0))),$F33)</f>
        <v/>
      </c>
      <c r="I33" s="42">
        <f>IFERROR(IF(SUMPRODUCT(MAX((案件入力!$D$2:$D$301=$B33)*(案件入力!$R$2:$R$301="完了")*(案件入力!$B$2:$B$301)))=0,$G33,INDEX(案件入力!$M$2:$M$301,MATCH($B33&amp;"|"&amp;TEXT(SUMPRODUCT(MAX((案件入力!$D$2:$D$301=$B33)*(案件入力!$R$2:$R$301="完了")*(案件入力!$B$2:$B$301))),"0"),案件入力!$T$2:$T$301,0))),$G33)</f>
        <v/>
      </c>
      <c r="J33" s="13" t="n"/>
    </row>
    <row r="34">
      <c r="A34" s="13" t="n"/>
      <c r="B34" s="13" t="n"/>
      <c r="C34" s="13" t="n"/>
      <c r="D34" s="13" t="n"/>
      <c r="E34" s="13" t="n"/>
      <c r="F34" s="43" t="n"/>
      <c r="G34" s="43" t="n"/>
      <c r="H34" s="42">
        <f>IFERROR(IF(SUMPRODUCT(MAX((案件入力!$D$2:$D$301=$B34)*(案件入力!$R$2:$R$301="完了")*(案件入力!$B$2:$B$301)))=0,$F34,INDEX(案件入力!$I$2:$I$301,MATCH($B34&amp;"|"&amp;TEXT(SUMPRODUCT(MAX((案件入力!$D$2:$D$301=$B34)*(案件入力!$R$2:$R$301="完了")*(案件入力!$B$2:$B$301))),"0"),案件入力!$T$2:$T$301,0))),$F34)</f>
        <v/>
      </c>
      <c r="I34" s="42">
        <f>IFERROR(IF(SUMPRODUCT(MAX((案件入力!$D$2:$D$301=$B34)*(案件入力!$R$2:$R$301="完了")*(案件入力!$B$2:$B$301)))=0,$G34,INDEX(案件入力!$M$2:$M$301,MATCH($B34&amp;"|"&amp;TEXT(SUMPRODUCT(MAX((案件入力!$D$2:$D$301=$B34)*(案件入力!$R$2:$R$301="完了")*(案件入力!$B$2:$B$301))),"0"),案件入力!$T$2:$T$301,0))),$G34)</f>
        <v/>
      </c>
      <c r="J34" s="13" t="n"/>
    </row>
    <row r="35">
      <c r="A35" s="13" t="n"/>
      <c r="B35" s="13" t="n"/>
      <c r="C35" s="13" t="n"/>
      <c r="D35" s="13" t="n"/>
      <c r="E35" s="13" t="n"/>
      <c r="F35" s="43" t="n"/>
      <c r="G35" s="43" t="n"/>
      <c r="H35" s="42">
        <f>IFERROR(IF(SUMPRODUCT(MAX((案件入力!$D$2:$D$301=$B35)*(案件入力!$R$2:$R$301="完了")*(案件入力!$B$2:$B$301)))=0,$F35,INDEX(案件入力!$I$2:$I$301,MATCH($B35&amp;"|"&amp;TEXT(SUMPRODUCT(MAX((案件入力!$D$2:$D$301=$B35)*(案件入力!$R$2:$R$301="完了")*(案件入力!$B$2:$B$301))),"0"),案件入力!$T$2:$T$301,0))),$F35)</f>
        <v/>
      </c>
      <c r="I35" s="42">
        <f>IFERROR(IF(SUMPRODUCT(MAX((案件入力!$D$2:$D$301=$B35)*(案件入力!$R$2:$R$301="完了")*(案件入力!$B$2:$B$301)))=0,$G35,INDEX(案件入力!$M$2:$M$301,MATCH($B35&amp;"|"&amp;TEXT(SUMPRODUCT(MAX((案件入力!$D$2:$D$301=$B35)*(案件入力!$R$2:$R$301="完了")*(案件入力!$B$2:$B$301))),"0"),案件入力!$T$2:$T$301,0))),$G35)</f>
        <v/>
      </c>
      <c r="J35" s="13" t="n"/>
    </row>
    <row r="36">
      <c r="A36" s="13" t="n"/>
      <c r="B36" s="13" t="n"/>
      <c r="C36" s="13" t="n"/>
      <c r="D36" s="13" t="n"/>
      <c r="E36" s="13" t="n"/>
      <c r="F36" s="43" t="n"/>
      <c r="G36" s="43" t="n"/>
      <c r="H36" s="42">
        <f>IFERROR(IF(SUMPRODUCT(MAX((案件入力!$D$2:$D$301=$B36)*(案件入力!$R$2:$R$301="完了")*(案件入力!$B$2:$B$301)))=0,$F36,INDEX(案件入力!$I$2:$I$301,MATCH($B36&amp;"|"&amp;TEXT(SUMPRODUCT(MAX((案件入力!$D$2:$D$301=$B36)*(案件入力!$R$2:$R$301="完了")*(案件入力!$B$2:$B$301))),"0"),案件入力!$T$2:$T$301,0))),$F36)</f>
        <v/>
      </c>
      <c r="I36" s="42">
        <f>IFERROR(IF(SUMPRODUCT(MAX((案件入力!$D$2:$D$301=$B36)*(案件入力!$R$2:$R$301="完了")*(案件入力!$B$2:$B$301)))=0,$G36,INDEX(案件入力!$M$2:$M$301,MATCH($B36&amp;"|"&amp;TEXT(SUMPRODUCT(MAX((案件入力!$D$2:$D$301=$B36)*(案件入力!$R$2:$R$301="完了")*(案件入力!$B$2:$B$301))),"0"),案件入力!$T$2:$T$301,0))),$G36)</f>
        <v/>
      </c>
      <c r="J36" s="13" t="n"/>
    </row>
    <row r="37">
      <c r="A37" s="13" t="n"/>
      <c r="B37" s="13" t="n"/>
      <c r="C37" s="13" t="n"/>
      <c r="D37" s="13" t="n"/>
      <c r="E37" s="13" t="n"/>
      <c r="F37" s="43" t="n"/>
      <c r="G37" s="43" t="n"/>
      <c r="H37" s="42">
        <f>IFERROR(IF(SUMPRODUCT(MAX((案件入力!$D$2:$D$301=$B37)*(案件入力!$R$2:$R$301="完了")*(案件入力!$B$2:$B$301)))=0,$F37,INDEX(案件入力!$I$2:$I$301,MATCH($B37&amp;"|"&amp;TEXT(SUMPRODUCT(MAX((案件入力!$D$2:$D$301=$B37)*(案件入力!$R$2:$R$301="完了")*(案件入力!$B$2:$B$301))),"0"),案件入力!$T$2:$T$301,0))),$F37)</f>
        <v/>
      </c>
      <c r="I37" s="42">
        <f>IFERROR(IF(SUMPRODUCT(MAX((案件入力!$D$2:$D$301=$B37)*(案件入力!$R$2:$R$301="完了")*(案件入力!$B$2:$B$301)))=0,$G37,INDEX(案件入力!$M$2:$M$301,MATCH($B37&amp;"|"&amp;TEXT(SUMPRODUCT(MAX((案件入力!$D$2:$D$301=$B37)*(案件入力!$R$2:$R$301="完了")*(案件入力!$B$2:$B$301))),"0"),案件入力!$T$2:$T$301,0))),$G37)</f>
        <v/>
      </c>
      <c r="J37" s="13" t="n"/>
    </row>
    <row r="38">
      <c r="A38" s="13" t="n"/>
      <c r="B38" s="13" t="n"/>
      <c r="C38" s="13" t="n"/>
      <c r="D38" s="13" t="n"/>
      <c r="E38" s="13" t="n"/>
      <c r="F38" s="43" t="n"/>
      <c r="G38" s="43" t="n"/>
      <c r="H38" s="42">
        <f>IFERROR(IF(SUMPRODUCT(MAX((案件入力!$D$2:$D$301=$B38)*(案件入力!$R$2:$R$301="完了")*(案件入力!$B$2:$B$301)))=0,$F38,INDEX(案件入力!$I$2:$I$301,MATCH($B38&amp;"|"&amp;TEXT(SUMPRODUCT(MAX((案件入力!$D$2:$D$301=$B38)*(案件入力!$R$2:$R$301="完了")*(案件入力!$B$2:$B$301))),"0"),案件入力!$T$2:$T$301,0))),$F38)</f>
        <v/>
      </c>
      <c r="I38" s="42">
        <f>IFERROR(IF(SUMPRODUCT(MAX((案件入力!$D$2:$D$301=$B38)*(案件入力!$R$2:$R$301="完了")*(案件入力!$B$2:$B$301)))=0,$G38,INDEX(案件入力!$M$2:$M$301,MATCH($B38&amp;"|"&amp;TEXT(SUMPRODUCT(MAX((案件入力!$D$2:$D$301=$B38)*(案件入力!$R$2:$R$301="完了")*(案件入力!$B$2:$B$301))),"0"),案件入力!$T$2:$T$301,0))),$G38)</f>
        <v/>
      </c>
      <c r="J38" s="13" t="n"/>
    </row>
    <row r="39">
      <c r="A39" s="13" t="n"/>
      <c r="B39" s="13" t="n"/>
      <c r="C39" s="13" t="n"/>
      <c r="D39" s="13" t="n"/>
      <c r="E39" s="13" t="n"/>
      <c r="F39" s="43" t="n"/>
      <c r="G39" s="43" t="n"/>
      <c r="H39" s="42">
        <f>IFERROR(IF(SUMPRODUCT(MAX((案件入力!$D$2:$D$301=$B39)*(案件入力!$R$2:$R$301="完了")*(案件入力!$B$2:$B$301)))=0,$F39,INDEX(案件入力!$I$2:$I$301,MATCH($B39&amp;"|"&amp;TEXT(SUMPRODUCT(MAX((案件入力!$D$2:$D$301=$B39)*(案件入力!$R$2:$R$301="完了")*(案件入力!$B$2:$B$301))),"0"),案件入力!$T$2:$T$301,0))),$F39)</f>
        <v/>
      </c>
      <c r="I39" s="42">
        <f>IFERROR(IF(SUMPRODUCT(MAX((案件入力!$D$2:$D$301=$B39)*(案件入力!$R$2:$R$301="完了")*(案件入力!$B$2:$B$301)))=0,$G39,INDEX(案件入力!$M$2:$M$301,MATCH($B39&amp;"|"&amp;TEXT(SUMPRODUCT(MAX((案件入力!$D$2:$D$301=$B39)*(案件入力!$R$2:$R$301="完了")*(案件入力!$B$2:$B$301))),"0"),案件入力!$T$2:$T$301,0))),$G39)</f>
        <v/>
      </c>
      <c r="J39" s="13" t="n"/>
    </row>
    <row r="40">
      <c r="A40" s="13" t="n"/>
      <c r="B40" s="13" t="n"/>
      <c r="C40" s="13" t="n"/>
      <c r="D40" s="13" t="n"/>
      <c r="E40" s="13" t="n"/>
      <c r="F40" s="43" t="n"/>
      <c r="G40" s="43" t="n"/>
      <c r="H40" s="42">
        <f>IFERROR(IF(SUMPRODUCT(MAX((案件入力!$D$2:$D$301=$B40)*(案件入力!$R$2:$R$301="完了")*(案件入力!$B$2:$B$301)))=0,$F40,INDEX(案件入力!$I$2:$I$301,MATCH($B40&amp;"|"&amp;TEXT(SUMPRODUCT(MAX((案件入力!$D$2:$D$301=$B40)*(案件入力!$R$2:$R$301="完了")*(案件入力!$B$2:$B$301))),"0"),案件入力!$T$2:$T$301,0))),$F40)</f>
        <v/>
      </c>
      <c r="I40" s="42">
        <f>IFERROR(IF(SUMPRODUCT(MAX((案件入力!$D$2:$D$301=$B40)*(案件入力!$R$2:$R$301="完了")*(案件入力!$B$2:$B$301)))=0,$G40,INDEX(案件入力!$M$2:$M$301,MATCH($B40&amp;"|"&amp;TEXT(SUMPRODUCT(MAX((案件入力!$D$2:$D$301=$B40)*(案件入力!$R$2:$R$301="完了")*(案件入力!$B$2:$B$301))),"0"),案件入力!$T$2:$T$301,0))),$G40)</f>
        <v/>
      </c>
      <c r="J40" s="13" t="n"/>
    </row>
    <row r="41">
      <c r="A41" s="13" t="n"/>
      <c r="B41" s="13" t="n"/>
      <c r="C41" s="13" t="n"/>
      <c r="D41" s="13" t="n"/>
      <c r="E41" s="13" t="n"/>
      <c r="F41" s="43" t="n"/>
      <c r="G41" s="43" t="n"/>
      <c r="H41" s="42">
        <f>IFERROR(IF(SUMPRODUCT(MAX((案件入力!$D$2:$D$301=$B41)*(案件入力!$R$2:$R$301="完了")*(案件入力!$B$2:$B$301)))=0,$F41,INDEX(案件入力!$I$2:$I$301,MATCH($B41&amp;"|"&amp;TEXT(SUMPRODUCT(MAX((案件入力!$D$2:$D$301=$B41)*(案件入力!$R$2:$R$301="完了")*(案件入力!$B$2:$B$301))),"0"),案件入力!$T$2:$T$301,0))),$F41)</f>
        <v/>
      </c>
      <c r="I41" s="42">
        <f>IFERROR(IF(SUMPRODUCT(MAX((案件入力!$D$2:$D$301=$B41)*(案件入力!$R$2:$R$301="完了")*(案件入力!$B$2:$B$301)))=0,$G41,INDEX(案件入力!$M$2:$M$301,MATCH($B41&amp;"|"&amp;TEXT(SUMPRODUCT(MAX((案件入力!$D$2:$D$301=$B41)*(案件入力!$R$2:$R$301="完了")*(案件入力!$B$2:$B$301))),"0"),案件入力!$T$2:$T$301,0))),$G41)</f>
        <v/>
      </c>
      <c r="J41" s="13" t="n"/>
    </row>
    <row r="42">
      <c r="A42" s="13" t="n"/>
      <c r="B42" s="13" t="n"/>
      <c r="C42" s="13" t="n"/>
      <c r="D42" s="13" t="n"/>
      <c r="E42" s="13" t="n"/>
      <c r="F42" s="43" t="n"/>
      <c r="G42" s="43" t="n"/>
      <c r="H42" s="42">
        <f>IFERROR(IF(SUMPRODUCT(MAX((案件入力!$D$2:$D$301=$B42)*(案件入力!$R$2:$R$301="完了")*(案件入力!$B$2:$B$301)))=0,$F42,INDEX(案件入力!$I$2:$I$301,MATCH($B42&amp;"|"&amp;TEXT(SUMPRODUCT(MAX((案件入力!$D$2:$D$301=$B42)*(案件入力!$R$2:$R$301="完了")*(案件入力!$B$2:$B$301))),"0"),案件入力!$T$2:$T$301,0))),$F42)</f>
        <v/>
      </c>
      <c r="I42" s="42">
        <f>IFERROR(IF(SUMPRODUCT(MAX((案件入力!$D$2:$D$301=$B42)*(案件入力!$R$2:$R$301="完了")*(案件入力!$B$2:$B$301)))=0,$G42,INDEX(案件入力!$M$2:$M$301,MATCH($B42&amp;"|"&amp;TEXT(SUMPRODUCT(MAX((案件入力!$D$2:$D$301=$B42)*(案件入力!$R$2:$R$301="完了")*(案件入力!$B$2:$B$301))),"0"),案件入力!$T$2:$T$301,0))),$G42)</f>
        <v/>
      </c>
      <c r="J42" s="13" t="n"/>
    </row>
    <row r="43">
      <c r="A43" s="13" t="n"/>
      <c r="B43" s="13" t="n"/>
      <c r="C43" s="13" t="n"/>
      <c r="D43" s="13" t="n"/>
      <c r="E43" s="13" t="n"/>
      <c r="F43" s="43" t="n"/>
      <c r="G43" s="43" t="n"/>
      <c r="H43" s="42">
        <f>IFERROR(IF(SUMPRODUCT(MAX((案件入力!$D$2:$D$301=$B43)*(案件入力!$R$2:$R$301="完了")*(案件入力!$B$2:$B$301)))=0,$F43,INDEX(案件入力!$I$2:$I$301,MATCH($B43&amp;"|"&amp;TEXT(SUMPRODUCT(MAX((案件入力!$D$2:$D$301=$B43)*(案件入力!$R$2:$R$301="完了")*(案件入力!$B$2:$B$301))),"0"),案件入力!$T$2:$T$301,0))),$F43)</f>
        <v/>
      </c>
      <c r="I43" s="42">
        <f>IFERROR(IF(SUMPRODUCT(MAX((案件入力!$D$2:$D$301=$B43)*(案件入力!$R$2:$R$301="完了")*(案件入力!$B$2:$B$301)))=0,$G43,INDEX(案件入力!$M$2:$M$301,MATCH($B43&amp;"|"&amp;TEXT(SUMPRODUCT(MAX((案件入力!$D$2:$D$301=$B43)*(案件入力!$R$2:$R$301="完了")*(案件入力!$B$2:$B$301))),"0"),案件入力!$T$2:$T$301,0))),$G43)</f>
        <v/>
      </c>
      <c r="J43" s="13" t="n"/>
    </row>
    <row r="44">
      <c r="A44" s="13" t="n"/>
      <c r="B44" s="13" t="n"/>
      <c r="C44" s="13" t="n"/>
      <c r="D44" s="13" t="n"/>
      <c r="E44" s="13" t="n"/>
      <c r="F44" s="43" t="n"/>
      <c r="G44" s="43" t="n"/>
      <c r="H44" s="42">
        <f>IFERROR(IF(SUMPRODUCT(MAX((案件入力!$D$2:$D$301=$B44)*(案件入力!$R$2:$R$301="完了")*(案件入力!$B$2:$B$301)))=0,$F44,INDEX(案件入力!$I$2:$I$301,MATCH($B44&amp;"|"&amp;TEXT(SUMPRODUCT(MAX((案件入力!$D$2:$D$301=$B44)*(案件入力!$R$2:$R$301="完了")*(案件入力!$B$2:$B$301))),"0"),案件入力!$T$2:$T$301,0))),$F44)</f>
        <v/>
      </c>
      <c r="I44" s="42">
        <f>IFERROR(IF(SUMPRODUCT(MAX((案件入力!$D$2:$D$301=$B44)*(案件入力!$R$2:$R$301="完了")*(案件入力!$B$2:$B$301)))=0,$G44,INDEX(案件入力!$M$2:$M$301,MATCH($B44&amp;"|"&amp;TEXT(SUMPRODUCT(MAX((案件入力!$D$2:$D$301=$B44)*(案件入力!$R$2:$R$301="完了")*(案件入力!$B$2:$B$301))),"0"),案件入力!$T$2:$T$301,0))),$G44)</f>
        <v/>
      </c>
      <c r="J44" s="13" t="n"/>
    </row>
    <row r="45">
      <c r="A45" s="13" t="n"/>
      <c r="B45" s="13" t="n"/>
      <c r="C45" s="13" t="n"/>
      <c r="D45" s="13" t="n"/>
      <c r="E45" s="13" t="n"/>
      <c r="F45" s="43" t="n"/>
      <c r="G45" s="43" t="n"/>
      <c r="H45" s="42">
        <f>IFERROR(IF(SUMPRODUCT(MAX((案件入力!$D$2:$D$301=$B45)*(案件入力!$R$2:$R$301="完了")*(案件入力!$B$2:$B$301)))=0,$F45,INDEX(案件入力!$I$2:$I$301,MATCH($B45&amp;"|"&amp;TEXT(SUMPRODUCT(MAX((案件入力!$D$2:$D$301=$B45)*(案件入力!$R$2:$R$301="完了")*(案件入力!$B$2:$B$301))),"0"),案件入力!$T$2:$T$301,0))),$F45)</f>
        <v/>
      </c>
      <c r="I45" s="42">
        <f>IFERROR(IF(SUMPRODUCT(MAX((案件入力!$D$2:$D$301=$B45)*(案件入力!$R$2:$R$301="完了")*(案件入力!$B$2:$B$301)))=0,$G45,INDEX(案件入力!$M$2:$M$301,MATCH($B45&amp;"|"&amp;TEXT(SUMPRODUCT(MAX((案件入力!$D$2:$D$301=$B45)*(案件入力!$R$2:$R$301="完了")*(案件入力!$B$2:$B$301))),"0"),案件入力!$T$2:$T$301,0))),$G45)</f>
        <v/>
      </c>
      <c r="J45" s="13" t="n"/>
    </row>
    <row r="46">
      <c r="A46" s="13" t="n"/>
      <c r="B46" s="13" t="n"/>
      <c r="C46" s="13" t="n"/>
      <c r="D46" s="13" t="n"/>
      <c r="E46" s="13" t="n"/>
      <c r="F46" s="43" t="n"/>
      <c r="G46" s="43" t="n"/>
      <c r="H46" s="42">
        <f>IFERROR(IF(SUMPRODUCT(MAX((案件入力!$D$2:$D$301=$B46)*(案件入力!$R$2:$R$301="完了")*(案件入力!$B$2:$B$301)))=0,$F46,INDEX(案件入力!$I$2:$I$301,MATCH($B46&amp;"|"&amp;TEXT(SUMPRODUCT(MAX((案件入力!$D$2:$D$301=$B46)*(案件入力!$R$2:$R$301="完了")*(案件入力!$B$2:$B$301))),"0"),案件入力!$T$2:$T$301,0))),$F46)</f>
        <v/>
      </c>
      <c r="I46" s="42">
        <f>IFERROR(IF(SUMPRODUCT(MAX((案件入力!$D$2:$D$301=$B46)*(案件入力!$R$2:$R$301="完了")*(案件入力!$B$2:$B$301)))=0,$G46,INDEX(案件入力!$M$2:$M$301,MATCH($B46&amp;"|"&amp;TEXT(SUMPRODUCT(MAX((案件入力!$D$2:$D$301=$B46)*(案件入力!$R$2:$R$301="完了")*(案件入力!$B$2:$B$301))),"0"),案件入力!$T$2:$T$301,0))),$G46)</f>
        <v/>
      </c>
      <c r="J46" s="13" t="n"/>
    </row>
    <row r="47">
      <c r="A47" s="13" t="n"/>
      <c r="B47" s="13" t="n"/>
      <c r="C47" s="13" t="n"/>
      <c r="D47" s="13" t="n"/>
      <c r="E47" s="13" t="n"/>
      <c r="F47" s="43" t="n"/>
      <c r="G47" s="43" t="n"/>
      <c r="H47" s="42">
        <f>IFERROR(IF(SUMPRODUCT(MAX((案件入力!$D$2:$D$301=$B47)*(案件入力!$R$2:$R$301="完了")*(案件入力!$B$2:$B$301)))=0,$F47,INDEX(案件入力!$I$2:$I$301,MATCH($B47&amp;"|"&amp;TEXT(SUMPRODUCT(MAX((案件入力!$D$2:$D$301=$B47)*(案件入力!$R$2:$R$301="完了")*(案件入力!$B$2:$B$301))),"0"),案件入力!$T$2:$T$301,0))),$F47)</f>
        <v/>
      </c>
      <c r="I47" s="42">
        <f>IFERROR(IF(SUMPRODUCT(MAX((案件入力!$D$2:$D$301=$B47)*(案件入力!$R$2:$R$301="完了")*(案件入力!$B$2:$B$301)))=0,$G47,INDEX(案件入力!$M$2:$M$301,MATCH($B47&amp;"|"&amp;TEXT(SUMPRODUCT(MAX((案件入力!$D$2:$D$301=$B47)*(案件入力!$R$2:$R$301="完了")*(案件入力!$B$2:$B$301))),"0"),案件入力!$T$2:$T$301,0))),$G47)</f>
        <v/>
      </c>
      <c r="J47" s="13" t="n"/>
    </row>
    <row r="48">
      <c r="A48" s="13" t="n"/>
      <c r="B48" s="13" t="n"/>
      <c r="C48" s="13" t="n"/>
      <c r="D48" s="13" t="n"/>
      <c r="E48" s="13" t="n"/>
      <c r="F48" s="43" t="n"/>
      <c r="G48" s="43" t="n"/>
      <c r="H48" s="42">
        <f>IFERROR(IF(SUMPRODUCT(MAX((案件入力!$D$2:$D$301=$B48)*(案件入力!$R$2:$R$301="完了")*(案件入力!$B$2:$B$301)))=0,$F48,INDEX(案件入力!$I$2:$I$301,MATCH($B48&amp;"|"&amp;TEXT(SUMPRODUCT(MAX((案件入力!$D$2:$D$301=$B48)*(案件入力!$R$2:$R$301="完了")*(案件入力!$B$2:$B$301))),"0"),案件入力!$T$2:$T$301,0))),$F48)</f>
        <v/>
      </c>
      <c r="I48" s="42">
        <f>IFERROR(IF(SUMPRODUCT(MAX((案件入力!$D$2:$D$301=$B48)*(案件入力!$R$2:$R$301="完了")*(案件入力!$B$2:$B$301)))=0,$G48,INDEX(案件入力!$M$2:$M$301,MATCH($B48&amp;"|"&amp;TEXT(SUMPRODUCT(MAX((案件入力!$D$2:$D$301=$B48)*(案件入力!$R$2:$R$301="完了")*(案件入力!$B$2:$B$301))),"0"),案件入力!$T$2:$T$301,0))),$G48)</f>
        <v/>
      </c>
      <c r="J48" s="13" t="n"/>
    </row>
    <row r="49">
      <c r="A49" s="13" t="n"/>
      <c r="B49" s="13" t="n"/>
      <c r="C49" s="13" t="n"/>
      <c r="D49" s="13" t="n"/>
      <c r="E49" s="13" t="n"/>
      <c r="F49" s="43" t="n"/>
      <c r="G49" s="43" t="n"/>
      <c r="H49" s="42">
        <f>IFERROR(IF(SUMPRODUCT(MAX((案件入力!$D$2:$D$301=$B49)*(案件入力!$R$2:$R$301="完了")*(案件入力!$B$2:$B$301)))=0,$F49,INDEX(案件入力!$I$2:$I$301,MATCH($B49&amp;"|"&amp;TEXT(SUMPRODUCT(MAX((案件入力!$D$2:$D$301=$B49)*(案件入力!$R$2:$R$301="完了")*(案件入力!$B$2:$B$301))),"0"),案件入力!$T$2:$T$301,0))),$F49)</f>
        <v/>
      </c>
      <c r="I49" s="42">
        <f>IFERROR(IF(SUMPRODUCT(MAX((案件入力!$D$2:$D$301=$B49)*(案件入力!$R$2:$R$301="完了")*(案件入力!$B$2:$B$301)))=0,$G49,INDEX(案件入力!$M$2:$M$301,MATCH($B49&amp;"|"&amp;TEXT(SUMPRODUCT(MAX((案件入力!$D$2:$D$301=$B49)*(案件入力!$R$2:$R$301="完了")*(案件入力!$B$2:$B$301))),"0"),案件入力!$T$2:$T$301,0))),$G49)</f>
        <v/>
      </c>
      <c r="J49" s="13" t="n"/>
    </row>
    <row r="50">
      <c r="A50" s="13" t="n"/>
      <c r="B50" s="13" t="n"/>
      <c r="C50" s="13" t="n"/>
      <c r="D50" s="13" t="n"/>
      <c r="E50" s="13" t="n"/>
      <c r="F50" s="43" t="n"/>
      <c r="G50" s="43" t="n"/>
      <c r="H50" s="42">
        <f>IFERROR(IF(SUMPRODUCT(MAX((案件入力!$D$2:$D$301=$B50)*(案件入力!$R$2:$R$301="完了")*(案件入力!$B$2:$B$301)))=0,$F50,INDEX(案件入力!$I$2:$I$301,MATCH($B50&amp;"|"&amp;TEXT(SUMPRODUCT(MAX((案件入力!$D$2:$D$301=$B50)*(案件入力!$R$2:$R$301="完了")*(案件入力!$B$2:$B$301))),"0"),案件入力!$T$2:$T$301,0))),$F50)</f>
        <v/>
      </c>
      <c r="I50" s="42">
        <f>IFERROR(IF(SUMPRODUCT(MAX((案件入力!$D$2:$D$301=$B50)*(案件入力!$R$2:$R$301="完了")*(案件入力!$B$2:$B$301)))=0,$G50,INDEX(案件入力!$M$2:$M$301,MATCH($B50&amp;"|"&amp;TEXT(SUMPRODUCT(MAX((案件入力!$D$2:$D$301=$B50)*(案件入力!$R$2:$R$301="完了")*(案件入力!$B$2:$B$301))),"0"),案件入力!$T$2:$T$301,0))),$G50)</f>
        <v/>
      </c>
      <c r="J50" s="13" t="n"/>
    </row>
    <row r="51">
      <c r="A51" s="13" t="n"/>
      <c r="B51" s="13" t="n"/>
      <c r="C51" s="13" t="n"/>
      <c r="D51" s="13" t="n"/>
      <c r="E51" s="13" t="n"/>
      <c r="F51" s="43" t="n"/>
      <c r="G51" s="43" t="n"/>
      <c r="H51" s="42">
        <f>IFERROR(IF(SUMPRODUCT(MAX((案件入力!$D$2:$D$301=$B51)*(案件入力!$R$2:$R$301="完了")*(案件入力!$B$2:$B$301)))=0,$F51,INDEX(案件入力!$I$2:$I$301,MATCH($B51&amp;"|"&amp;TEXT(SUMPRODUCT(MAX((案件入力!$D$2:$D$301=$B51)*(案件入力!$R$2:$R$301="完了")*(案件入力!$B$2:$B$301))),"0"),案件入力!$T$2:$T$301,0))),$F51)</f>
        <v/>
      </c>
      <c r="I51" s="42">
        <f>IFERROR(IF(SUMPRODUCT(MAX((案件入力!$D$2:$D$301=$B51)*(案件入力!$R$2:$R$301="完了")*(案件入力!$B$2:$B$301)))=0,$G51,INDEX(案件入力!$M$2:$M$301,MATCH($B51&amp;"|"&amp;TEXT(SUMPRODUCT(MAX((案件入力!$D$2:$D$301=$B51)*(案件入力!$R$2:$R$301="完了")*(案件入力!$B$2:$B$301))),"0"),案件入力!$T$2:$T$301,0))),$G51)</f>
        <v/>
      </c>
      <c r="J51" s="13" t="n"/>
    </row>
    <row r="52">
      <c r="A52" s="13" t="n"/>
      <c r="B52" s="13" t="n"/>
      <c r="C52" s="13" t="n"/>
      <c r="D52" s="13" t="n"/>
      <c r="E52" s="13" t="n"/>
      <c r="F52" s="43" t="n"/>
      <c r="G52" s="43" t="n"/>
      <c r="H52" s="42">
        <f>IFERROR(IF(SUMPRODUCT(MAX((案件入力!$D$2:$D$301=$B52)*(案件入力!$R$2:$R$301="完了")*(案件入力!$B$2:$B$301)))=0,$F52,INDEX(案件入力!$I$2:$I$301,MATCH($B52&amp;"|"&amp;TEXT(SUMPRODUCT(MAX((案件入力!$D$2:$D$301=$B52)*(案件入力!$R$2:$R$301="完了")*(案件入力!$B$2:$B$301))),"0"),案件入力!$T$2:$T$301,0))),$F52)</f>
        <v/>
      </c>
      <c r="I52" s="42">
        <f>IFERROR(IF(SUMPRODUCT(MAX((案件入力!$D$2:$D$301=$B52)*(案件入力!$R$2:$R$301="完了")*(案件入力!$B$2:$B$301)))=0,$G52,INDEX(案件入力!$M$2:$M$301,MATCH($B52&amp;"|"&amp;TEXT(SUMPRODUCT(MAX((案件入力!$D$2:$D$301=$B52)*(案件入力!$R$2:$R$301="完了")*(案件入力!$B$2:$B$301))),"0"),案件入力!$T$2:$T$301,0))),$G52)</f>
        <v/>
      </c>
      <c r="J52" s="13" t="n"/>
    </row>
    <row r="53">
      <c r="A53" s="13" t="n"/>
      <c r="B53" s="13" t="n"/>
      <c r="C53" s="13" t="n"/>
      <c r="D53" s="13" t="n"/>
      <c r="E53" s="13" t="n"/>
      <c r="F53" s="43" t="n"/>
      <c r="G53" s="43" t="n"/>
      <c r="H53" s="42">
        <f>IFERROR(IF(SUMPRODUCT(MAX((案件入力!$D$2:$D$301=$B53)*(案件入力!$R$2:$R$301="完了")*(案件入力!$B$2:$B$301)))=0,$F53,INDEX(案件入力!$I$2:$I$301,MATCH($B53&amp;"|"&amp;TEXT(SUMPRODUCT(MAX((案件入力!$D$2:$D$301=$B53)*(案件入力!$R$2:$R$301="完了")*(案件入力!$B$2:$B$301))),"0"),案件入力!$T$2:$T$301,0))),$F53)</f>
        <v/>
      </c>
      <c r="I53" s="42">
        <f>IFERROR(IF(SUMPRODUCT(MAX((案件入力!$D$2:$D$301=$B53)*(案件入力!$R$2:$R$301="完了")*(案件入力!$B$2:$B$301)))=0,$G53,INDEX(案件入力!$M$2:$M$301,MATCH($B53&amp;"|"&amp;TEXT(SUMPRODUCT(MAX((案件入力!$D$2:$D$301=$B53)*(案件入力!$R$2:$R$301="完了")*(案件入力!$B$2:$B$301))),"0"),案件入力!$T$2:$T$301,0))),$G53)</f>
        <v/>
      </c>
      <c r="J53" s="13" t="n"/>
    </row>
    <row r="54">
      <c r="A54" s="13" t="n"/>
      <c r="B54" s="13" t="n"/>
      <c r="C54" s="13" t="n"/>
      <c r="D54" s="13" t="n"/>
      <c r="E54" s="13" t="n"/>
      <c r="F54" s="43" t="n"/>
      <c r="G54" s="43" t="n"/>
      <c r="H54" s="42">
        <f>IFERROR(IF(SUMPRODUCT(MAX((案件入力!$D$2:$D$301=$B54)*(案件入力!$R$2:$R$301="完了")*(案件入力!$B$2:$B$301)))=0,$F54,INDEX(案件入力!$I$2:$I$301,MATCH($B54&amp;"|"&amp;TEXT(SUMPRODUCT(MAX((案件入力!$D$2:$D$301=$B54)*(案件入力!$R$2:$R$301="完了")*(案件入力!$B$2:$B$301))),"0"),案件入力!$T$2:$T$301,0))),$F54)</f>
        <v/>
      </c>
      <c r="I54" s="42">
        <f>IFERROR(IF(SUMPRODUCT(MAX((案件入力!$D$2:$D$301=$B54)*(案件入力!$R$2:$R$301="完了")*(案件入力!$B$2:$B$301)))=0,$G54,INDEX(案件入力!$M$2:$M$301,MATCH($B54&amp;"|"&amp;TEXT(SUMPRODUCT(MAX((案件入力!$D$2:$D$301=$B54)*(案件入力!$R$2:$R$301="完了")*(案件入力!$B$2:$B$301))),"0"),案件入力!$T$2:$T$301,0))),$G54)</f>
        <v/>
      </c>
      <c r="J54" s="13" t="n"/>
    </row>
    <row r="55">
      <c r="A55" s="13" t="n"/>
      <c r="B55" s="13" t="n"/>
      <c r="C55" s="13" t="n"/>
      <c r="D55" s="13" t="n"/>
      <c r="E55" s="13" t="n"/>
      <c r="F55" s="43" t="n"/>
      <c r="G55" s="43" t="n"/>
      <c r="H55" s="42">
        <f>IFERROR(IF(SUMPRODUCT(MAX((案件入力!$D$2:$D$301=$B55)*(案件入力!$R$2:$R$301="完了")*(案件入力!$B$2:$B$301)))=0,$F55,INDEX(案件入力!$I$2:$I$301,MATCH($B55&amp;"|"&amp;TEXT(SUMPRODUCT(MAX((案件入力!$D$2:$D$301=$B55)*(案件入力!$R$2:$R$301="完了")*(案件入力!$B$2:$B$301))),"0"),案件入力!$T$2:$T$301,0))),$F55)</f>
        <v/>
      </c>
      <c r="I55" s="42">
        <f>IFERROR(IF(SUMPRODUCT(MAX((案件入力!$D$2:$D$301=$B55)*(案件入力!$R$2:$R$301="完了")*(案件入力!$B$2:$B$301)))=0,$G55,INDEX(案件入力!$M$2:$M$301,MATCH($B55&amp;"|"&amp;TEXT(SUMPRODUCT(MAX((案件入力!$D$2:$D$301=$B55)*(案件入力!$R$2:$R$301="完了")*(案件入力!$B$2:$B$301))),"0"),案件入力!$T$2:$T$301,0))),$G55)</f>
        <v/>
      </c>
      <c r="J55" s="13" t="n"/>
    </row>
    <row r="56">
      <c r="A56" s="13" t="n"/>
      <c r="B56" s="13" t="n"/>
      <c r="C56" s="13" t="n"/>
      <c r="D56" s="13" t="n"/>
      <c r="E56" s="13" t="n"/>
      <c r="F56" s="43" t="n"/>
      <c r="G56" s="43" t="n"/>
      <c r="H56" s="42">
        <f>IFERROR(IF(SUMPRODUCT(MAX((案件入力!$D$2:$D$301=$B56)*(案件入力!$R$2:$R$301="完了")*(案件入力!$B$2:$B$301)))=0,$F56,INDEX(案件入力!$I$2:$I$301,MATCH($B56&amp;"|"&amp;TEXT(SUMPRODUCT(MAX((案件入力!$D$2:$D$301=$B56)*(案件入力!$R$2:$R$301="完了")*(案件入力!$B$2:$B$301))),"0"),案件入力!$T$2:$T$301,0))),$F56)</f>
        <v/>
      </c>
      <c r="I56" s="42">
        <f>IFERROR(IF(SUMPRODUCT(MAX((案件入力!$D$2:$D$301=$B56)*(案件入力!$R$2:$R$301="完了")*(案件入力!$B$2:$B$301)))=0,$G56,INDEX(案件入力!$M$2:$M$301,MATCH($B56&amp;"|"&amp;TEXT(SUMPRODUCT(MAX((案件入力!$D$2:$D$301=$B56)*(案件入力!$R$2:$R$301="完了")*(案件入力!$B$2:$B$301))),"0"),案件入力!$T$2:$T$301,0))),$G56)</f>
        <v/>
      </c>
      <c r="J56" s="13" t="n"/>
    </row>
    <row r="57">
      <c r="A57" s="13" t="n"/>
      <c r="B57" s="13" t="n"/>
      <c r="C57" s="13" t="n"/>
      <c r="D57" s="13" t="n"/>
      <c r="E57" s="13" t="n"/>
      <c r="F57" s="43" t="n"/>
      <c r="G57" s="43" t="n"/>
      <c r="H57" s="42">
        <f>IFERROR(IF(SUMPRODUCT(MAX((案件入力!$D$2:$D$301=$B57)*(案件入力!$R$2:$R$301="完了")*(案件入力!$B$2:$B$301)))=0,$F57,INDEX(案件入力!$I$2:$I$301,MATCH($B57&amp;"|"&amp;TEXT(SUMPRODUCT(MAX((案件入力!$D$2:$D$301=$B57)*(案件入力!$R$2:$R$301="完了")*(案件入力!$B$2:$B$301))),"0"),案件入力!$T$2:$T$301,0))),$F57)</f>
        <v/>
      </c>
      <c r="I57" s="42">
        <f>IFERROR(IF(SUMPRODUCT(MAX((案件入力!$D$2:$D$301=$B57)*(案件入力!$R$2:$R$301="完了")*(案件入力!$B$2:$B$301)))=0,$G57,INDEX(案件入力!$M$2:$M$301,MATCH($B57&amp;"|"&amp;TEXT(SUMPRODUCT(MAX((案件入力!$D$2:$D$301=$B57)*(案件入力!$R$2:$R$301="完了")*(案件入力!$B$2:$B$301))),"0"),案件入力!$T$2:$T$301,0))),$G57)</f>
        <v/>
      </c>
      <c r="J57" s="13" t="n"/>
    </row>
    <row r="58">
      <c r="A58" s="13" t="n"/>
      <c r="B58" s="13" t="n"/>
      <c r="C58" s="13" t="n"/>
      <c r="D58" s="13" t="n"/>
      <c r="E58" s="13" t="n"/>
      <c r="F58" s="43" t="n"/>
      <c r="G58" s="43" t="n"/>
      <c r="H58" s="42">
        <f>IFERROR(IF(SUMPRODUCT(MAX((案件入力!$D$2:$D$301=$B58)*(案件入力!$R$2:$R$301="完了")*(案件入力!$B$2:$B$301)))=0,$F58,INDEX(案件入力!$I$2:$I$301,MATCH($B58&amp;"|"&amp;TEXT(SUMPRODUCT(MAX((案件入力!$D$2:$D$301=$B58)*(案件入力!$R$2:$R$301="完了")*(案件入力!$B$2:$B$301))),"0"),案件入力!$T$2:$T$301,0))),$F58)</f>
        <v/>
      </c>
      <c r="I58" s="42">
        <f>IFERROR(IF(SUMPRODUCT(MAX((案件入力!$D$2:$D$301=$B58)*(案件入力!$R$2:$R$301="完了")*(案件入力!$B$2:$B$301)))=0,$G58,INDEX(案件入力!$M$2:$M$301,MATCH($B58&amp;"|"&amp;TEXT(SUMPRODUCT(MAX((案件入力!$D$2:$D$301=$B58)*(案件入力!$R$2:$R$301="完了")*(案件入力!$B$2:$B$301))),"0"),案件入力!$T$2:$T$301,0))),$G58)</f>
        <v/>
      </c>
      <c r="J58" s="13" t="n"/>
    </row>
    <row r="59">
      <c r="A59" s="13" t="n"/>
      <c r="B59" s="13" t="n"/>
      <c r="C59" s="13" t="n"/>
      <c r="D59" s="13" t="n"/>
      <c r="E59" s="13" t="n"/>
      <c r="F59" s="43" t="n"/>
      <c r="G59" s="43" t="n"/>
      <c r="H59" s="42">
        <f>IFERROR(IF(SUMPRODUCT(MAX((案件入力!$D$2:$D$301=$B59)*(案件入力!$R$2:$R$301="完了")*(案件入力!$B$2:$B$301)))=0,$F59,INDEX(案件入力!$I$2:$I$301,MATCH($B59&amp;"|"&amp;TEXT(SUMPRODUCT(MAX((案件入力!$D$2:$D$301=$B59)*(案件入力!$R$2:$R$301="完了")*(案件入力!$B$2:$B$301))),"0"),案件入力!$T$2:$T$301,0))),$F59)</f>
        <v/>
      </c>
      <c r="I59" s="42">
        <f>IFERROR(IF(SUMPRODUCT(MAX((案件入力!$D$2:$D$301=$B59)*(案件入力!$R$2:$R$301="完了")*(案件入力!$B$2:$B$301)))=0,$G59,INDEX(案件入力!$M$2:$M$301,MATCH($B59&amp;"|"&amp;TEXT(SUMPRODUCT(MAX((案件入力!$D$2:$D$301=$B59)*(案件入力!$R$2:$R$301="完了")*(案件入力!$B$2:$B$301))),"0"),案件入力!$T$2:$T$301,0))),$G59)</f>
        <v/>
      </c>
      <c r="J59" s="13" t="n"/>
    </row>
    <row r="60">
      <c r="A60" s="13" t="n"/>
      <c r="B60" s="13" t="n"/>
      <c r="C60" s="13" t="n"/>
      <c r="D60" s="13" t="n"/>
      <c r="E60" s="13" t="n"/>
      <c r="F60" s="43" t="n"/>
      <c r="G60" s="43" t="n"/>
      <c r="H60" s="42">
        <f>IFERROR(IF(SUMPRODUCT(MAX((案件入力!$D$2:$D$301=$B60)*(案件入力!$R$2:$R$301="完了")*(案件入力!$B$2:$B$301)))=0,$F60,INDEX(案件入力!$I$2:$I$301,MATCH($B60&amp;"|"&amp;TEXT(SUMPRODUCT(MAX((案件入力!$D$2:$D$301=$B60)*(案件入力!$R$2:$R$301="完了")*(案件入力!$B$2:$B$301))),"0"),案件入力!$T$2:$T$301,0))),$F60)</f>
        <v/>
      </c>
      <c r="I60" s="42">
        <f>IFERROR(IF(SUMPRODUCT(MAX((案件入力!$D$2:$D$301=$B60)*(案件入力!$R$2:$R$301="完了")*(案件入力!$B$2:$B$301)))=0,$G60,INDEX(案件入力!$M$2:$M$301,MATCH($B60&amp;"|"&amp;TEXT(SUMPRODUCT(MAX((案件入力!$D$2:$D$301=$B60)*(案件入力!$R$2:$R$301="完了")*(案件入力!$B$2:$B$301))),"0"),案件入力!$T$2:$T$301,0))),$G60)</f>
        <v/>
      </c>
      <c r="J60" s="13" t="n"/>
    </row>
    <row r="61">
      <c r="A61" s="13" t="n"/>
      <c r="B61" s="13" t="n"/>
      <c r="C61" s="13" t="n"/>
      <c r="D61" s="13" t="n"/>
      <c r="E61" s="13" t="n"/>
      <c r="F61" s="43" t="n"/>
      <c r="G61" s="43" t="n"/>
      <c r="H61" s="42">
        <f>IFERROR(IF(SUMPRODUCT(MAX((案件入力!$D$2:$D$301=$B61)*(案件入力!$R$2:$R$301="完了")*(案件入力!$B$2:$B$301)))=0,$F61,INDEX(案件入力!$I$2:$I$301,MATCH($B61&amp;"|"&amp;TEXT(SUMPRODUCT(MAX((案件入力!$D$2:$D$301=$B61)*(案件入力!$R$2:$R$301="完了")*(案件入力!$B$2:$B$301))),"0"),案件入力!$T$2:$T$301,0))),$F61)</f>
        <v/>
      </c>
      <c r="I61" s="42">
        <f>IFERROR(IF(SUMPRODUCT(MAX((案件入力!$D$2:$D$301=$B61)*(案件入力!$R$2:$R$301="完了")*(案件入力!$B$2:$B$301)))=0,$G61,INDEX(案件入力!$M$2:$M$301,MATCH($B61&amp;"|"&amp;TEXT(SUMPRODUCT(MAX((案件入力!$D$2:$D$301=$B61)*(案件入力!$R$2:$R$301="完了")*(案件入力!$B$2:$B$301))),"0"),案件入力!$T$2:$T$301,0))),$G61)</f>
        <v/>
      </c>
      <c r="J61" s="13" t="n"/>
    </row>
    <row r="62">
      <c r="A62" s="13" t="n"/>
      <c r="B62" s="13" t="n"/>
      <c r="C62" s="13" t="n"/>
      <c r="D62" s="13" t="n"/>
      <c r="E62" s="13" t="n"/>
      <c r="F62" s="43" t="n"/>
      <c r="G62" s="43" t="n"/>
      <c r="H62" s="42">
        <f>IFERROR(IF(SUMPRODUCT(MAX((案件入力!$D$2:$D$301=$B62)*(案件入力!$R$2:$R$301="完了")*(案件入力!$B$2:$B$301)))=0,$F62,INDEX(案件入力!$I$2:$I$301,MATCH($B62&amp;"|"&amp;TEXT(SUMPRODUCT(MAX((案件入力!$D$2:$D$301=$B62)*(案件入力!$R$2:$R$301="完了")*(案件入力!$B$2:$B$301))),"0"),案件入力!$T$2:$T$301,0))),$F62)</f>
        <v/>
      </c>
      <c r="I62" s="42">
        <f>IFERROR(IF(SUMPRODUCT(MAX((案件入力!$D$2:$D$301=$B62)*(案件入力!$R$2:$R$301="完了")*(案件入力!$B$2:$B$301)))=0,$G62,INDEX(案件入力!$M$2:$M$301,MATCH($B62&amp;"|"&amp;TEXT(SUMPRODUCT(MAX((案件入力!$D$2:$D$301=$B62)*(案件入力!$R$2:$R$301="完了")*(案件入力!$B$2:$B$301))),"0"),案件入力!$T$2:$T$301,0))),$G62)</f>
        <v/>
      </c>
      <c r="J62" s="13" t="n"/>
    </row>
    <row r="63">
      <c r="A63" s="13" t="n"/>
      <c r="B63" s="13" t="n"/>
      <c r="C63" s="13" t="n"/>
      <c r="D63" s="13" t="n"/>
      <c r="E63" s="13" t="n"/>
      <c r="F63" s="43" t="n"/>
      <c r="G63" s="43" t="n"/>
      <c r="H63" s="42">
        <f>IFERROR(IF(SUMPRODUCT(MAX((案件入力!$D$2:$D$301=$B63)*(案件入力!$R$2:$R$301="完了")*(案件入力!$B$2:$B$301)))=0,$F63,INDEX(案件入力!$I$2:$I$301,MATCH($B63&amp;"|"&amp;TEXT(SUMPRODUCT(MAX((案件入力!$D$2:$D$301=$B63)*(案件入力!$R$2:$R$301="完了")*(案件入力!$B$2:$B$301))),"0"),案件入力!$T$2:$T$301,0))),$F63)</f>
        <v/>
      </c>
      <c r="I63" s="42">
        <f>IFERROR(IF(SUMPRODUCT(MAX((案件入力!$D$2:$D$301=$B63)*(案件入力!$R$2:$R$301="完了")*(案件入力!$B$2:$B$301)))=0,$G63,INDEX(案件入力!$M$2:$M$301,MATCH($B63&amp;"|"&amp;TEXT(SUMPRODUCT(MAX((案件入力!$D$2:$D$301=$B63)*(案件入力!$R$2:$R$301="完了")*(案件入力!$B$2:$B$301))),"0"),案件入力!$T$2:$T$301,0))),$G63)</f>
        <v/>
      </c>
      <c r="J63" s="13" t="n"/>
    </row>
    <row r="64">
      <c r="A64" s="13" t="n"/>
      <c r="B64" s="13" t="n"/>
      <c r="C64" s="13" t="n"/>
      <c r="D64" s="13" t="n"/>
      <c r="E64" s="13" t="n"/>
      <c r="F64" s="43" t="n"/>
      <c r="G64" s="43" t="n"/>
      <c r="H64" s="42">
        <f>IFERROR(IF(SUMPRODUCT(MAX((案件入力!$D$2:$D$301=$B64)*(案件入力!$R$2:$R$301="完了")*(案件入力!$B$2:$B$301)))=0,$F64,INDEX(案件入力!$I$2:$I$301,MATCH($B64&amp;"|"&amp;TEXT(SUMPRODUCT(MAX((案件入力!$D$2:$D$301=$B64)*(案件入力!$R$2:$R$301="完了")*(案件入力!$B$2:$B$301))),"0"),案件入力!$T$2:$T$301,0))),$F64)</f>
        <v/>
      </c>
      <c r="I64" s="42">
        <f>IFERROR(IF(SUMPRODUCT(MAX((案件入力!$D$2:$D$301=$B64)*(案件入力!$R$2:$R$301="完了")*(案件入力!$B$2:$B$301)))=0,$G64,INDEX(案件入力!$M$2:$M$301,MATCH($B64&amp;"|"&amp;TEXT(SUMPRODUCT(MAX((案件入力!$D$2:$D$301=$B64)*(案件入力!$R$2:$R$301="完了")*(案件入力!$B$2:$B$301))),"0"),案件入力!$T$2:$T$301,0))),$G64)</f>
        <v/>
      </c>
      <c r="J64" s="13" t="n"/>
    </row>
    <row r="65">
      <c r="A65" s="13" t="n"/>
      <c r="B65" s="13" t="n"/>
      <c r="C65" s="13" t="n"/>
      <c r="D65" s="13" t="n"/>
      <c r="E65" s="13" t="n"/>
      <c r="F65" s="43" t="n"/>
      <c r="G65" s="43" t="n"/>
      <c r="H65" s="42">
        <f>IFERROR(IF(SUMPRODUCT(MAX((案件入力!$D$2:$D$301=$B65)*(案件入力!$R$2:$R$301="完了")*(案件入力!$B$2:$B$301)))=0,$F65,INDEX(案件入力!$I$2:$I$301,MATCH($B65&amp;"|"&amp;TEXT(SUMPRODUCT(MAX((案件入力!$D$2:$D$301=$B65)*(案件入力!$R$2:$R$301="完了")*(案件入力!$B$2:$B$301))),"0"),案件入力!$T$2:$T$301,0))),$F65)</f>
        <v/>
      </c>
      <c r="I65" s="42">
        <f>IFERROR(IF(SUMPRODUCT(MAX((案件入力!$D$2:$D$301=$B65)*(案件入力!$R$2:$R$301="完了")*(案件入力!$B$2:$B$301)))=0,$G65,INDEX(案件入力!$M$2:$M$301,MATCH($B65&amp;"|"&amp;TEXT(SUMPRODUCT(MAX((案件入力!$D$2:$D$301=$B65)*(案件入力!$R$2:$R$301="完了")*(案件入力!$B$2:$B$301))),"0"),案件入力!$T$2:$T$301,0))),$G65)</f>
        <v/>
      </c>
      <c r="J65" s="13" t="n"/>
    </row>
    <row r="66">
      <c r="A66" s="13" t="n"/>
      <c r="B66" s="13" t="n"/>
      <c r="C66" s="13" t="n"/>
      <c r="D66" s="13" t="n"/>
      <c r="E66" s="13" t="n"/>
      <c r="F66" s="43" t="n"/>
      <c r="G66" s="43" t="n"/>
      <c r="H66" s="42">
        <f>IFERROR(IF(SUMPRODUCT(MAX((案件入力!$D$2:$D$301=$B66)*(案件入力!$R$2:$R$301="完了")*(案件入力!$B$2:$B$301)))=0,$F66,INDEX(案件入力!$I$2:$I$301,MATCH($B66&amp;"|"&amp;TEXT(SUMPRODUCT(MAX((案件入力!$D$2:$D$301=$B66)*(案件入力!$R$2:$R$301="完了")*(案件入力!$B$2:$B$301))),"0"),案件入力!$T$2:$T$301,0))),$F66)</f>
        <v/>
      </c>
      <c r="I66" s="42">
        <f>IFERROR(IF(SUMPRODUCT(MAX((案件入力!$D$2:$D$301=$B66)*(案件入力!$R$2:$R$301="完了")*(案件入力!$B$2:$B$301)))=0,$G66,INDEX(案件入力!$M$2:$M$301,MATCH($B66&amp;"|"&amp;TEXT(SUMPRODUCT(MAX((案件入力!$D$2:$D$301=$B66)*(案件入力!$R$2:$R$301="完了")*(案件入力!$B$2:$B$301))),"0"),案件入力!$T$2:$T$301,0))),$G66)</f>
        <v/>
      </c>
      <c r="J66" s="13" t="n"/>
    </row>
    <row r="67">
      <c r="A67" s="13" t="n"/>
      <c r="B67" s="13" t="n"/>
      <c r="C67" s="13" t="n"/>
      <c r="D67" s="13" t="n"/>
      <c r="E67" s="13" t="n"/>
      <c r="F67" s="43" t="n"/>
      <c r="G67" s="43" t="n"/>
      <c r="H67" s="42">
        <f>IFERROR(IF(SUMPRODUCT(MAX((案件入力!$D$2:$D$301=$B67)*(案件入力!$R$2:$R$301="完了")*(案件入力!$B$2:$B$301)))=0,$F67,INDEX(案件入力!$I$2:$I$301,MATCH($B67&amp;"|"&amp;TEXT(SUMPRODUCT(MAX((案件入力!$D$2:$D$301=$B67)*(案件入力!$R$2:$R$301="完了")*(案件入力!$B$2:$B$301))),"0"),案件入力!$T$2:$T$301,0))),$F67)</f>
        <v/>
      </c>
      <c r="I67" s="42">
        <f>IFERROR(IF(SUMPRODUCT(MAX((案件入力!$D$2:$D$301=$B67)*(案件入力!$R$2:$R$301="完了")*(案件入力!$B$2:$B$301)))=0,$G67,INDEX(案件入力!$M$2:$M$301,MATCH($B67&amp;"|"&amp;TEXT(SUMPRODUCT(MAX((案件入力!$D$2:$D$301=$B67)*(案件入力!$R$2:$R$301="完了")*(案件入力!$B$2:$B$301))),"0"),案件入力!$T$2:$T$301,0))),$G67)</f>
        <v/>
      </c>
      <c r="J67" s="13" t="n"/>
    </row>
    <row r="68">
      <c r="A68" s="13" t="n"/>
      <c r="B68" s="13" t="n"/>
      <c r="C68" s="13" t="n"/>
      <c r="D68" s="13" t="n"/>
      <c r="E68" s="13" t="n"/>
      <c r="F68" s="43" t="n"/>
      <c r="G68" s="43" t="n"/>
      <c r="H68" s="42">
        <f>IFERROR(IF(SUMPRODUCT(MAX((案件入力!$D$2:$D$301=$B68)*(案件入力!$R$2:$R$301="完了")*(案件入力!$B$2:$B$301)))=0,$F68,INDEX(案件入力!$I$2:$I$301,MATCH($B68&amp;"|"&amp;TEXT(SUMPRODUCT(MAX((案件入力!$D$2:$D$301=$B68)*(案件入力!$R$2:$R$301="完了")*(案件入力!$B$2:$B$301))),"0"),案件入力!$T$2:$T$301,0))),$F68)</f>
        <v/>
      </c>
      <c r="I68" s="42">
        <f>IFERROR(IF(SUMPRODUCT(MAX((案件入力!$D$2:$D$301=$B68)*(案件入力!$R$2:$R$301="完了")*(案件入力!$B$2:$B$301)))=0,$G68,INDEX(案件入力!$M$2:$M$301,MATCH($B68&amp;"|"&amp;TEXT(SUMPRODUCT(MAX((案件入力!$D$2:$D$301=$B68)*(案件入力!$R$2:$R$301="完了")*(案件入力!$B$2:$B$301))),"0"),案件入力!$T$2:$T$301,0))),$G68)</f>
        <v/>
      </c>
      <c r="J68" s="13" t="n"/>
    </row>
    <row r="69">
      <c r="A69" s="13" t="n"/>
      <c r="B69" s="13" t="n"/>
      <c r="C69" s="13" t="n"/>
      <c r="D69" s="13" t="n"/>
      <c r="E69" s="13" t="n"/>
      <c r="F69" s="43" t="n"/>
      <c r="G69" s="43" t="n"/>
      <c r="H69" s="42">
        <f>IFERROR(IF(SUMPRODUCT(MAX((案件入力!$D$2:$D$301=$B69)*(案件入力!$R$2:$R$301="完了")*(案件入力!$B$2:$B$301)))=0,$F69,INDEX(案件入力!$I$2:$I$301,MATCH($B69&amp;"|"&amp;TEXT(SUMPRODUCT(MAX((案件入力!$D$2:$D$301=$B69)*(案件入力!$R$2:$R$301="完了")*(案件入力!$B$2:$B$301))),"0"),案件入力!$T$2:$T$301,0))),$F69)</f>
        <v/>
      </c>
      <c r="I69" s="42">
        <f>IFERROR(IF(SUMPRODUCT(MAX((案件入力!$D$2:$D$301=$B69)*(案件入力!$R$2:$R$301="完了")*(案件入力!$B$2:$B$301)))=0,$G69,INDEX(案件入力!$M$2:$M$301,MATCH($B69&amp;"|"&amp;TEXT(SUMPRODUCT(MAX((案件入力!$D$2:$D$301=$B69)*(案件入力!$R$2:$R$301="完了")*(案件入力!$B$2:$B$301))),"0"),案件入力!$T$2:$T$301,0))),$G69)</f>
        <v/>
      </c>
      <c r="J69" s="13" t="n"/>
    </row>
    <row r="70">
      <c r="A70" s="13" t="n"/>
      <c r="B70" s="13" t="n"/>
      <c r="C70" s="13" t="n"/>
      <c r="D70" s="13" t="n"/>
      <c r="E70" s="13" t="n"/>
      <c r="F70" s="43" t="n"/>
      <c r="G70" s="43" t="n"/>
      <c r="H70" s="42">
        <f>IFERROR(IF(SUMPRODUCT(MAX((案件入力!$D$2:$D$301=$B70)*(案件入力!$R$2:$R$301="完了")*(案件入力!$B$2:$B$301)))=0,$F70,INDEX(案件入力!$I$2:$I$301,MATCH($B70&amp;"|"&amp;TEXT(SUMPRODUCT(MAX((案件入力!$D$2:$D$301=$B70)*(案件入力!$R$2:$R$301="完了")*(案件入力!$B$2:$B$301))),"0"),案件入力!$T$2:$T$301,0))),$F70)</f>
        <v/>
      </c>
      <c r="I70" s="42">
        <f>IFERROR(IF(SUMPRODUCT(MAX((案件入力!$D$2:$D$301=$B70)*(案件入力!$R$2:$R$301="完了")*(案件入力!$B$2:$B$301)))=0,$G70,INDEX(案件入力!$M$2:$M$301,MATCH($B70&amp;"|"&amp;TEXT(SUMPRODUCT(MAX((案件入力!$D$2:$D$301=$B70)*(案件入力!$R$2:$R$301="完了")*(案件入力!$B$2:$B$301))),"0"),案件入力!$T$2:$T$301,0))),$G70)</f>
        <v/>
      </c>
      <c r="J70" s="13" t="n"/>
    </row>
    <row r="71">
      <c r="A71" s="13" t="n"/>
      <c r="B71" s="13" t="n"/>
      <c r="C71" s="13" t="n"/>
      <c r="D71" s="13" t="n"/>
      <c r="E71" s="13" t="n"/>
      <c r="F71" s="43" t="n"/>
      <c r="G71" s="43" t="n"/>
      <c r="H71" s="42">
        <f>IFERROR(IF(SUMPRODUCT(MAX((案件入力!$D$2:$D$301=$B71)*(案件入力!$R$2:$R$301="完了")*(案件入力!$B$2:$B$301)))=0,$F71,INDEX(案件入力!$I$2:$I$301,MATCH($B71&amp;"|"&amp;TEXT(SUMPRODUCT(MAX((案件入力!$D$2:$D$301=$B71)*(案件入力!$R$2:$R$301="完了")*(案件入力!$B$2:$B$301))),"0"),案件入力!$T$2:$T$301,0))),$F71)</f>
        <v/>
      </c>
      <c r="I71" s="42">
        <f>IFERROR(IF(SUMPRODUCT(MAX((案件入力!$D$2:$D$301=$B71)*(案件入力!$R$2:$R$301="完了")*(案件入力!$B$2:$B$301)))=0,$G71,INDEX(案件入力!$M$2:$M$301,MATCH($B71&amp;"|"&amp;TEXT(SUMPRODUCT(MAX((案件入力!$D$2:$D$301=$B71)*(案件入力!$R$2:$R$301="完了")*(案件入力!$B$2:$B$301))),"0"),案件入力!$T$2:$T$301,0))),$G71)</f>
        <v/>
      </c>
      <c r="J71" s="13" t="n"/>
    </row>
    <row r="72">
      <c r="A72" s="13" t="n"/>
      <c r="B72" s="13" t="n"/>
      <c r="C72" s="13" t="n"/>
      <c r="D72" s="13" t="n"/>
      <c r="E72" s="13" t="n"/>
      <c r="F72" s="43" t="n"/>
      <c r="G72" s="43" t="n"/>
      <c r="H72" s="42">
        <f>IFERROR(IF(SUMPRODUCT(MAX((案件入力!$D$2:$D$301=$B72)*(案件入力!$R$2:$R$301="完了")*(案件入力!$B$2:$B$301)))=0,$F72,INDEX(案件入力!$I$2:$I$301,MATCH($B72&amp;"|"&amp;TEXT(SUMPRODUCT(MAX((案件入力!$D$2:$D$301=$B72)*(案件入力!$R$2:$R$301="完了")*(案件入力!$B$2:$B$301))),"0"),案件入力!$T$2:$T$301,0))),$F72)</f>
        <v/>
      </c>
      <c r="I72" s="42">
        <f>IFERROR(IF(SUMPRODUCT(MAX((案件入力!$D$2:$D$301=$B72)*(案件入力!$R$2:$R$301="完了")*(案件入力!$B$2:$B$301)))=0,$G72,INDEX(案件入力!$M$2:$M$301,MATCH($B72&amp;"|"&amp;TEXT(SUMPRODUCT(MAX((案件入力!$D$2:$D$301=$B72)*(案件入力!$R$2:$R$301="完了")*(案件入力!$B$2:$B$301))),"0"),案件入力!$T$2:$T$301,0))),$G72)</f>
        <v/>
      </c>
      <c r="J72" s="13" t="n"/>
    </row>
    <row r="73">
      <c r="A73" s="13" t="n"/>
      <c r="B73" s="13" t="n"/>
      <c r="C73" s="13" t="n"/>
      <c r="D73" s="13" t="n"/>
      <c r="E73" s="13" t="n"/>
      <c r="F73" s="43" t="n"/>
      <c r="G73" s="43" t="n"/>
      <c r="H73" s="42">
        <f>IFERROR(IF(SUMPRODUCT(MAX((案件入力!$D$2:$D$301=$B73)*(案件入力!$R$2:$R$301="完了")*(案件入力!$B$2:$B$301)))=0,$F73,INDEX(案件入力!$I$2:$I$301,MATCH($B73&amp;"|"&amp;TEXT(SUMPRODUCT(MAX((案件入力!$D$2:$D$301=$B73)*(案件入力!$R$2:$R$301="完了")*(案件入力!$B$2:$B$301))),"0"),案件入力!$T$2:$T$301,0))),$F73)</f>
        <v/>
      </c>
      <c r="I73" s="42">
        <f>IFERROR(IF(SUMPRODUCT(MAX((案件入力!$D$2:$D$301=$B73)*(案件入力!$R$2:$R$301="完了")*(案件入力!$B$2:$B$301)))=0,$G73,INDEX(案件入力!$M$2:$M$301,MATCH($B73&amp;"|"&amp;TEXT(SUMPRODUCT(MAX((案件入力!$D$2:$D$301=$B73)*(案件入力!$R$2:$R$301="完了")*(案件入力!$B$2:$B$301))),"0"),案件入力!$T$2:$T$301,0))),$G73)</f>
        <v/>
      </c>
      <c r="J73" s="13" t="n"/>
    </row>
    <row r="74">
      <c r="A74" s="13" t="n"/>
      <c r="B74" s="13" t="n"/>
      <c r="C74" s="13" t="n"/>
      <c r="D74" s="13" t="n"/>
      <c r="E74" s="13" t="n"/>
      <c r="F74" s="43" t="n"/>
      <c r="G74" s="43" t="n"/>
      <c r="H74" s="42">
        <f>IFERROR(IF(SUMPRODUCT(MAX((案件入力!$D$2:$D$301=$B74)*(案件入力!$R$2:$R$301="完了")*(案件入力!$B$2:$B$301)))=0,$F74,INDEX(案件入力!$I$2:$I$301,MATCH($B74&amp;"|"&amp;TEXT(SUMPRODUCT(MAX((案件入力!$D$2:$D$301=$B74)*(案件入力!$R$2:$R$301="完了")*(案件入力!$B$2:$B$301))),"0"),案件入力!$T$2:$T$301,0))),$F74)</f>
        <v/>
      </c>
      <c r="I74" s="42">
        <f>IFERROR(IF(SUMPRODUCT(MAX((案件入力!$D$2:$D$301=$B74)*(案件入力!$R$2:$R$301="完了")*(案件入力!$B$2:$B$301)))=0,$G74,INDEX(案件入力!$M$2:$M$301,MATCH($B74&amp;"|"&amp;TEXT(SUMPRODUCT(MAX((案件入力!$D$2:$D$301=$B74)*(案件入力!$R$2:$R$301="完了")*(案件入力!$B$2:$B$301))),"0"),案件入力!$T$2:$T$301,0))),$G74)</f>
        <v/>
      </c>
      <c r="J74" s="13" t="n"/>
    </row>
    <row r="75">
      <c r="A75" s="13" t="n"/>
      <c r="B75" s="13" t="n"/>
      <c r="C75" s="13" t="n"/>
      <c r="D75" s="13" t="n"/>
      <c r="E75" s="13" t="n"/>
      <c r="F75" s="43" t="n"/>
      <c r="G75" s="43" t="n"/>
      <c r="H75" s="42">
        <f>IFERROR(IF(SUMPRODUCT(MAX((案件入力!$D$2:$D$301=$B75)*(案件入力!$R$2:$R$301="完了")*(案件入力!$B$2:$B$301)))=0,$F75,INDEX(案件入力!$I$2:$I$301,MATCH($B75&amp;"|"&amp;TEXT(SUMPRODUCT(MAX((案件入力!$D$2:$D$301=$B75)*(案件入力!$R$2:$R$301="完了")*(案件入力!$B$2:$B$301))),"0"),案件入力!$T$2:$T$301,0))),$F75)</f>
        <v/>
      </c>
      <c r="I75" s="42">
        <f>IFERROR(IF(SUMPRODUCT(MAX((案件入力!$D$2:$D$301=$B75)*(案件入力!$R$2:$R$301="完了")*(案件入力!$B$2:$B$301)))=0,$G75,INDEX(案件入力!$M$2:$M$301,MATCH($B75&amp;"|"&amp;TEXT(SUMPRODUCT(MAX((案件入力!$D$2:$D$301=$B75)*(案件入力!$R$2:$R$301="完了")*(案件入力!$B$2:$B$301))),"0"),案件入力!$T$2:$T$301,0))),$G75)</f>
        <v/>
      </c>
      <c r="J75" s="13" t="n"/>
    </row>
    <row r="76">
      <c r="A76" s="13" t="n"/>
      <c r="B76" s="13" t="n"/>
      <c r="C76" s="13" t="n"/>
      <c r="D76" s="13" t="n"/>
      <c r="E76" s="13" t="n"/>
      <c r="F76" s="43" t="n"/>
      <c r="G76" s="43" t="n"/>
      <c r="H76" s="42">
        <f>IFERROR(IF(SUMPRODUCT(MAX((案件入力!$D$2:$D$301=$B76)*(案件入力!$R$2:$R$301="完了")*(案件入力!$B$2:$B$301)))=0,$F76,INDEX(案件入力!$I$2:$I$301,MATCH($B76&amp;"|"&amp;TEXT(SUMPRODUCT(MAX((案件入力!$D$2:$D$301=$B76)*(案件入力!$R$2:$R$301="完了")*(案件入力!$B$2:$B$301))),"0"),案件入力!$T$2:$T$301,0))),$F76)</f>
        <v/>
      </c>
      <c r="I76" s="42">
        <f>IFERROR(IF(SUMPRODUCT(MAX((案件入力!$D$2:$D$301=$B76)*(案件入力!$R$2:$R$301="完了")*(案件入力!$B$2:$B$301)))=0,$G76,INDEX(案件入力!$M$2:$M$301,MATCH($B76&amp;"|"&amp;TEXT(SUMPRODUCT(MAX((案件入力!$D$2:$D$301=$B76)*(案件入力!$R$2:$R$301="完了")*(案件入力!$B$2:$B$301))),"0"),案件入力!$T$2:$T$301,0))),$G76)</f>
        <v/>
      </c>
      <c r="J76" s="13" t="n"/>
    </row>
    <row r="77">
      <c r="A77" s="13" t="n"/>
      <c r="B77" s="13" t="n"/>
      <c r="C77" s="13" t="n"/>
      <c r="D77" s="13" t="n"/>
      <c r="E77" s="13" t="n"/>
      <c r="F77" s="43" t="n"/>
      <c r="G77" s="43" t="n"/>
      <c r="H77" s="42">
        <f>IFERROR(IF(SUMPRODUCT(MAX((案件入力!$D$2:$D$301=$B77)*(案件入力!$R$2:$R$301="完了")*(案件入力!$B$2:$B$301)))=0,$F77,INDEX(案件入力!$I$2:$I$301,MATCH($B77&amp;"|"&amp;TEXT(SUMPRODUCT(MAX((案件入力!$D$2:$D$301=$B77)*(案件入力!$R$2:$R$301="完了")*(案件入力!$B$2:$B$301))),"0"),案件入力!$T$2:$T$301,0))),$F77)</f>
        <v/>
      </c>
      <c r="I77" s="42">
        <f>IFERROR(IF(SUMPRODUCT(MAX((案件入力!$D$2:$D$301=$B77)*(案件入力!$R$2:$R$301="完了")*(案件入力!$B$2:$B$301)))=0,$G77,INDEX(案件入力!$M$2:$M$301,MATCH($B77&amp;"|"&amp;TEXT(SUMPRODUCT(MAX((案件入力!$D$2:$D$301=$B77)*(案件入力!$R$2:$R$301="完了")*(案件入力!$B$2:$B$301))),"0"),案件入力!$T$2:$T$301,0))),$G77)</f>
        <v/>
      </c>
      <c r="J77" s="13" t="n"/>
    </row>
    <row r="78">
      <c r="A78" s="13" t="n"/>
      <c r="B78" s="13" t="n"/>
      <c r="C78" s="13" t="n"/>
      <c r="D78" s="13" t="n"/>
      <c r="E78" s="13" t="n"/>
      <c r="F78" s="43" t="n"/>
      <c r="G78" s="43" t="n"/>
      <c r="H78" s="42">
        <f>IFERROR(IF(SUMPRODUCT(MAX((案件入力!$D$2:$D$301=$B78)*(案件入力!$R$2:$R$301="完了")*(案件入力!$B$2:$B$301)))=0,$F78,INDEX(案件入力!$I$2:$I$301,MATCH($B78&amp;"|"&amp;TEXT(SUMPRODUCT(MAX((案件入力!$D$2:$D$301=$B78)*(案件入力!$R$2:$R$301="完了")*(案件入力!$B$2:$B$301))),"0"),案件入力!$T$2:$T$301,0))),$F78)</f>
        <v/>
      </c>
      <c r="I78" s="42">
        <f>IFERROR(IF(SUMPRODUCT(MAX((案件入力!$D$2:$D$301=$B78)*(案件入力!$R$2:$R$301="完了")*(案件入力!$B$2:$B$301)))=0,$G78,INDEX(案件入力!$M$2:$M$301,MATCH($B78&amp;"|"&amp;TEXT(SUMPRODUCT(MAX((案件入力!$D$2:$D$301=$B78)*(案件入力!$R$2:$R$301="完了")*(案件入力!$B$2:$B$301))),"0"),案件入力!$T$2:$T$301,0))),$G78)</f>
        <v/>
      </c>
      <c r="J78" s="13" t="n"/>
    </row>
    <row r="79">
      <c r="A79" s="13" t="n"/>
      <c r="B79" s="13" t="n"/>
      <c r="C79" s="13" t="n"/>
      <c r="D79" s="13" t="n"/>
      <c r="E79" s="13" t="n"/>
      <c r="F79" s="43" t="n"/>
      <c r="G79" s="43" t="n"/>
      <c r="H79" s="42">
        <f>IFERROR(IF(SUMPRODUCT(MAX((案件入力!$D$2:$D$301=$B79)*(案件入力!$R$2:$R$301="完了")*(案件入力!$B$2:$B$301)))=0,$F79,INDEX(案件入力!$I$2:$I$301,MATCH($B79&amp;"|"&amp;TEXT(SUMPRODUCT(MAX((案件入力!$D$2:$D$301=$B79)*(案件入力!$R$2:$R$301="完了")*(案件入力!$B$2:$B$301))),"0"),案件入力!$T$2:$T$301,0))),$F79)</f>
        <v/>
      </c>
      <c r="I79" s="42">
        <f>IFERROR(IF(SUMPRODUCT(MAX((案件入力!$D$2:$D$301=$B79)*(案件入力!$R$2:$R$301="完了")*(案件入力!$B$2:$B$301)))=0,$G79,INDEX(案件入力!$M$2:$M$301,MATCH($B79&amp;"|"&amp;TEXT(SUMPRODUCT(MAX((案件入力!$D$2:$D$301=$B79)*(案件入力!$R$2:$R$301="完了")*(案件入力!$B$2:$B$301))),"0"),案件入力!$T$2:$T$301,0))),$G79)</f>
        <v/>
      </c>
      <c r="J79" s="13" t="n"/>
    </row>
    <row r="80">
      <c r="A80" s="13" t="n"/>
      <c r="B80" s="13" t="n"/>
      <c r="C80" s="13" t="n"/>
      <c r="D80" s="13" t="n"/>
      <c r="E80" s="13" t="n"/>
      <c r="F80" s="43" t="n"/>
      <c r="G80" s="43" t="n"/>
      <c r="H80" s="42">
        <f>IFERROR(IF(SUMPRODUCT(MAX((案件入力!$D$2:$D$301=$B80)*(案件入力!$R$2:$R$301="完了")*(案件入力!$B$2:$B$301)))=0,$F80,INDEX(案件入力!$I$2:$I$301,MATCH($B80&amp;"|"&amp;TEXT(SUMPRODUCT(MAX((案件入力!$D$2:$D$301=$B80)*(案件入力!$R$2:$R$301="完了")*(案件入力!$B$2:$B$301))),"0"),案件入力!$T$2:$T$301,0))),$F80)</f>
        <v/>
      </c>
      <c r="I80" s="42">
        <f>IFERROR(IF(SUMPRODUCT(MAX((案件入力!$D$2:$D$301=$B80)*(案件入力!$R$2:$R$301="完了")*(案件入力!$B$2:$B$301)))=0,$G80,INDEX(案件入力!$M$2:$M$301,MATCH($B80&amp;"|"&amp;TEXT(SUMPRODUCT(MAX((案件入力!$D$2:$D$301=$B80)*(案件入力!$R$2:$R$301="完了")*(案件入力!$B$2:$B$301))),"0"),案件入力!$T$2:$T$301,0))),$G80)</f>
        <v/>
      </c>
      <c r="J80" s="13" t="n"/>
    </row>
    <row r="81">
      <c r="A81" s="13" t="n"/>
      <c r="B81" s="13" t="n"/>
      <c r="C81" s="13" t="n"/>
      <c r="D81" s="13" t="n"/>
      <c r="E81" s="13" t="n"/>
      <c r="F81" s="43" t="n"/>
      <c r="G81" s="43" t="n"/>
      <c r="H81" s="42">
        <f>IFERROR(IF(SUMPRODUCT(MAX((案件入力!$D$2:$D$301=$B81)*(案件入力!$R$2:$R$301="完了")*(案件入力!$B$2:$B$301)))=0,$F81,INDEX(案件入力!$I$2:$I$301,MATCH($B81&amp;"|"&amp;TEXT(SUMPRODUCT(MAX((案件入力!$D$2:$D$301=$B81)*(案件入力!$R$2:$R$301="完了")*(案件入力!$B$2:$B$301))),"0"),案件入力!$T$2:$T$301,0))),$F81)</f>
        <v/>
      </c>
      <c r="I81" s="42">
        <f>IFERROR(IF(SUMPRODUCT(MAX((案件入力!$D$2:$D$301=$B81)*(案件入力!$R$2:$R$301="完了")*(案件入力!$B$2:$B$301)))=0,$G81,INDEX(案件入力!$M$2:$M$301,MATCH($B81&amp;"|"&amp;TEXT(SUMPRODUCT(MAX((案件入力!$D$2:$D$301=$B81)*(案件入力!$R$2:$R$301="完了")*(案件入力!$B$2:$B$301))),"0"),案件入力!$T$2:$T$301,0))),$G81)</f>
        <v/>
      </c>
      <c r="J81" s="13" t="n"/>
    </row>
    <row r="82">
      <c r="A82" s="13" t="n"/>
      <c r="B82" s="13" t="n"/>
      <c r="C82" s="13" t="n"/>
      <c r="D82" s="13" t="n"/>
      <c r="E82" s="13" t="n"/>
      <c r="F82" s="43" t="n"/>
      <c r="G82" s="43" t="n"/>
      <c r="H82" s="42">
        <f>IFERROR(IF(SUMPRODUCT(MAX((案件入力!$D$2:$D$301=$B82)*(案件入力!$R$2:$R$301="完了")*(案件入力!$B$2:$B$301)))=0,$F82,INDEX(案件入力!$I$2:$I$301,MATCH($B82&amp;"|"&amp;TEXT(SUMPRODUCT(MAX((案件入力!$D$2:$D$301=$B82)*(案件入力!$R$2:$R$301="完了")*(案件入力!$B$2:$B$301))),"0"),案件入力!$T$2:$T$301,0))),$F82)</f>
        <v/>
      </c>
      <c r="I82" s="42">
        <f>IFERROR(IF(SUMPRODUCT(MAX((案件入力!$D$2:$D$301=$B82)*(案件入力!$R$2:$R$301="完了")*(案件入力!$B$2:$B$301)))=0,$G82,INDEX(案件入力!$M$2:$M$301,MATCH($B82&amp;"|"&amp;TEXT(SUMPRODUCT(MAX((案件入力!$D$2:$D$301=$B82)*(案件入力!$R$2:$R$301="完了")*(案件入力!$B$2:$B$301))),"0"),案件入力!$T$2:$T$301,0))),$G82)</f>
        <v/>
      </c>
      <c r="J82" s="13" t="n"/>
    </row>
    <row r="83">
      <c r="A83" s="13" t="n"/>
      <c r="B83" s="13" t="n"/>
      <c r="C83" s="13" t="n"/>
      <c r="D83" s="13" t="n"/>
      <c r="E83" s="13" t="n"/>
      <c r="F83" s="43" t="n"/>
      <c r="G83" s="43" t="n"/>
      <c r="H83" s="42">
        <f>IFERROR(IF(SUMPRODUCT(MAX((案件入力!$D$2:$D$301=$B83)*(案件入力!$R$2:$R$301="完了")*(案件入力!$B$2:$B$301)))=0,$F83,INDEX(案件入力!$I$2:$I$301,MATCH($B83&amp;"|"&amp;TEXT(SUMPRODUCT(MAX((案件入力!$D$2:$D$301=$B83)*(案件入力!$R$2:$R$301="完了")*(案件入力!$B$2:$B$301))),"0"),案件入力!$T$2:$T$301,0))),$F83)</f>
        <v/>
      </c>
      <c r="I83" s="42">
        <f>IFERROR(IF(SUMPRODUCT(MAX((案件入力!$D$2:$D$301=$B83)*(案件入力!$R$2:$R$301="完了")*(案件入力!$B$2:$B$301)))=0,$G83,INDEX(案件入力!$M$2:$M$301,MATCH($B83&amp;"|"&amp;TEXT(SUMPRODUCT(MAX((案件入力!$D$2:$D$301=$B83)*(案件入力!$R$2:$R$301="完了")*(案件入力!$B$2:$B$301))),"0"),案件入力!$T$2:$T$301,0))),$G83)</f>
        <v/>
      </c>
      <c r="J83" s="13" t="n"/>
    </row>
    <row r="84">
      <c r="A84" s="13" t="n"/>
      <c r="B84" s="13" t="n"/>
      <c r="C84" s="13" t="n"/>
      <c r="D84" s="13" t="n"/>
      <c r="E84" s="13" t="n"/>
      <c r="F84" s="43" t="n"/>
      <c r="G84" s="43" t="n"/>
      <c r="H84" s="42">
        <f>IFERROR(IF(SUMPRODUCT(MAX((案件入力!$D$2:$D$301=$B84)*(案件入力!$R$2:$R$301="完了")*(案件入力!$B$2:$B$301)))=0,$F84,INDEX(案件入力!$I$2:$I$301,MATCH($B84&amp;"|"&amp;TEXT(SUMPRODUCT(MAX((案件入力!$D$2:$D$301=$B84)*(案件入力!$R$2:$R$301="完了")*(案件入力!$B$2:$B$301))),"0"),案件入力!$T$2:$T$301,0))),$F84)</f>
        <v/>
      </c>
      <c r="I84" s="42">
        <f>IFERROR(IF(SUMPRODUCT(MAX((案件入力!$D$2:$D$301=$B84)*(案件入力!$R$2:$R$301="完了")*(案件入力!$B$2:$B$301)))=0,$G84,INDEX(案件入力!$M$2:$M$301,MATCH($B84&amp;"|"&amp;TEXT(SUMPRODUCT(MAX((案件入力!$D$2:$D$301=$B84)*(案件入力!$R$2:$R$301="完了")*(案件入力!$B$2:$B$301))),"0"),案件入力!$T$2:$T$301,0))),$G84)</f>
        <v/>
      </c>
      <c r="J84" s="13" t="n"/>
    </row>
    <row r="85">
      <c r="A85" s="13" t="n"/>
      <c r="B85" s="13" t="n"/>
      <c r="C85" s="13" t="n"/>
      <c r="D85" s="13" t="n"/>
      <c r="E85" s="13" t="n"/>
      <c r="F85" s="43" t="n"/>
      <c r="G85" s="43" t="n"/>
      <c r="H85" s="42">
        <f>IFERROR(IF(SUMPRODUCT(MAX((案件入力!$D$2:$D$301=$B85)*(案件入力!$R$2:$R$301="完了")*(案件入力!$B$2:$B$301)))=0,$F85,INDEX(案件入力!$I$2:$I$301,MATCH($B85&amp;"|"&amp;TEXT(SUMPRODUCT(MAX((案件入力!$D$2:$D$301=$B85)*(案件入力!$R$2:$R$301="完了")*(案件入力!$B$2:$B$301))),"0"),案件入力!$T$2:$T$301,0))),$F85)</f>
        <v/>
      </c>
      <c r="I85" s="42">
        <f>IFERROR(IF(SUMPRODUCT(MAX((案件入力!$D$2:$D$301=$B85)*(案件入力!$R$2:$R$301="完了")*(案件入力!$B$2:$B$301)))=0,$G85,INDEX(案件入力!$M$2:$M$301,MATCH($B85&amp;"|"&amp;TEXT(SUMPRODUCT(MAX((案件入力!$D$2:$D$301=$B85)*(案件入力!$R$2:$R$301="完了")*(案件入力!$B$2:$B$301))),"0"),案件入力!$T$2:$T$301,0))),$G85)</f>
        <v/>
      </c>
      <c r="J85" s="13" t="n"/>
    </row>
    <row r="86">
      <c r="A86" s="13" t="n"/>
      <c r="B86" s="13" t="n"/>
      <c r="C86" s="13" t="n"/>
      <c r="D86" s="13" t="n"/>
      <c r="E86" s="13" t="n"/>
      <c r="F86" s="43" t="n"/>
      <c r="G86" s="43" t="n"/>
      <c r="H86" s="42">
        <f>IFERROR(IF(SUMPRODUCT(MAX((案件入力!$D$2:$D$301=$B86)*(案件入力!$R$2:$R$301="完了")*(案件入力!$B$2:$B$301)))=0,$F86,INDEX(案件入力!$I$2:$I$301,MATCH($B86&amp;"|"&amp;TEXT(SUMPRODUCT(MAX((案件入力!$D$2:$D$301=$B86)*(案件入力!$R$2:$R$301="完了")*(案件入力!$B$2:$B$301))),"0"),案件入力!$T$2:$T$301,0))),$F86)</f>
        <v/>
      </c>
      <c r="I86" s="42">
        <f>IFERROR(IF(SUMPRODUCT(MAX((案件入力!$D$2:$D$301=$B86)*(案件入力!$R$2:$R$301="完了")*(案件入力!$B$2:$B$301)))=0,$G86,INDEX(案件入力!$M$2:$M$301,MATCH($B86&amp;"|"&amp;TEXT(SUMPRODUCT(MAX((案件入力!$D$2:$D$301=$B86)*(案件入力!$R$2:$R$301="完了")*(案件入力!$B$2:$B$301))),"0"),案件入力!$T$2:$T$301,0))),$G86)</f>
        <v/>
      </c>
      <c r="J86" s="13" t="n"/>
    </row>
    <row r="87">
      <c r="A87" s="13" t="n"/>
      <c r="B87" s="13" t="n"/>
      <c r="C87" s="13" t="n"/>
      <c r="D87" s="13" t="n"/>
      <c r="E87" s="13" t="n"/>
      <c r="F87" s="43" t="n"/>
      <c r="G87" s="43" t="n"/>
      <c r="H87" s="42">
        <f>IFERROR(IF(SUMPRODUCT(MAX((案件入力!$D$2:$D$301=$B87)*(案件入力!$R$2:$R$301="完了")*(案件入力!$B$2:$B$301)))=0,$F87,INDEX(案件入力!$I$2:$I$301,MATCH($B87&amp;"|"&amp;TEXT(SUMPRODUCT(MAX((案件入力!$D$2:$D$301=$B87)*(案件入力!$R$2:$R$301="完了")*(案件入力!$B$2:$B$301))),"0"),案件入力!$T$2:$T$301,0))),$F87)</f>
        <v/>
      </c>
      <c r="I87" s="42">
        <f>IFERROR(IF(SUMPRODUCT(MAX((案件入力!$D$2:$D$301=$B87)*(案件入力!$R$2:$R$301="完了")*(案件入力!$B$2:$B$301)))=0,$G87,INDEX(案件入力!$M$2:$M$301,MATCH($B87&amp;"|"&amp;TEXT(SUMPRODUCT(MAX((案件入力!$D$2:$D$301=$B87)*(案件入力!$R$2:$R$301="完了")*(案件入力!$B$2:$B$301))),"0"),案件入力!$T$2:$T$301,0))),$G87)</f>
        <v/>
      </c>
      <c r="J87" s="13" t="n"/>
    </row>
    <row r="88">
      <c r="A88" s="13" t="n"/>
      <c r="B88" s="13" t="n"/>
      <c r="C88" s="13" t="n"/>
      <c r="D88" s="13" t="n"/>
      <c r="E88" s="13" t="n"/>
      <c r="F88" s="43" t="n"/>
      <c r="G88" s="43" t="n"/>
      <c r="H88" s="42">
        <f>IFERROR(IF(SUMPRODUCT(MAX((案件入力!$D$2:$D$301=$B88)*(案件入力!$R$2:$R$301="完了")*(案件入力!$B$2:$B$301)))=0,$F88,INDEX(案件入力!$I$2:$I$301,MATCH($B88&amp;"|"&amp;TEXT(SUMPRODUCT(MAX((案件入力!$D$2:$D$301=$B88)*(案件入力!$R$2:$R$301="完了")*(案件入力!$B$2:$B$301))),"0"),案件入力!$T$2:$T$301,0))),$F88)</f>
        <v/>
      </c>
      <c r="I88" s="42">
        <f>IFERROR(IF(SUMPRODUCT(MAX((案件入力!$D$2:$D$301=$B88)*(案件入力!$R$2:$R$301="完了")*(案件入力!$B$2:$B$301)))=0,$G88,INDEX(案件入力!$M$2:$M$301,MATCH($B88&amp;"|"&amp;TEXT(SUMPRODUCT(MAX((案件入力!$D$2:$D$301=$B88)*(案件入力!$R$2:$R$301="完了")*(案件入力!$B$2:$B$301))),"0"),案件入力!$T$2:$T$301,0))),$G88)</f>
        <v/>
      </c>
      <c r="J88" s="13" t="n"/>
    </row>
    <row r="89">
      <c r="A89" s="13" t="n"/>
      <c r="B89" s="13" t="n"/>
      <c r="C89" s="13" t="n"/>
      <c r="D89" s="13" t="n"/>
      <c r="E89" s="13" t="n"/>
      <c r="F89" s="43" t="n"/>
      <c r="G89" s="43" t="n"/>
      <c r="H89" s="42">
        <f>IFERROR(IF(SUMPRODUCT(MAX((案件入力!$D$2:$D$301=$B89)*(案件入力!$R$2:$R$301="完了")*(案件入力!$B$2:$B$301)))=0,$F89,INDEX(案件入力!$I$2:$I$301,MATCH($B89&amp;"|"&amp;TEXT(SUMPRODUCT(MAX((案件入力!$D$2:$D$301=$B89)*(案件入力!$R$2:$R$301="完了")*(案件入力!$B$2:$B$301))),"0"),案件入力!$T$2:$T$301,0))),$F89)</f>
        <v/>
      </c>
      <c r="I89" s="42">
        <f>IFERROR(IF(SUMPRODUCT(MAX((案件入力!$D$2:$D$301=$B89)*(案件入力!$R$2:$R$301="完了")*(案件入力!$B$2:$B$301)))=0,$G89,INDEX(案件入力!$M$2:$M$301,MATCH($B89&amp;"|"&amp;TEXT(SUMPRODUCT(MAX((案件入力!$D$2:$D$301=$B89)*(案件入力!$R$2:$R$301="完了")*(案件入力!$B$2:$B$301))),"0"),案件入力!$T$2:$T$301,0))),$G89)</f>
        <v/>
      </c>
      <c r="J89" s="13" t="n"/>
    </row>
    <row r="90">
      <c r="A90" s="13" t="n"/>
      <c r="B90" s="13" t="n"/>
      <c r="C90" s="13" t="n"/>
      <c r="D90" s="13" t="n"/>
      <c r="E90" s="13" t="n"/>
      <c r="F90" s="43" t="n"/>
      <c r="G90" s="43" t="n"/>
      <c r="H90" s="42">
        <f>IFERROR(IF(SUMPRODUCT(MAX((案件入力!$D$2:$D$301=$B90)*(案件入力!$R$2:$R$301="完了")*(案件入力!$B$2:$B$301)))=0,$F90,INDEX(案件入力!$I$2:$I$301,MATCH($B90&amp;"|"&amp;TEXT(SUMPRODUCT(MAX((案件入力!$D$2:$D$301=$B90)*(案件入力!$R$2:$R$301="完了")*(案件入力!$B$2:$B$301))),"0"),案件入力!$T$2:$T$301,0))),$F90)</f>
        <v/>
      </c>
      <c r="I90" s="42">
        <f>IFERROR(IF(SUMPRODUCT(MAX((案件入力!$D$2:$D$301=$B90)*(案件入力!$R$2:$R$301="完了")*(案件入力!$B$2:$B$301)))=0,$G90,INDEX(案件入力!$M$2:$M$301,MATCH($B90&amp;"|"&amp;TEXT(SUMPRODUCT(MAX((案件入力!$D$2:$D$301=$B90)*(案件入力!$R$2:$R$301="完了")*(案件入力!$B$2:$B$301))),"0"),案件入力!$T$2:$T$301,0))),$G90)</f>
        <v/>
      </c>
      <c r="J90" s="13" t="n"/>
    </row>
    <row r="91">
      <c r="A91" s="13" t="n"/>
      <c r="B91" s="13" t="n"/>
      <c r="C91" s="13" t="n"/>
      <c r="D91" s="13" t="n"/>
      <c r="E91" s="13" t="n"/>
      <c r="F91" s="43" t="n"/>
      <c r="G91" s="43" t="n"/>
      <c r="H91" s="42">
        <f>IFERROR(IF(SUMPRODUCT(MAX((案件入力!$D$2:$D$301=$B91)*(案件入力!$R$2:$R$301="完了")*(案件入力!$B$2:$B$301)))=0,$F91,INDEX(案件入力!$I$2:$I$301,MATCH($B91&amp;"|"&amp;TEXT(SUMPRODUCT(MAX((案件入力!$D$2:$D$301=$B91)*(案件入力!$R$2:$R$301="完了")*(案件入力!$B$2:$B$301))),"0"),案件入力!$T$2:$T$301,0))),$F91)</f>
        <v/>
      </c>
      <c r="I91" s="42">
        <f>IFERROR(IF(SUMPRODUCT(MAX((案件入力!$D$2:$D$301=$B91)*(案件入力!$R$2:$R$301="完了")*(案件入力!$B$2:$B$301)))=0,$G91,INDEX(案件入力!$M$2:$M$301,MATCH($B91&amp;"|"&amp;TEXT(SUMPRODUCT(MAX((案件入力!$D$2:$D$301=$B91)*(案件入力!$R$2:$R$301="完了")*(案件入力!$B$2:$B$301))),"0"),案件入力!$T$2:$T$301,0))),$G91)</f>
        <v/>
      </c>
      <c r="J91" s="13" t="n"/>
    </row>
    <row r="92">
      <c r="A92" s="13" t="n"/>
      <c r="B92" s="13" t="n"/>
      <c r="C92" s="13" t="n"/>
      <c r="D92" s="13" t="n"/>
      <c r="E92" s="13" t="n"/>
      <c r="F92" s="43" t="n"/>
      <c r="G92" s="43" t="n"/>
      <c r="H92" s="42">
        <f>IFERROR(IF(SUMPRODUCT(MAX((案件入力!$D$2:$D$301=$B92)*(案件入力!$R$2:$R$301="完了")*(案件入力!$B$2:$B$301)))=0,$F92,INDEX(案件入力!$I$2:$I$301,MATCH($B92&amp;"|"&amp;TEXT(SUMPRODUCT(MAX((案件入力!$D$2:$D$301=$B92)*(案件入力!$R$2:$R$301="完了")*(案件入力!$B$2:$B$301))),"0"),案件入力!$T$2:$T$301,0))),$F92)</f>
        <v/>
      </c>
      <c r="I92" s="42">
        <f>IFERROR(IF(SUMPRODUCT(MAX((案件入力!$D$2:$D$301=$B92)*(案件入力!$R$2:$R$301="完了")*(案件入力!$B$2:$B$301)))=0,$G92,INDEX(案件入力!$M$2:$M$301,MATCH($B92&amp;"|"&amp;TEXT(SUMPRODUCT(MAX((案件入力!$D$2:$D$301=$B92)*(案件入力!$R$2:$R$301="完了")*(案件入力!$B$2:$B$301))),"0"),案件入力!$T$2:$T$301,0))),$G92)</f>
        <v/>
      </c>
      <c r="J92" s="13" t="n"/>
    </row>
    <row r="93">
      <c r="A93" s="13" t="n"/>
      <c r="B93" s="13" t="n"/>
      <c r="C93" s="13" t="n"/>
      <c r="D93" s="13" t="n"/>
      <c r="E93" s="13" t="n"/>
      <c r="F93" s="43" t="n"/>
      <c r="G93" s="43" t="n"/>
      <c r="H93" s="42">
        <f>IFERROR(IF(SUMPRODUCT(MAX((案件入力!$D$2:$D$301=$B93)*(案件入力!$R$2:$R$301="完了")*(案件入力!$B$2:$B$301)))=0,$F93,INDEX(案件入力!$I$2:$I$301,MATCH($B93&amp;"|"&amp;TEXT(SUMPRODUCT(MAX((案件入力!$D$2:$D$301=$B93)*(案件入力!$R$2:$R$301="完了")*(案件入力!$B$2:$B$301))),"0"),案件入力!$T$2:$T$301,0))),$F93)</f>
        <v/>
      </c>
      <c r="I93" s="42">
        <f>IFERROR(IF(SUMPRODUCT(MAX((案件入力!$D$2:$D$301=$B93)*(案件入力!$R$2:$R$301="完了")*(案件入力!$B$2:$B$301)))=0,$G93,INDEX(案件入力!$M$2:$M$301,MATCH($B93&amp;"|"&amp;TEXT(SUMPRODUCT(MAX((案件入力!$D$2:$D$301=$B93)*(案件入力!$R$2:$R$301="完了")*(案件入力!$B$2:$B$301))),"0"),案件入力!$T$2:$T$301,0))),$G93)</f>
        <v/>
      </c>
      <c r="J93" s="13" t="n"/>
    </row>
    <row r="94">
      <c r="A94" s="13" t="n"/>
      <c r="B94" s="13" t="n"/>
      <c r="C94" s="13" t="n"/>
      <c r="D94" s="13" t="n"/>
      <c r="E94" s="13" t="n"/>
      <c r="F94" s="43" t="n"/>
      <c r="G94" s="43" t="n"/>
      <c r="H94" s="42">
        <f>IFERROR(IF(SUMPRODUCT(MAX((案件入力!$D$2:$D$301=$B94)*(案件入力!$R$2:$R$301="完了")*(案件入力!$B$2:$B$301)))=0,$F94,INDEX(案件入力!$I$2:$I$301,MATCH($B94&amp;"|"&amp;TEXT(SUMPRODUCT(MAX((案件入力!$D$2:$D$301=$B94)*(案件入力!$R$2:$R$301="完了")*(案件入力!$B$2:$B$301))),"0"),案件入力!$T$2:$T$301,0))),$F94)</f>
        <v/>
      </c>
      <c r="I94" s="42">
        <f>IFERROR(IF(SUMPRODUCT(MAX((案件入力!$D$2:$D$301=$B94)*(案件入力!$R$2:$R$301="完了")*(案件入力!$B$2:$B$301)))=0,$G94,INDEX(案件入力!$M$2:$M$301,MATCH($B94&amp;"|"&amp;TEXT(SUMPRODUCT(MAX((案件入力!$D$2:$D$301=$B94)*(案件入力!$R$2:$R$301="完了")*(案件入力!$B$2:$B$301))),"0"),案件入力!$T$2:$T$301,0))),$G94)</f>
        <v/>
      </c>
      <c r="J94" s="13" t="n"/>
    </row>
    <row r="95">
      <c r="A95" s="13" t="n"/>
      <c r="B95" s="13" t="n"/>
      <c r="C95" s="13" t="n"/>
      <c r="D95" s="13" t="n"/>
      <c r="E95" s="13" t="n"/>
      <c r="F95" s="43" t="n"/>
      <c r="G95" s="43" t="n"/>
      <c r="H95" s="42">
        <f>IFERROR(IF(SUMPRODUCT(MAX((案件入力!$D$2:$D$301=$B95)*(案件入力!$R$2:$R$301="完了")*(案件入力!$B$2:$B$301)))=0,$F95,INDEX(案件入力!$I$2:$I$301,MATCH($B95&amp;"|"&amp;TEXT(SUMPRODUCT(MAX((案件入力!$D$2:$D$301=$B95)*(案件入力!$R$2:$R$301="完了")*(案件入力!$B$2:$B$301))),"0"),案件入力!$T$2:$T$301,0))),$F95)</f>
        <v/>
      </c>
      <c r="I95" s="42">
        <f>IFERROR(IF(SUMPRODUCT(MAX((案件入力!$D$2:$D$301=$B95)*(案件入力!$R$2:$R$301="完了")*(案件入力!$B$2:$B$301)))=0,$G95,INDEX(案件入力!$M$2:$M$301,MATCH($B95&amp;"|"&amp;TEXT(SUMPRODUCT(MAX((案件入力!$D$2:$D$301=$B95)*(案件入力!$R$2:$R$301="完了")*(案件入力!$B$2:$B$301))),"0"),案件入力!$T$2:$T$301,0))),$G95)</f>
        <v/>
      </c>
      <c r="J95" s="13" t="n"/>
    </row>
    <row r="96">
      <c r="A96" s="13" t="n"/>
      <c r="B96" s="13" t="n"/>
      <c r="C96" s="13" t="n"/>
      <c r="D96" s="13" t="n"/>
      <c r="E96" s="13" t="n"/>
      <c r="F96" s="43" t="n"/>
      <c r="G96" s="43" t="n"/>
      <c r="H96" s="42">
        <f>IFERROR(IF(SUMPRODUCT(MAX((案件入力!$D$2:$D$301=$B96)*(案件入力!$R$2:$R$301="完了")*(案件入力!$B$2:$B$301)))=0,$F96,INDEX(案件入力!$I$2:$I$301,MATCH($B96&amp;"|"&amp;TEXT(SUMPRODUCT(MAX((案件入力!$D$2:$D$301=$B96)*(案件入力!$R$2:$R$301="完了")*(案件入力!$B$2:$B$301))),"0"),案件入力!$T$2:$T$301,0))),$F96)</f>
        <v/>
      </c>
      <c r="I96" s="42">
        <f>IFERROR(IF(SUMPRODUCT(MAX((案件入力!$D$2:$D$301=$B96)*(案件入力!$R$2:$R$301="完了")*(案件入力!$B$2:$B$301)))=0,$G96,INDEX(案件入力!$M$2:$M$301,MATCH($B96&amp;"|"&amp;TEXT(SUMPRODUCT(MAX((案件入力!$D$2:$D$301=$B96)*(案件入力!$R$2:$R$301="完了")*(案件入力!$B$2:$B$301))),"0"),案件入力!$T$2:$T$301,0))),$G96)</f>
        <v/>
      </c>
      <c r="J96" s="13" t="n"/>
    </row>
    <row r="97">
      <c r="A97" s="13" t="n"/>
      <c r="B97" s="13" t="n"/>
      <c r="C97" s="13" t="n"/>
      <c r="D97" s="13" t="n"/>
      <c r="E97" s="13" t="n"/>
      <c r="F97" s="43" t="n"/>
      <c r="G97" s="43" t="n"/>
      <c r="H97" s="42">
        <f>IFERROR(IF(SUMPRODUCT(MAX((案件入力!$D$2:$D$301=$B97)*(案件入力!$R$2:$R$301="完了")*(案件入力!$B$2:$B$301)))=0,$F97,INDEX(案件入力!$I$2:$I$301,MATCH($B97&amp;"|"&amp;TEXT(SUMPRODUCT(MAX((案件入力!$D$2:$D$301=$B97)*(案件入力!$R$2:$R$301="完了")*(案件入力!$B$2:$B$301))),"0"),案件入力!$T$2:$T$301,0))),$F97)</f>
        <v/>
      </c>
      <c r="I97" s="42">
        <f>IFERROR(IF(SUMPRODUCT(MAX((案件入力!$D$2:$D$301=$B97)*(案件入力!$R$2:$R$301="完了")*(案件入力!$B$2:$B$301)))=0,$G97,INDEX(案件入力!$M$2:$M$301,MATCH($B97&amp;"|"&amp;TEXT(SUMPRODUCT(MAX((案件入力!$D$2:$D$301=$B97)*(案件入力!$R$2:$R$301="完了")*(案件入力!$B$2:$B$301))),"0"),案件入力!$T$2:$T$301,0))),$G97)</f>
        <v/>
      </c>
      <c r="J97" s="13" t="n"/>
    </row>
    <row r="98">
      <c r="A98" s="13" t="n"/>
      <c r="B98" s="13" t="n"/>
      <c r="C98" s="13" t="n"/>
      <c r="D98" s="13" t="n"/>
      <c r="E98" s="13" t="n"/>
      <c r="F98" s="43" t="n"/>
      <c r="G98" s="43" t="n"/>
      <c r="H98" s="42">
        <f>IFERROR(IF(SUMPRODUCT(MAX((案件入力!$D$2:$D$301=$B98)*(案件入力!$R$2:$R$301="完了")*(案件入力!$B$2:$B$301)))=0,$F98,INDEX(案件入力!$I$2:$I$301,MATCH($B98&amp;"|"&amp;TEXT(SUMPRODUCT(MAX((案件入力!$D$2:$D$301=$B98)*(案件入力!$R$2:$R$301="完了")*(案件入力!$B$2:$B$301))),"0"),案件入力!$T$2:$T$301,0))),$F98)</f>
        <v/>
      </c>
      <c r="I98" s="42">
        <f>IFERROR(IF(SUMPRODUCT(MAX((案件入力!$D$2:$D$301=$B98)*(案件入力!$R$2:$R$301="完了")*(案件入力!$B$2:$B$301)))=0,$G98,INDEX(案件入力!$M$2:$M$301,MATCH($B98&amp;"|"&amp;TEXT(SUMPRODUCT(MAX((案件入力!$D$2:$D$301=$B98)*(案件入力!$R$2:$R$301="完了")*(案件入力!$B$2:$B$301))),"0"),案件入力!$T$2:$T$301,0))),$G98)</f>
        <v/>
      </c>
      <c r="J98" s="13" t="n"/>
    </row>
    <row r="99">
      <c r="A99" s="13" t="n"/>
      <c r="B99" s="13" t="n"/>
      <c r="C99" s="13" t="n"/>
      <c r="D99" s="13" t="n"/>
      <c r="E99" s="13" t="n"/>
      <c r="F99" s="43" t="n"/>
      <c r="G99" s="43" t="n"/>
      <c r="H99" s="42">
        <f>IFERROR(IF(SUMPRODUCT(MAX((案件入力!$D$2:$D$301=$B99)*(案件入力!$R$2:$R$301="完了")*(案件入力!$B$2:$B$301)))=0,$F99,INDEX(案件入力!$I$2:$I$301,MATCH($B99&amp;"|"&amp;TEXT(SUMPRODUCT(MAX((案件入力!$D$2:$D$301=$B99)*(案件入力!$R$2:$R$301="完了")*(案件入力!$B$2:$B$301))),"0"),案件入力!$T$2:$T$301,0))),$F99)</f>
        <v/>
      </c>
      <c r="I99" s="42">
        <f>IFERROR(IF(SUMPRODUCT(MAX((案件入力!$D$2:$D$301=$B99)*(案件入力!$R$2:$R$301="完了")*(案件入力!$B$2:$B$301)))=0,$G99,INDEX(案件入力!$M$2:$M$301,MATCH($B99&amp;"|"&amp;TEXT(SUMPRODUCT(MAX((案件入力!$D$2:$D$301=$B99)*(案件入力!$R$2:$R$301="完了")*(案件入力!$B$2:$B$301))),"0"),案件入力!$T$2:$T$301,0))),$G99)</f>
        <v/>
      </c>
      <c r="J99" s="13" t="n"/>
    </row>
    <row r="100">
      <c r="A100" s="13" t="n"/>
      <c r="B100" s="13" t="n"/>
      <c r="C100" s="13" t="n"/>
      <c r="D100" s="13" t="n"/>
      <c r="E100" s="13" t="n"/>
      <c r="F100" s="43" t="n"/>
      <c r="G100" s="43" t="n"/>
      <c r="H100" s="42">
        <f>IFERROR(IF(SUMPRODUCT(MAX((案件入力!$D$2:$D$301=$B100)*(案件入力!$R$2:$R$301="完了")*(案件入力!$B$2:$B$301)))=0,$F100,INDEX(案件入力!$I$2:$I$301,MATCH($B100&amp;"|"&amp;TEXT(SUMPRODUCT(MAX((案件入力!$D$2:$D$301=$B100)*(案件入力!$R$2:$R$301="完了")*(案件入力!$B$2:$B$301))),"0"),案件入力!$T$2:$T$301,0))),$F100)</f>
        <v/>
      </c>
      <c r="I100" s="42">
        <f>IFERROR(IF(SUMPRODUCT(MAX((案件入力!$D$2:$D$301=$B100)*(案件入力!$R$2:$R$301="完了")*(案件入力!$B$2:$B$301)))=0,$G100,INDEX(案件入力!$M$2:$M$301,MATCH($B100&amp;"|"&amp;TEXT(SUMPRODUCT(MAX((案件入力!$D$2:$D$301=$B100)*(案件入力!$R$2:$R$301="完了")*(案件入力!$B$2:$B$301))),"0"),案件入力!$T$2:$T$301,0))),$G100)</f>
        <v/>
      </c>
      <c r="J100" s="13" t="n"/>
    </row>
    <row r="101">
      <c r="A101" s="13" t="n"/>
      <c r="B101" s="13" t="n"/>
      <c r="C101" s="13" t="n"/>
      <c r="D101" s="13" t="n"/>
      <c r="E101" s="13" t="n"/>
      <c r="F101" s="43" t="n"/>
      <c r="G101" s="43" t="n"/>
      <c r="H101" s="42">
        <f>IFERROR(IF(SUMPRODUCT(MAX((案件入力!$D$2:$D$301=$B101)*(案件入力!$R$2:$R$301="完了")*(案件入力!$B$2:$B$301)))=0,$F101,INDEX(案件入力!$I$2:$I$301,MATCH($B101&amp;"|"&amp;TEXT(SUMPRODUCT(MAX((案件入力!$D$2:$D$301=$B101)*(案件入力!$R$2:$R$301="完了")*(案件入力!$B$2:$B$301))),"0"),案件入力!$T$2:$T$301,0))),$F101)</f>
        <v/>
      </c>
      <c r="I101" s="42">
        <f>IFERROR(IF(SUMPRODUCT(MAX((案件入力!$D$2:$D$301=$B101)*(案件入力!$R$2:$R$301="完了")*(案件入力!$B$2:$B$301)))=0,$G101,INDEX(案件入力!$M$2:$M$301,MATCH($B101&amp;"|"&amp;TEXT(SUMPRODUCT(MAX((案件入力!$D$2:$D$301=$B101)*(案件入力!$R$2:$R$301="完了")*(案件入力!$B$2:$B$301))),"0"),案件入力!$T$2:$T$301,0))),$G101)</f>
        <v/>
      </c>
      <c r="J101" s="13" t="n"/>
    </row>
    <row r="102">
      <c r="A102" s="13" t="n"/>
      <c r="B102" s="13" t="n"/>
      <c r="C102" s="13" t="n"/>
      <c r="D102" s="13" t="n"/>
      <c r="E102" s="13" t="n"/>
      <c r="F102" s="43" t="n"/>
      <c r="G102" s="43" t="n"/>
      <c r="H102" s="42">
        <f>IFERROR(IF(SUMPRODUCT(MAX((案件入力!$D$2:$D$301=$B102)*(案件入力!$R$2:$R$301="完了")*(案件入力!$B$2:$B$301)))=0,$F102,INDEX(案件入力!$I$2:$I$301,MATCH($B102&amp;"|"&amp;TEXT(SUMPRODUCT(MAX((案件入力!$D$2:$D$301=$B102)*(案件入力!$R$2:$R$301="完了")*(案件入力!$B$2:$B$301))),"0"),案件入力!$T$2:$T$301,0))),$F102)</f>
        <v/>
      </c>
      <c r="I102" s="42">
        <f>IFERROR(IF(SUMPRODUCT(MAX((案件入力!$D$2:$D$301=$B102)*(案件入力!$R$2:$R$301="完了")*(案件入力!$B$2:$B$301)))=0,$G102,INDEX(案件入力!$M$2:$M$301,MATCH($B102&amp;"|"&amp;TEXT(SUMPRODUCT(MAX((案件入力!$D$2:$D$301=$B102)*(案件入力!$R$2:$R$301="完了")*(案件入力!$B$2:$B$301))),"0"),案件入力!$T$2:$T$301,0))),$G102)</f>
        <v/>
      </c>
      <c r="J102" s="13" t="n"/>
    </row>
    <row r="103">
      <c r="A103" s="13" t="n"/>
      <c r="B103" s="13" t="n"/>
      <c r="C103" s="13" t="n"/>
      <c r="D103" s="13" t="n"/>
      <c r="E103" s="13" t="n"/>
      <c r="F103" s="43" t="n"/>
      <c r="G103" s="43" t="n"/>
      <c r="H103" s="42">
        <f>IFERROR(IF(SUMPRODUCT(MAX((案件入力!$D$2:$D$301=$B103)*(案件入力!$R$2:$R$301="完了")*(案件入力!$B$2:$B$301)))=0,$F103,INDEX(案件入力!$I$2:$I$301,MATCH($B103&amp;"|"&amp;TEXT(SUMPRODUCT(MAX((案件入力!$D$2:$D$301=$B103)*(案件入力!$R$2:$R$301="完了")*(案件入力!$B$2:$B$301))),"0"),案件入力!$T$2:$T$301,0))),$F103)</f>
        <v/>
      </c>
      <c r="I103" s="42">
        <f>IFERROR(IF(SUMPRODUCT(MAX((案件入力!$D$2:$D$301=$B103)*(案件入力!$R$2:$R$301="完了")*(案件入力!$B$2:$B$301)))=0,$G103,INDEX(案件入力!$M$2:$M$301,MATCH($B103&amp;"|"&amp;TEXT(SUMPRODUCT(MAX((案件入力!$D$2:$D$301=$B103)*(案件入力!$R$2:$R$301="完了")*(案件入力!$B$2:$B$301))),"0"),案件入力!$T$2:$T$301,0))),$G103)</f>
        <v/>
      </c>
      <c r="J103" s="13" t="n"/>
    </row>
    <row r="104">
      <c r="A104" s="13" t="n"/>
      <c r="B104" s="13" t="n"/>
      <c r="C104" s="13" t="n"/>
      <c r="D104" s="13" t="n"/>
      <c r="E104" s="13" t="n"/>
      <c r="F104" s="43" t="n"/>
      <c r="G104" s="43" t="n"/>
      <c r="H104" s="42">
        <f>IFERROR(IF(SUMPRODUCT(MAX((案件入力!$D$2:$D$301=$B104)*(案件入力!$R$2:$R$301="完了")*(案件入力!$B$2:$B$301)))=0,$F104,INDEX(案件入力!$I$2:$I$301,MATCH($B104&amp;"|"&amp;TEXT(SUMPRODUCT(MAX((案件入力!$D$2:$D$301=$B104)*(案件入力!$R$2:$R$301="完了")*(案件入力!$B$2:$B$301))),"0"),案件入力!$T$2:$T$301,0))),$F104)</f>
        <v/>
      </c>
      <c r="I104" s="42">
        <f>IFERROR(IF(SUMPRODUCT(MAX((案件入力!$D$2:$D$301=$B104)*(案件入力!$R$2:$R$301="完了")*(案件入力!$B$2:$B$301)))=0,$G104,INDEX(案件入力!$M$2:$M$301,MATCH($B104&amp;"|"&amp;TEXT(SUMPRODUCT(MAX((案件入力!$D$2:$D$301=$B104)*(案件入力!$R$2:$R$301="完了")*(案件入力!$B$2:$B$301))),"0"),案件入力!$T$2:$T$301,0))),$G104)</f>
        <v/>
      </c>
      <c r="J104" s="13" t="n"/>
    </row>
    <row r="105">
      <c r="A105" s="13" t="n"/>
      <c r="B105" s="13" t="n"/>
      <c r="C105" s="13" t="n"/>
      <c r="D105" s="13" t="n"/>
      <c r="E105" s="13" t="n"/>
      <c r="F105" s="43" t="n"/>
      <c r="G105" s="43" t="n"/>
      <c r="H105" s="42">
        <f>IFERROR(IF(SUMPRODUCT(MAX((案件入力!$D$2:$D$301=$B105)*(案件入力!$R$2:$R$301="完了")*(案件入力!$B$2:$B$301)))=0,$F105,INDEX(案件入力!$I$2:$I$301,MATCH($B105&amp;"|"&amp;TEXT(SUMPRODUCT(MAX((案件入力!$D$2:$D$301=$B105)*(案件入力!$R$2:$R$301="完了")*(案件入力!$B$2:$B$301))),"0"),案件入力!$T$2:$T$301,0))),$F105)</f>
        <v/>
      </c>
      <c r="I105" s="42">
        <f>IFERROR(IF(SUMPRODUCT(MAX((案件入力!$D$2:$D$301=$B105)*(案件入力!$R$2:$R$301="完了")*(案件入力!$B$2:$B$301)))=0,$G105,INDEX(案件入力!$M$2:$M$301,MATCH($B105&amp;"|"&amp;TEXT(SUMPRODUCT(MAX((案件入力!$D$2:$D$301=$B105)*(案件入力!$R$2:$R$301="完了")*(案件入力!$B$2:$B$301))),"0"),案件入力!$T$2:$T$301,0))),$G105)</f>
        <v/>
      </c>
      <c r="J105" s="13" t="n"/>
    </row>
    <row r="106">
      <c r="A106" s="13" t="n"/>
      <c r="B106" s="13" t="n"/>
      <c r="C106" s="13" t="n"/>
      <c r="D106" s="13" t="n"/>
      <c r="E106" s="13" t="n"/>
      <c r="F106" s="43" t="n"/>
      <c r="G106" s="43" t="n"/>
      <c r="H106" s="42">
        <f>IFERROR(IF(SUMPRODUCT(MAX((案件入力!$D$2:$D$301=$B106)*(案件入力!$R$2:$R$301="完了")*(案件入力!$B$2:$B$301)))=0,$F106,INDEX(案件入力!$I$2:$I$301,MATCH($B106&amp;"|"&amp;TEXT(SUMPRODUCT(MAX((案件入力!$D$2:$D$301=$B106)*(案件入力!$R$2:$R$301="完了")*(案件入力!$B$2:$B$301))),"0"),案件入力!$T$2:$T$301,0))),$F106)</f>
        <v/>
      </c>
      <c r="I106" s="42">
        <f>IFERROR(IF(SUMPRODUCT(MAX((案件入力!$D$2:$D$301=$B106)*(案件入力!$R$2:$R$301="完了")*(案件入力!$B$2:$B$301)))=0,$G106,INDEX(案件入力!$M$2:$M$301,MATCH($B106&amp;"|"&amp;TEXT(SUMPRODUCT(MAX((案件入力!$D$2:$D$301=$B106)*(案件入力!$R$2:$R$301="完了")*(案件入力!$B$2:$B$301))),"0"),案件入力!$T$2:$T$301,0))),$G106)</f>
        <v/>
      </c>
      <c r="J106" s="13" t="n"/>
    </row>
    <row r="107">
      <c r="A107" s="13" t="n"/>
      <c r="B107" s="13" t="n"/>
      <c r="C107" s="13" t="n"/>
      <c r="D107" s="13" t="n"/>
      <c r="E107" s="13" t="n"/>
      <c r="F107" s="43" t="n"/>
      <c r="G107" s="43" t="n"/>
      <c r="H107" s="42">
        <f>IFERROR(IF(SUMPRODUCT(MAX((案件入力!$D$2:$D$301=$B107)*(案件入力!$R$2:$R$301="完了")*(案件入力!$B$2:$B$301)))=0,$F107,INDEX(案件入力!$I$2:$I$301,MATCH($B107&amp;"|"&amp;TEXT(SUMPRODUCT(MAX((案件入力!$D$2:$D$301=$B107)*(案件入力!$R$2:$R$301="完了")*(案件入力!$B$2:$B$301))),"0"),案件入力!$T$2:$T$301,0))),$F107)</f>
        <v/>
      </c>
      <c r="I107" s="42">
        <f>IFERROR(IF(SUMPRODUCT(MAX((案件入力!$D$2:$D$301=$B107)*(案件入力!$R$2:$R$301="完了")*(案件入力!$B$2:$B$301)))=0,$G107,INDEX(案件入力!$M$2:$M$301,MATCH($B107&amp;"|"&amp;TEXT(SUMPRODUCT(MAX((案件入力!$D$2:$D$301=$B107)*(案件入力!$R$2:$R$301="完了")*(案件入力!$B$2:$B$301))),"0"),案件入力!$T$2:$T$301,0))),$G107)</f>
        <v/>
      </c>
      <c r="J107" s="13" t="n"/>
    </row>
    <row r="108">
      <c r="A108" s="13" t="n"/>
      <c r="B108" s="13" t="n"/>
      <c r="C108" s="13" t="n"/>
      <c r="D108" s="13" t="n"/>
      <c r="E108" s="13" t="n"/>
      <c r="F108" s="43" t="n"/>
      <c r="G108" s="43" t="n"/>
      <c r="H108" s="42">
        <f>IFERROR(IF(SUMPRODUCT(MAX((案件入力!$D$2:$D$301=$B108)*(案件入力!$R$2:$R$301="完了")*(案件入力!$B$2:$B$301)))=0,$F108,INDEX(案件入力!$I$2:$I$301,MATCH($B108&amp;"|"&amp;TEXT(SUMPRODUCT(MAX((案件入力!$D$2:$D$301=$B108)*(案件入力!$R$2:$R$301="完了")*(案件入力!$B$2:$B$301))),"0"),案件入力!$T$2:$T$301,0))),$F108)</f>
        <v/>
      </c>
      <c r="I108" s="42">
        <f>IFERROR(IF(SUMPRODUCT(MAX((案件入力!$D$2:$D$301=$B108)*(案件入力!$R$2:$R$301="完了")*(案件入力!$B$2:$B$301)))=0,$G108,INDEX(案件入力!$M$2:$M$301,MATCH($B108&amp;"|"&amp;TEXT(SUMPRODUCT(MAX((案件入力!$D$2:$D$301=$B108)*(案件入力!$R$2:$R$301="完了")*(案件入力!$B$2:$B$301))),"0"),案件入力!$T$2:$T$301,0))),$G108)</f>
        <v/>
      </c>
      <c r="J108" s="13" t="n"/>
    </row>
    <row r="109">
      <c r="A109" s="13" t="n"/>
      <c r="B109" s="13" t="n"/>
      <c r="C109" s="13" t="n"/>
      <c r="D109" s="13" t="n"/>
      <c r="E109" s="13" t="n"/>
      <c r="F109" s="43" t="n"/>
      <c r="G109" s="43" t="n"/>
      <c r="H109" s="42">
        <f>IFERROR(IF(SUMPRODUCT(MAX((案件入力!$D$2:$D$301=$B109)*(案件入力!$R$2:$R$301="完了")*(案件入力!$B$2:$B$301)))=0,$F109,INDEX(案件入力!$I$2:$I$301,MATCH($B109&amp;"|"&amp;TEXT(SUMPRODUCT(MAX((案件入力!$D$2:$D$301=$B109)*(案件入力!$R$2:$R$301="完了")*(案件入力!$B$2:$B$301))),"0"),案件入力!$T$2:$T$301,0))),$F109)</f>
        <v/>
      </c>
      <c r="I109" s="42">
        <f>IFERROR(IF(SUMPRODUCT(MAX((案件入力!$D$2:$D$301=$B109)*(案件入力!$R$2:$R$301="完了")*(案件入力!$B$2:$B$301)))=0,$G109,INDEX(案件入力!$M$2:$M$301,MATCH($B109&amp;"|"&amp;TEXT(SUMPRODUCT(MAX((案件入力!$D$2:$D$301=$B109)*(案件入力!$R$2:$R$301="完了")*(案件入力!$B$2:$B$301))),"0"),案件入力!$T$2:$T$301,0))),$G109)</f>
        <v/>
      </c>
      <c r="J109" s="13" t="n"/>
    </row>
    <row r="110">
      <c r="A110" s="13" t="n"/>
      <c r="B110" s="13" t="n"/>
      <c r="C110" s="13" t="n"/>
      <c r="D110" s="13" t="n"/>
      <c r="E110" s="13" t="n"/>
      <c r="F110" s="43" t="n"/>
      <c r="G110" s="43" t="n"/>
      <c r="H110" s="42">
        <f>IFERROR(IF(SUMPRODUCT(MAX((案件入力!$D$2:$D$301=$B110)*(案件入力!$R$2:$R$301="完了")*(案件入力!$B$2:$B$301)))=0,$F110,INDEX(案件入力!$I$2:$I$301,MATCH($B110&amp;"|"&amp;TEXT(SUMPRODUCT(MAX((案件入力!$D$2:$D$301=$B110)*(案件入力!$R$2:$R$301="完了")*(案件入力!$B$2:$B$301))),"0"),案件入力!$T$2:$T$301,0))),$F110)</f>
        <v/>
      </c>
      <c r="I110" s="42">
        <f>IFERROR(IF(SUMPRODUCT(MAX((案件入力!$D$2:$D$301=$B110)*(案件入力!$R$2:$R$301="完了")*(案件入力!$B$2:$B$301)))=0,$G110,INDEX(案件入力!$M$2:$M$301,MATCH($B110&amp;"|"&amp;TEXT(SUMPRODUCT(MAX((案件入力!$D$2:$D$301=$B110)*(案件入力!$R$2:$R$301="完了")*(案件入力!$B$2:$B$301))),"0"),案件入力!$T$2:$T$301,0))),$G110)</f>
        <v/>
      </c>
      <c r="J110" s="13" t="n"/>
    </row>
    <row r="111">
      <c r="A111" s="13" t="n"/>
      <c r="B111" s="13" t="n"/>
      <c r="C111" s="13" t="n"/>
      <c r="D111" s="13" t="n"/>
      <c r="E111" s="13" t="n"/>
      <c r="F111" s="43" t="n"/>
      <c r="G111" s="43" t="n"/>
      <c r="H111" s="42">
        <f>IFERROR(IF(SUMPRODUCT(MAX((案件入力!$D$2:$D$301=$B111)*(案件入力!$R$2:$R$301="完了")*(案件入力!$B$2:$B$301)))=0,$F111,INDEX(案件入力!$I$2:$I$301,MATCH($B111&amp;"|"&amp;TEXT(SUMPRODUCT(MAX((案件入力!$D$2:$D$301=$B111)*(案件入力!$R$2:$R$301="完了")*(案件入力!$B$2:$B$301))),"0"),案件入力!$T$2:$T$301,0))),$F111)</f>
        <v/>
      </c>
      <c r="I111" s="42">
        <f>IFERROR(IF(SUMPRODUCT(MAX((案件入力!$D$2:$D$301=$B111)*(案件入力!$R$2:$R$301="完了")*(案件入力!$B$2:$B$301)))=0,$G111,INDEX(案件入力!$M$2:$M$301,MATCH($B111&amp;"|"&amp;TEXT(SUMPRODUCT(MAX((案件入力!$D$2:$D$301=$B111)*(案件入力!$R$2:$R$301="完了")*(案件入力!$B$2:$B$301))),"0"),案件入力!$T$2:$T$301,0))),$G111)</f>
        <v/>
      </c>
      <c r="J111" s="13" t="n"/>
    </row>
    <row r="112">
      <c r="A112" s="13" t="n"/>
      <c r="B112" s="13" t="n"/>
      <c r="C112" s="13" t="n"/>
      <c r="D112" s="13" t="n"/>
      <c r="E112" s="13" t="n"/>
      <c r="F112" s="43" t="n"/>
      <c r="G112" s="43" t="n"/>
      <c r="H112" s="42">
        <f>IFERROR(IF(SUMPRODUCT(MAX((案件入力!$D$2:$D$301=$B112)*(案件入力!$R$2:$R$301="完了")*(案件入力!$B$2:$B$301)))=0,$F112,INDEX(案件入力!$I$2:$I$301,MATCH($B112&amp;"|"&amp;TEXT(SUMPRODUCT(MAX((案件入力!$D$2:$D$301=$B112)*(案件入力!$R$2:$R$301="完了")*(案件入力!$B$2:$B$301))),"0"),案件入力!$T$2:$T$301,0))),$F112)</f>
        <v/>
      </c>
      <c r="I112" s="42">
        <f>IFERROR(IF(SUMPRODUCT(MAX((案件入力!$D$2:$D$301=$B112)*(案件入力!$R$2:$R$301="完了")*(案件入力!$B$2:$B$301)))=0,$G112,INDEX(案件入力!$M$2:$M$301,MATCH($B112&amp;"|"&amp;TEXT(SUMPRODUCT(MAX((案件入力!$D$2:$D$301=$B112)*(案件入力!$R$2:$R$301="完了")*(案件入力!$B$2:$B$301))),"0"),案件入力!$T$2:$T$301,0))),$G112)</f>
        <v/>
      </c>
      <c r="J112" s="13" t="n"/>
    </row>
    <row r="113">
      <c r="A113" s="13" t="n"/>
      <c r="B113" s="13" t="n"/>
      <c r="C113" s="13" t="n"/>
      <c r="D113" s="13" t="n"/>
      <c r="E113" s="13" t="n"/>
      <c r="F113" s="43" t="n"/>
      <c r="G113" s="43" t="n"/>
      <c r="H113" s="42">
        <f>IFERROR(IF(SUMPRODUCT(MAX((案件入力!$D$2:$D$301=$B113)*(案件入力!$R$2:$R$301="完了")*(案件入力!$B$2:$B$301)))=0,$F113,INDEX(案件入力!$I$2:$I$301,MATCH($B113&amp;"|"&amp;TEXT(SUMPRODUCT(MAX((案件入力!$D$2:$D$301=$B113)*(案件入力!$R$2:$R$301="完了")*(案件入力!$B$2:$B$301))),"0"),案件入力!$T$2:$T$301,0))),$F113)</f>
        <v/>
      </c>
      <c r="I113" s="42">
        <f>IFERROR(IF(SUMPRODUCT(MAX((案件入力!$D$2:$D$301=$B113)*(案件入力!$R$2:$R$301="完了")*(案件入力!$B$2:$B$301)))=0,$G113,INDEX(案件入力!$M$2:$M$301,MATCH($B113&amp;"|"&amp;TEXT(SUMPRODUCT(MAX((案件入力!$D$2:$D$301=$B113)*(案件入力!$R$2:$R$301="完了")*(案件入力!$B$2:$B$301))),"0"),案件入力!$T$2:$T$301,0))),$G113)</f>
        <v/>
      </c>
      <c r="J113" s="13" t="n"/>
    </row>
    <row r="114">
      <c r="A114" s="13" t="n"/>
      <c r="B114" s="13" t="n"/>
      <c r="C114" s="13" t="n"/>
      <c r="D114" s="13" t="n"/>
      <c r="E114" s="13" t="n"/>
      <c r="F114" s="43" t="n"/>
      <c r="G114" s="43" t="n"/>
      <c r="H114" s="42">
        <f>IFERROR(IF(SUMPRODUCT(MAX((案件入力!$D$2:$D$301=$B114)*(案件入力!$R$2:$R$301="完了")*(案件入力!$B$2:$B$301)))=0,$F114,INDEX(案件入力!$I$2:$I$301,MATCH($B114&amp;"|"&amp;TEXT(SUMPRODUCT(MAX((案件入力!$D$2:$D$301=$B114)*(案件入力!$R$2:$R$301="完了")*(案件入力!$B$2:$B$301))),"0"),案件入力!$T$2:$T$301,0))),$F114)</f>
        <v/>
      </c>
      <c r="I114" s="42">
        <f>IFERROR(IF(SUMPRODUCT(MAX((案件入力!$D$2:$D$301=$B114)*(案件入力!$R$2:$R$301="完了")*(案件入力!$B$2:$B$301)))=0,$G114,INDEX(案件入力!$M$2:$M$301,MATCH($B114&amp;"|"&amp;TEXT(SUMPRODUCT(MAX((案件入力!$D$2:$D$301=$B114)*(案件入力!$R$2:$R$301="完了")*(案件入力!$B$2:$B$301))),"0"),案件入力!$T$2:$T$301,0))),$G114)</f>
        <v/>
      </c>
      <c r="J114" s="13" t="n"/>
    </row>
    <row r="115">
      <c r="A115" s="13" t="n"/>
      <c r="B115" s="13" t="n"/>
      <c r="C115" s="13" t="n"/>
      <c r="D115" s="13" t="n"/>
      <c r="E115" s="13" t="n"/>
      <c r="F115" s="43" t="n"/>
      <c r="G115" s="43" t="n"/>
      <c r="H115" s="42">
        <f>IFERROR(IF(SUMPRODUCT(MAX((案件入力!$D$2:$D$301=$B115)*(案件入力!$R$2:$R$301="完了")*(案件入力!$B$2:$B$301)))=0,$F115,INDEX(案件入力!$I$2:$I$301,MATCH($B115&amp;"|"&amp;TEXT(SUMPRODUCT(MAX((案件入力!$D$2:$D$301=$B115)*(案件入力!$R$2:$R$301="完了")*(案件入力!$B$2:$B$301))),"0"),案件入力!$T$2:$T$301,0))),$F115)</f>
        <v/>
      </c>
      <c r="I115" s="42">
        <f>IFERROR(IF(SUMPRODUCT(MAX((案件入力!$D$2:$D$301=$B115)*(案件入力!$R$2:$R$301="完了")*(案件入力!$B$2:$B$301)))=0,$G115,INDEX(案件入力!$M$2:$M$301,MATCH($B115&amp;"|"&amp;TEXT(SUMPRODUCT(MAX((案件入力!$D$2:$D$301=$B115)*(案件入力!$R$2:$R$301="完了")*(案件入力!$B$2:$B$301))),"0"),案件入力!$T$2:$T$301,0))),$G115)</f>
        <v/>
      </c>
      <c r="J115" s="13" t="n"/>
    </row>
    <row r="116">
      <c r="A116" s="13" t="n"/>
      <c r="B116" s="13" t="n"/>
      <c r="C116" s="13" t="n"/>
      <c r="D116" s="13" t="n"/>
      <c r="E116" s="13" t="n"/>
      <c r="F116" s="43" t="n"/>
      <c r="G116" s="43" t="n"/>
      <c r="H116" s="42">
        <f>IFERROR(IF(SUMPRODUCT(MAX((案件入力!$D$2:$D$301=$B116)*(案件入力!$R$2:$R$301="完了")*(案件入力!$B$2:$B$301)))=0,$F116,INDEX(案件入力!$I$2:$I$301,MATCH($B116&amp;"|"&amp;TEXT(SUMPRODUCT(MAX((案件入力!$D$2:$D$301=$B116)*(案件入力!$R$2:$R$301="完了")*(案件入力!$B$2:$B$301))),"0"),案件入力!$T$2:$T$301,0))),$F116)</f>
        <v/>
      </c>
      <c r="I116" s="42">
        <f>IFERROR(IF(SUMPRODUCT(MAX((案件入力!$D$2:$D$301=$B116)*(案件入力!$R$2:$R$301="完了")*(案件入力!$B$2:$B$301)))=0,$G116,INDEX(案件入力!$M$2:$M$301,MATCH($B116&amp;"|"&amp;TEXT(SUMPRODUCT(MAX((案件入力!$D$2:$D$301=$B116)*(案件入力!$R$2:$R$301="完了")*(案件入力!$B$2:$B$301))),"0"),案件入力!$T$2:$T$301,0))),$G116)</f>
        <v/>
      </c>
      <c r="J116" s="13" t="n"/>
    </row>
    <row r="117">
      <c r="A117" s="13" t="n"/>
      <c r="B117" s="13" t="n"/>
      <c r="C117" s="13" t="n"/>
      <c r="D117" s="13" t="n"/>
      <c r="E117" s="13" t="n"/>
      <c r="F117" s="43" t="n"/>
      <c r="G117" s="43" t="n"/>
      <c r="H117" s="42">
        <f>IFERROR(IF(SUMPRODUCT(MAX((案件入力!$D$2:$D$301=$B117)*(案件入力!$R$2:$R$301="完了")*(案件入力!$B$2:$B$301)))=0,$F117,INDEX(案件入力!$I$2:$I$301,MATCH($B117&amp;"|"&amp;TEXT(SUMPRODUCT(MAX((案件入力!$D$2:$D$301=$B117)*(案件入力!$R$2:$R$301="完了")*(案件入力!$B$2:$B$301))),"0"),案件入力!$T$2:$T$301,0))),$F117)</f>
        <v/>
      </c>
      <c r="I117" s="42">
        <f>IFERROR(IF(SUMPRODUCT(MAX((案件入力!$D$2:$D$301=$B117)*(案件入力!$R$2:$R$301="完了")*(案件入力!$B$2:$B$301)))=0,$G117,INDEX(案件入力!$M$2:$M$301,MATCH($B117&amp;"|"&amp;TEXT(SUMPRODUCT(MAX((案件入力!$D$2:$D$301=$B117)*(案件入力!$R$2:$R$301="完了")*(案件入力!$B$2:$B$301))),"0"),案件入力!$T$2:$T$301,0))),$G117)</f>
        <v/>
      </c>
      <c r="J117" s="13" t="n"/>
    </row>
    <row r="118">
      <c r="A118" s="13" t="n"/>
      <c r="B118" s="13" t="n"/>
      <c r="C118" s="13" t="n"/>
      <c r="D118" s="13" t="n"/>
      <c r="E118" s="13" t="n"/>
      <c r="F118" s="43" t="n"/>
      <c r="G118" s="43" t="n"/>
      <c r="H118" s="42">
        <f>IFERROR(IF(SUMPRODUCT(MAX((案件入力!$D$2:$D$301=$B118)*(案件入力!$R$2:$R$301="完了")*(案件入力!$B$2:$B$301)))=0,$F118,INDEX(案件入力!$I$2:$I$301,MATCH($B118&amp;"|"&amp;TEXT(SUMPRODUCT(MAX((案件入力!$D$2:$D$301=$B118)*(案件入力!$R$2:$R$301="完了")*(案件入力!$B$2:$B$301))),"0"),案件入力!$T$2:$T$301,0))),$F118)</f>
        <v/>
      </c>
      <c r="I118" s="42">
        <f>IFERROR(IF(SUMPRODUCT(MAX((案件入力!$D$2:$D$301=$B118)*(案件入力!$R$2:$R$301="完了")*(案件入力!$B$2:$B$301)))=0,$G118,INDEX(案件入力!$M$2:$M$301,MATCH($B118&amp;"|"&amp;TEXT(SUMPRODUCT(MAX((案件入力!$D$2:$D$301=$B118)*(案件入力!$R$2:$R$301="完了")*(案件入力!$B$2:$B$301))),"0"),案件入力!$T$2:$T$301,0))),$G118)</f>
        <v/>
      </c>
      <c r="J118" s="13" t="n"/>
    </row>
    <row r="119">
      <c r="A119" s="13" t="n"/>
      <c r="B119" s="13" t="n"/>
      <c r="C119" s="13" t="n"/>
      <c r="D119" s="13" t="n"/>
      <c r="E119" s="13" t="n"/>
      <c r="F119" s="43" t="n"/>
      <c r="G119" s="43" t="n"/>
      <c r="H119" s="42">
        <f>IFERROR(IF(SUMPRODUCT(MAX((案件入力!$D$2:$D$301=$B119)*(案件入力!$R$2:$R$301="完了")*(案件入力!$B$2:$B$301)))=0,$F119,INDEX(案件入力!$I$2:$I$301,MATCH($B119&amp;"|"&amp;TEXT(SUMPRODUCT(MAX((案件入力!$D$2:$D$301=$B119)*(案件入力!$R$2:$R$301="完了")*(案件入力!$B$2:$B$301))),"0"),案件入力!$T$2:$T$301,0))),$F119)</f>
        <v/>
      </c>
      <c r="I119" s="42">
        <f>IFERROR(IF(SUMPRODUCT(MAX((案件入力!$D$2:$D$301=$B119)*(案件入力!$R$2:$R$301="完了")*(案件入力!$B$2:$B$301)))=0,$G119,INDEX(案件入力!$M$2:$M$301,MATCH($B119&amp;"|"&amp;TEXT(SUMPRODUCT(MAX((案件入力!$D$2:$D$301=$B119)*(案件入力!$R$2:$R$301="完了")*(案件入力!$B$2:$B$301))),"0"),案件入力!$T$2:$T$301,0))),$G119)</f>
        <v/>
      </c>
      <c r="J119" s="13" t="n"/>
    </row>
    <row r="120">
      <c r="A120" s="13" t="n"/>
      <c r="B120" s="13" t="n"/>
      <c r="C120" s="13" t="n"/>
      <c r="D120" s="13" t="n"/>
      <c r="E120" s="13" t="n"/>
      <c r="F120" s="43" t="n"/>
      <c r="G120" s="43" t="n"/>
      <c r="H120" s="42">
        <f>IFERROR(IF(SUMPRODUCT(MAX((案件入力!$D$2:$D$301=$B120)*(案件入力!$R$2:$R$301="完了")*(案件入力!$B$2:$B$301)))=0,$F120,INDEX(案件入力!$I$2:$I$301,MATCH($B120&amp;"|"&amp;TEXT(SUMPRODUCT(MAX((案件入力!$D$2:$D$301=$B120)*(案件入力!$R$2:$R$301="完了")*(案件入力!$B$2:$B$301))),"0"),案件入力!$T$2:$T$301,0))),$F120)</f>
        <v/>
      </c>
      <c r="I120" s="42">
        <f>IFERROR(IF(SUMPRODUCT(MAX((案件入力!$D$2:$D$301=$B120)*(案件入力!$R$2:$R$301="完了")*(案件入力!$B$2:$B$301)))=0,$G120,INDEX(案件入力!$M$2:$M$301,MATCH($B120&amp;"|"&amp;TEXT(SUMPRODUCT(MAX((案件入力!$D$2:$D$301=$B120)*(案件入力!$R$2:$R$301="完了")*(案件入力!$B$2:$B$301))),"0"),案件入力!$T$2:$T$301,0))),$G120)</f>
        <v/>
      </c>
      <c r="J120" s="13" t="n"/>
    </row>
    <row r="121">
      <c r="A121" s="13" t="n"/>
      <c r="B121" s="13" t="n"/>
      <c r="C121" s="13" t="n"/>
      <c r="D121" s="13" t="n"/>
      <c r="E121" s="13" t="n"/>
      <c r="F121" s="43" t="n"/>
      <c r="G121" s="43" t="n"/>
      <c r="H121" s="42">
        <f>IFERROR(IF(SUMPRODUCT(MAX((案件入力!$D$2:$D$301=$B121)*(案件入力!$R$2:$R$301="完了")*(案件入力!$B$2:$B$301)))=0,$F121,INDEX(案件入力!$I$2:$I$301,MATCH($B121&amp;"|"&amp;TEXT(SUMPRODUCT(MAX((案件入力!$D$2:$D$301=$B121)*(案件入力!$R$2:$R$301="完了")*(案件入力!$B$2:$B$301))),"0"),案件入力!$T$2:$T$301,0))),$F121)</f>
        <v/>
      </c>
      <c r="I121" s="42">
        <f>IFERROR(IF(SUMPRODUCT(MAX((案件入力!$D$2:$D$301=$B121)*(案件入力!$R$2:$R$301="完了")*(案件入力!$B$2:$B$301)))=0,$G121,INDEX(案件入力!$M$2:$M$301,MATCH($B121&amp;"|"&amp;TEXT(SUMPRODUCT(MAX((案件入力!$D$2:$D$301=$B121)*(案件入力!$R$2:$R$301="完了")*(案件入力!$B$2:$B$301))),"0"),案件入力!$T$2:$T$301,0))),$G121)</f>
        <v/>
      </c>
      <c r="J121" s="13" t="n"/>
    </row>
    <row r="122">
      <c r="A122" s="13" t="n"/>
      <c r="B122" s="13" t="n"/>
      <c r="C122" s="13" t="n"/>
      <c r="D122" s="13" t="n"/>
      <c r="E122" s="13" t="n"/>
      <c r="F122" s="43" t="n"/>
      <c r="G122" s="43" t="n"/>
      <c r="H122" s="42">
        <f>IFERROR(IF(SUMPRODUCT(MAX((案件入力!$D$2:$D$301=$B122)*(案件入力!$R$2:$R$301="完了")*(案件入力!$B$2:$B$301)))=0,$F122,INDEX(案件入力!$I$2:$I$301,MATCH($B122&amp;"|"&amp;TEXT(SUMPRODUCT(MAX((案件入力!$D$2:$D$301=$B122)*(案件入力!$R$2:$R$301="完了")*(案件入力!$B$2:$B$301))),"0"),案件入力!$T$2:$T$301,0))),$F122)</f>
        <v/>
      </c>
      <c r="I122" s="42">
        <f>IFERROR(IF(SUMPRODUCT(MAX((案件入力!$D$2:$D$301=$B122)*(案件入力!$R$2:$R$301="完了")*(案件入力!$B$2:$B$301)))=0,$G122,INDEX(案件入力!$M$2:$M$301,MATCH($B122&amp;"|"&amp;TEXT(SUMPRODUCT(MAX((案件入力!$D$2:$D$301=$B122)*(案件入力!$R$2:$R$301="完了")*(案件入力!$B$2:$B$301))),"0"),案件入力!$T$2:$T$301,0))),$G122)</f>
        <v/>
      </c>
      <c r="J122" s="13" t="n"/>
    </row>
    <row r="123">
      <c r="A123" s="13" t="n"/>
      <c r="B123" s="13" t="n"/>
      <c r="C123" s="13" t="n"/>
      <c r="D123" s="13" t="n"/>
      <c r="E123" s="13" t="n"/>
      <c r="F123" s="43" t="n"/>
      <c r="G123" s="43" t="n"/>
      <c r="H123" s="42">
        <f>IFERROR(IF(SUMPRODUCT(MAX((案件入力!$D$2:$D$301=$B123)*(案件入力!$R$2:$R$301="完了")*(案件入力!$B$2:$B$301)))=0,$F123,INDEX(案件入力!$I$2:$I$301,MATCH($B123&amp;"|"&amp;TEXT(SUMPRODUCT(MAX((案件入力!$D$2:$D$301=$B123)*(案件入力!$R$2:$R$301="完了")*(案件入力!$B$2:$B$301))),"0"),案件入力!$T$2:$T$301,0))),$F123)</f>
        <v/>
      </c>
      <c r="I123" s="42">
        <f>IFERROR(IF(SUMPRODUCT(MAX((案件入力!$D$2:$D$301=$B123)*(案件入力!$R$2:$R$301="完了")*(案件入力!$B$2:$B$301)))=0,$G123,INDEX(案件入力!$M$2:$M$301,MATCH($B123&amp;"|"&amp;TEXT(SUMPRODUCT(MAX((案件入力!$D$2:$D$301=$B123)*(案件入力!$R$2:$R$301="完了")*(案件入力!$B$2:$B$301))),"0"),案件入力!$T$2:$T$301,0))),$G123)</f>
        <v/>
      </c>
      <c r="J123" s="13" t="n"/>
    </row>
    <row r="124">
      <c r="A124" s="13" t="n"/>
      <c r="B124" s="13" t="n"/>
      <c r="C124" s="13" t="n"/>
      <c r="D124" s="13" t="n"/>
      <c r="E124" s="13" t="n"/>
      <c r="F124" s="43" t="n"/>
      <c r="G124" s="43" t="n"/>
      <c r="H124" s="42">
        <f>IFERROR(IF(SUMPRODUCT(MAX((案件入力!$D$2:$D$301=$B124)*(案件入力!$R$2:$R$301="完了")*(案件入力!$B$2:$B$301)))=0,$F124,INDEX(案件入力!$I$2:$I$301,MATCH($B124&amp;"|"&amp;TEXT(SUMPRODUCT(MAX((案件入力!$D$2:$D$301=$B124)*(案件入力!$R$2:$R$301="完了")*(案件入力!$B$2:$B$301))),"0"),案件入力!$T$2:$T$301,0))),$F124)</f>
        <v/>
      </c>
      <c r="I124" s="42">
        <f>IFERROR(IF(SUMPRODUCT(MAX((案件入力!$D$2:$D$301=$B124)*(案件入力!$R$2:$R$301="完了")*(案件入力!$B$2:$B$301)))=0,$G124,INDEX(案件入力!$M$2:$M$301,MATCH($B124&amp;"|"&amp;TEXT(SUMPRODUCT(MAX((案件入力!$D$2:$D$301=$B124)*(案件入力!$R$2:$R$301="完了")*(案件入力!$B$2:$B$301))),"0"),案件入力!$T$2:$T$301,0))),$G124)</f>
        <v/>
      </c>
      <c r="J124" s="13" t="n"/>
    </row>
    <row r="125">
      <c r="A125" s="13" t="n"/>
      <c r="B125" s="13" t="n"/>
      <c r="C125" s="13" t="n"/>
      <c r="D125" s="13" t="n"/>
      <c r="E125" s="13" t="n"/>
      <c r="F125" s="43" t="n"/>
      <c r="G125" s="43" t="n"/>
      <c r="H125" s="42">
        <f>IFERROR(IF(SUMPRODUCT(MAX((案件入力!$D$2:$D$301=$B125)*(案件入力!$R$2:$R$301="完了")*(案件入力!$B$2:$B$301)))=0,$F125,INDEX(案件入力!$I$2:$I$301,MATCH($B125&amp;"|"&amp;TEXT(SUMPRODUCT(MAX((案件入力!$D$2:$D$301=$B125)*(案件入力!$R$2:$R$301="完了")*(案件入力!$B$2:$B$301))),"0"),案件入力!$T$2:$T$301,0))),$F125)</f>
        <v/>
      </c>
      <c r="I125" s="42">
        <f>IFERROR(IF(SUMPRODUCT(MAX((案件入力!$D$2:$D$301=$B125)*(案件入力!$R$2:$R$301="完了")*(案件入力!$B$2:$B$301)))=0,$G125,INDEX(案件入力!$M$2:$M$301,MATCH($B125&amp;"|"&amp;TEXT(SUMPRODUCT(MAX((案件入力!$D$2:$D$301=$B125)*(案件入力!$R$2:$R$301="完了")*(案件入力!$B$2:$B$301))),"0"),案件入力!$T$2:$T$301,0))),$G125)</f>
        <v/>
      </c>
      <c r="J125" s="13" t="n"/>
    </row>
    <row r="126">
      <c r="A126" s="13" t="n"/>
      <c r="B126" s="13" t="n"/>
      <c r="C126" s="13" t="n"/>
      <c r="D126" s="13" t="n"/>
      <c r="E126" s="13" t="n"/>
      <c r="F126" s="43" t="n"/>
      <c r="G126" s="43" t="n"/>
      <c r="H126" s="42">
        <f>IFERROR(IF(SUMPRODUCT(MAX((案件入力!$D$2:$D$301=$B126)*(案件入力!$R$2:$R$301="完了")*(案件入力!$B$2:$B$301)))=0,$F126,INDEX(案件入力!$I$2:$I$301,MATCH($B126&amp;"|"&amp;TEXT(SUMPRODUCT(MAX((案件入力!$D$2:$D$301=$B126)*(案件入力!$R$2:$R$301="完了")*(案件入力!$B$2:$B$301))),"0"),案件入力!$T$2:$T$301,0))),$F126)</f>
        <v/>
      </c>
      <c r="I126" s="42">
        <f>IFERROR(IF(SUMPRODUCT(MAX((案件入力!$D$2:$D$301=$B126)*(案件入力!$R$2:$R$301="完了")*(案件入力!$B$2:$B$301)))=0,$G126,INDEX(案件入力!$M$2:$M$301,MATCH($B126&amp;"|"&amp;TEXT(SUMPRODUCT(MAX((案件入力!$D$2:$D$301=$B126)*(案件入力!$R$2:$R$301="完了")*(案件入力!$B$2:$B$301))),"0"),案件入力!$T$2:$T$301,0))),$G126)</f>
        <v/>
      </c>
      <c r="J126" s="13" t="n"/>
    </row>
    <row r="127">
      <c r="A127" s="13" t="n"/>
      <c r="B127" s="13" t="n"/>
      <c r="C127" s="13" t="n"/>
      <c r="D127" s="13" t="n"/>
      <c r="E127" s="13" t="n"/>
      <c r="F127" s="43" t="n"/>
      <c r="G127" s="43" t="n"/>
      <c r="H127" s="42">
        <f>IFERROR(IF(SUMPRODUCT(MAX((案件入力!$D$2:$D$301=$B127)*(案件入力!$R$2:$R$301="完了")*(案件入力!$B$2:$B$301)))=0,$F127,INDEX(案件入力!$I$2:$I$301,MATCH($B127&amp;"|"&amp;TEXT(SUMPRODUCT(MAX((案件入力!$D$2:$D$301=$B127)*(案件入力!$R$2:$R$301="完了")*(案件入力!$B$2:$B$301))),"0"),案件入力!$T$2:$T$301,0))),$F127)</f>
        <v/>
      </c>
      <c r="I127" s="42">
        <f>IFERROR(IF(SUMPRODUCT(MAX((案件入力!$D$2:$D$301=$B127)*(案件入力!$R$2:$R$301="完了")*(案件入力!$B$2:$B$301)))=0,$G127,INDEX(案件入力!$M$2:$M$301,MATCH($B127&amp;"|"&amp;TEXT(SUMPRODUCT(MAX((案件入力!$D$2:$D$301=$B127)*(案件入力!$R$2:$R$301="完了")*(案件入力!$B$2:$B$301))),"0"),案件入力!$T$2:$T$301,0))),$G127)</f>
        <v/>
      </c>
      <c r="J127" s="13" t="n"/>
    </row>
    <row r="128">
      <c r="A128" s="13" t="n"/>
      <c r="B128" s="13" t="n"/>
      <c r="C128" s="13" t="n"/>
      <c r="D128" s="13" t="n"/>
      <c r="E128" s="13" t="n"/>
      <c r="F128" s="43" t="n"/>
      <c r="G128" s="43" t="n"/>
      <c r="H128" s="42">
        <f>IFERROR(IF(SUMPRODUCT(MAX((案件入力!$D$2:$D$301=$B128)*(案件入力!$R$2:$R$301="完了")*(案件入力!$B$2:$B$301)))=0,$F128,INDEX(案件入力!$I$2:$I$301,MATCH($B128&amp;"|"&amp;TEXT(SUMPRODUCT(MAX((案件入力!$D$2:$D$301=$B128)*(案件入力!$R$2:$R$301="完了")*(案件入力!$B$2:$B$301))),"0"),案件入力!$T$2:$T$301,0))),$F128)</f>
        <v/>
      </c>
      <c r="I128" s="42">
        <f>IFERROR(IF(SUMPRODUCT(MAX((案件入力!$D$2:$D$301=$B128)*(案件入力!$R$2:$R$301="完了")*(案件入力!$B$2:$B$301)))=0,$G128,INDEX(案件入力!$M$2:$M$301,MATCH($B128&amp;"|"&amp;TEXT(SUMPRODUCT(MAX((案件入力!$D$2:$D$301=$B128)*(案件入力!$R$2:$R$301="完了")*(案件入力!$B$2:$B$301))),"0"),案件入力!$T$2:$T$301,0))),$G128)</f>
        <v/>
      </c>
      <c r="J128" s="13" t="n"/>
    </row>
    <row r="129">
      <c r="A129" s="13" t="n"/>
      <c r="B129" s="13" t="n"/>
      <c r="C129" s="13" t="n"/>
      <c r="D129" s="13" t="n"/>
      <c r="E129" s="13" t="n"/>
      <c r="F129" s="43" t="n"/>
      <c r="G129" s="43" t="n"/>
      <c r="H129" s="42">
        <f>IFERROR(IF(SUMPRODUCT(MAX((案件入力!$D$2:$D$301=$B129)*(案件入力!$R$2:$R$301="完了")*(案件入力!$B$2:$B$301)))=0,$F129,INDEX(案件入力!$I$2:$I$301,MATCH($B129&amp;"|"&amp;TEXT(SUMPRODUCT(MAX((案件入力!$D$2:$D$301=$B129)*(案件入力!$R$2:$R$301="完了")*(案件入力!$B$2:$B$301))),"0"),案件入力!$T$2:$T$301,0))),$F129)</f>
        <v/>
      </c>
      <c r="I129" s="42">
        <f>IFERROR(IF(SUMPRODUCT(MAX((案件入力!$D$2:$D$301=$B129)*(案件入力!$R$2:$R$301="完了")*(案件入力!$B$2:$B$301)))=0,$G129,INDEX(案件入力!$M$2:$M$301,MATCH($B129&amp;"|"&amp;TEXT(SUMPRODUCT(MAX((案件入力!$D$2:$D$301=$B129)*(案件入力!$R$2:$R$301="完了")*(案件入力!$B$2:$B$301))),"0"),案件入力!$T$2:$T$301,0))),$G129)</f>
        <v/>
      </c>
      <c r="J129" s="13" t="n"/>
    </row>
    <row r="130">
      <c r="A130" s="13" t="n"/>
      <c r="B130" s="13" t="n"/>
      <c r="C130" s="13" t="n"/>
      <c r="D130" s="13" t="n"/>
      <c r="E130" s="13" t="n"/>
      <c r="F130" s="43" t="n"/>
      <c r="G130" s="43" t="n"/>
      <c r="H130" s="42">
        <f>IFERROR(IF(SUMPRODUCT(MAX((案件入力!$D$2:$D$301=$B130)*(案件入力!$R$2:$R$301="完了")*(案件入力!$B$2:$B$301)))=0,$F130,INDEX(案件入力!$I$2:$I$301,MATCH($B130&amp;"|"&amp;TEXT(SUMPRODUCT(MAX((案件入力!$D$2:$D$301=$B130)*(案件入力!$R$2:$R$301="完了")*(案件入力!$B$2:$B$301))),"0"),案件入力!$T$2:$T$301,0))),$F130)</f>
        <v/>
      </c>
      <c r="I130" s="42">
        <f>IFERROR(IF(SUMPRODUCT(MAX((案件入力!$D$2:$D$301=$B130)*(案件入力!$R$2:$R$301="完了")*(案件入力!$B$2:$B$301)))=0,$G130,INDEX(案件入力!$M$2:$M$301,MATCH($B130&amp;"|"&amp;TEXT(SUMPRODUCT(MAX((案件入力!$D$2:$D$301=$B130)*(案件入力!$R$2:$R$301="完了")*(案件入力!$B$2:$B$301))),"0"),案件入力!$T$2:$T$301,0))),$G130)</f>
        <v/>
      </c>
      <c r="J130" s="13" t="n"/>
    </row>
    <row r="131">
      <c r="A131" s="13" t="n"/>
      <c r="B131" s="13" t="n"/>
      <c r="C131" s="13" t="n"/>
      <c r="D131" s="13" t="n"/>
      <c r="E131" s="13" t="n"/>
      <c r="F131" s="43" t="n"/>
      <c r="G131" s="43" t="n"/>
      <c r="H131" s="42">
        <f>IFERROR(IF(SUMPRODUCT(MAX((案件入力!$D$2:$D$301=$B131)*(案件入力!$R$2:$R$301="完了")*(案件入力!$B$2:$B$301)))=0,$F131,INDEX(案件入力!$I$2:$I$301,MATCH($B131&amp;"|"&amp;TEXT(SUMPRODUCT(MAX((案件入力!$D$2:$D$301=$B131)*(案件入力!$R$2:$R$301="完了")*(案件入力!$B$2:$B$301))),"0"),案件入力!$T$2:$T$301,0))),$F131)</f>
        <v/>
      </c>
      <c r="I131" s="42">
        <f>IFERROR(IF(SUMPRODUCT(MAX((案件入力!$D$2:$D$301=$B131)*(案件入力!$R$2:$R$301="完了")*(案件入力!$B$2:$B$301)))=0,$G131,INDEX(案件入力!$M$2:$M$301,MATCH($B131&amp;"|"&amp;TEXT(SUMPRODUCT(MAX((案件入力!$D$2:$D$301=$B131)*(案件入力!$R$2:$R$301="完了")*(案件入力!$B$2:$B$301))),"0"),案件入力!$T$2:$T$301,0))),$G131)</f>
        <v/>
      </c>
      <c r="J131" s="13" t="n"/>
    </row>
    <row r="132">
      <c r="A132" s="13" t="n"/>
      <c r="B132" s="13" t="n"/>
      <c r="C132" s="13" t="n"/>
      <c r="D132" s="13" t="n"/>
      <c r="E132" s="13" t="n"/>
      <c r="F132" s="43" t="n"/>
      <c r="G132" s="43" t="n"/>
      <c r="H132" s="42">
        <f>IFERROR(IF(SUMPRODUCT(MAX((案件入力!$D$2:$D$301=$B132)*(案件入力!$R$2:$R$301="完了")*(案件入力!$B$2:$B$301)))=0,$F132,INDEX(案件入力!$I$2:$I$301,MATCH($B132&amp;"|"&amp;TEXT(SUMPRODUCT(MAX((案件入力!$D$2:$D$301=$B132)*(案件入力!$R$2:$R$301="完了")*(案件入力!$B$2:$B$301))),"0"),案件入力!$T$2:$T$301,0))),$F132)</f>
        <v/>
      </c>
      <c r="I132" s="42">
        <f>IFERROR(IF(SUMPRODUCT(MAX((案件入力!$D$2:$D$301=$B132)*(案件入力!$R$2:$R$301="完了")*(案件入力!$B$2:$B$301)))=0,$G132,INDEX(案件入力!$M$2:$M$301,MATCH($B132&amp;"|"&amp;TEXT(SUMPRODUCT(MAX((案件入力!$D$2:$D$301=$B132)*(案件入力!$R$2:$R$301="完了")*(案件入力!$B$2:$B$301))),"0"),案件入力!$T$2:$T$301,0))),$G132)</f>
        <v/>
      </c>
      <c r="J132" s="13" t="n"/>
    </row>
    <row r="133">
      <c r="A133" s="13" t="n"/>
      <c r="B133" s="13" t="n"/>
      <c r="C133" s="13" t="n"/>
      <c r="D133" s="13" t="n"/>
      <c r="E133" s="13" t="n"/>
      <c r="F133" s="43" t="n"/>
      <c r="G133" s="43" t="n"/>
      <c r="H133" s="42">
        <f>IFERROR(IF(SUMPRODUCT(MAX((案件入力!$D$2:$D$301=$B133)*(案件入力!$R$2:$R$301="完了")*(案件入力!$B$2:$B$301)))=0,$F133,INDEX(案件入力!$I$2:$I$301,MATCH($B133&amp;"|"&amp;TEXT(SUMPRODUCT(MAX((案件入力!$D$2:$D$301=$B133)*(案件入力!$R$2:$R$301="完了")*(案件入力!$B$2:$B$301))),"0"),案件入力!$T$2:$T$301,0))),$F133)</f>
        <v/>
      </c>
      <c r="I133" s="42">
        <f>IFERROR(IF(SUMPRODUCT(MAX((案件入力!$D$2:$D$301=$B133)*(案件入力!$R$2:$R$301="完了")*(案件入力!$B$2:$B$301)))=0,$G133,INDEX(案件入力!$M$2:$M$301,MATCH($B133&amp;"|"&amp;TEXT(SUMPRODUCT(MAX((案件入力!$D$2:$D$301=$B133)*(案件入力!$R$2:$R$301="完了")*(案件入力!$B$2:$B$301))),"0"),案件入力!$T$2:$T$301,0))),$G133)</f>
        <v/>
      </c>
      <c r="J133" s="13" t="n"/>
    </row>
    <row r="134">
      <c r="A134" s="13" t="n"/>
      <c r="B134" s="13" t="n"/>
      <c r="C134" s="13" t="n"/>
      <c r="D134" s="13" t="n"/>
      <c r="E134" s="13" t="n"/>
      <c r="F134" s="43" t="n"/>
      <c r="G134" s="43" t="n"/>
      <c r="H134" s="42">
        <f>IFERROR(IF(SUMPRODUCT(MAX((案件入力!$D$2:$D$301=$B134)*(案件入力!$R$2:$R$301="完了")*(案件入力!$B$2:$B$301)))=0,$F134,INDEX(案件入力!$I$2:$I$301,MATCH($B134&amp;"|"&amp;TEXT(SUMPRODUCT(MAX((案件入力!$D$2:$D$301=$B134)*(案件入力!$R$2:$R$301="完了")*(案件入力!$B$2:$B$301))),"0"),案件入力!$T$2:$T$301,0))),$F134)</f>
        <v/>
      </c>
      <c r="I134" s="42">
        <f>IFERROR(IF(SUMPRODUCT(MAX((案件入力!$D$2:$D$301=$B134)*(案件入力!$R$2:$R$301="完了")*(案件入力!$B$2:$B$301)))=0,$G134,INDEX(案件入力!$M$2:$M$301,MATCH($B134&amp;"|"&amp;TEXT(SUMPRODUCT(MAX((案件入力!$D$2:$D$301=$B134)*(案件入力!$R$2:$R$301="完了")*(案件入力!$B$2:$B$301))),"0"),案件入力!$T$2:$T$301,0))),$G134)</f>
        <v/>
      </c>
      <c r="J134" s="13" t="n"/>
    </row>
    <row r="135">
      <c r="A135" s="13" t="n"/>
      <c r="B135" s="13" t="n"/>
      <c r="C135" s="13" t="n"/>
      <c r="D135" s="13" t="n"/>
      <c r="E135" s="13" t="n"/>
      <c r="F135" s="43" t="n"/>
      <c r="G135" s="43" t="n"/>
      <c r="H135" s="42">
        <f>IFERROR(IF(SUMPRODUCT(MAX((案件入力!$D$2:$D$301=$B135)*(案件入力!$R$2:$R$301="完了")*(案件入力!$B$2:$B$301)))=0,$F135,INDEX(案件入力!$I$2:$I$301,MATCH($B135&amp;"|"&amp;TEXT(SUMPRODUCT(MAX((案件入力!$D$2:$D$301=$B135)*(案件入力!$R$2:$R$301="完了")*(案件入力!$B$2:$B$301))),"0"),案件入力!$T$2:$T$301,0))),$F135)</f>
        <v/>
      </c>
      <c r="I135" s="42">
        <f>IFERROR(IF(SUMPRODUCT(MAX((案件入力!$D$2:$D$301=$B135)*(案件入力!$R$2:$R$301="完了")*(案件入力!$B$2:$B$301)))=0,$G135,INDEX(案件入力!$M$2:$M$301,MATCH($B135&amp;"|"&amp;TEXT(SUMPRODUCT(MAX((案件入力!$D$2:$D$301=$B135)*(案件入力!$R$2:$R$301="完了")*(案件入力!$B$2:$B$301))),"0"),案件入力!$T$2:$T$301,0))),$G135)</f>
        <v/>
      </c>
      <c r="J135" s="13" t="n"/>
    </row>
    <row r="136">
      <c r="A136" s="13" t="n"/>
      <c r="B136" s="13" t="n"/>
      <c r="C136" s="13" t="n"/>
      <c r="D136" s="13" t="n"/>
      <c r="E136" s="13" t="n"/>
      <c r="F136" s="43" t="n"/>
      <c r="G136" s="43" t="n"/>
      <c r="H136" s="42">
        <f>IFERROR(IF(SUMPRODUCT(MAX((案件入力!$D$2:$D$301=$B136)*(案件入力!$R$2:$R$301="完了")*(案件入力!$B$2:$B$301)))=0,$F136,INDEX(案件入力!$I$2:$I$301,MATCH($B136&amp;"|"&amp;TEXT(SUMPRODUCT(MAX((案件入力!$D$2:$D$301=$B136)*(案件入力!$R$2:$R$301="完了")*(案件入力!$B$2:$B$301))),"0"),案件入力!$T$2:$T$301,0))),$F136)</f>
        <v/>
      </c>
      <c r="I136" s="42">
        <f>IFERROR(IF(SUMPRODUCT(MAX((案件入力!$D$2:$D$301=$B136)*(案件入力!$R$2:$R$301="完了")*(案件入力!$B$2:$B$301)))=0,$G136,INDEX(案件入力!$M$2:$M$301,MATCH($B136&amp;"|"&amp;TEXT(SUMPRODUCT(MAX((案件入力!$D$2:$D$301=$B136)*(案件入力!$R$2:$R$301="完了")*(案件入力!$B$2:$B$301))),"0"),案件入力!$T$2:$T$301,0))),$G136)</f>
        <v/>
      </c>
      <c r="J136" s="13" t="n"/>
    </row>
    <row r="137">
      <c r="A137" s="13" t="n"/>
      <c r="B137" s="13" t="n"/>
      <c r="C137" s="13" t="n"/>
      <c r="D137" s="13" t="n"/>
      <c r="E137" s="13" t="n"/>
      <c r="F137" s="43" t="n"/>
      <c r="G137" s="43" t="n"/>
      <c r="H137" s="42">
        <f>IFERROR(IF(SUMPRODUCT(MAX((案件入力!$D$2:$D$301=$B137)*(案件入力!$R$2:$R$301="完了")*(案件入力!$B$2:$B$301)))=0,$F137,INDEX(案件入力!$I$2:$I$301,MATCH($B137&amp;"|"&amp;TEXT(SUMPRODUCT(MAX((案件入力!$D$2:$D$301=$B137)*(案件入力!$R$2:$R$301="完了")*(案件入力!$B$2:$B$301))),"0"),案件入力!$T$2:$T$301,0))),$F137)</f>
        <v/>
      </c>
      <c r="I137" s="42">
        <f>IFERROR(IF(SUMPRODUCT(MAX((案件入力!$D$2:$D$301=$B137)*(案件入力!$R$2:$R$301="完了")*(案件入力!$B$2:$B$301)))=0,$G137,INDEX(案件入力!$M$2:$M$301,MATCH($B137&amp;"|"&amp;TEXT(SUMPRODUCT(MAX((案件入力!$D$2:$D$301=$B137)*(案件入力!$R$2:$R$301="完了")*(案件入力!$B$2:$B$301))),"0"),案件入力!$T$2:$T$301,0))),$G137)</f>
        <v/>
      </c>
      <c r="J137" s="13" t="n"/>
    </row>
    <row r="138">
      <c r="A138" s="13" t="n"/>
      <c r="B138" s="13" t="n"/>
      <c r="C138" s="13" t="n"/>
      <c r="D138" s="13" t="n"/>
      <c r="E138" s="13" t="n"/>
      <c r="F138" s="43" t="n"/>
      <c r="G138" s="43" t="n"/>
      <c r="H138" s="42">
        <f>IFERROR(IF(SUMPRODUCT(MAX((案件入力!$D$2:$D$301=$B138)*(案件入力!$R$2:$R$301="完了")*(案件入力!$B$2:$B$301)))=0,$F138,INDEX(案件入力!$I$2:$I$301,MATCH($B138&amp;"|"&amp;TEXT(SUMPRODUCT(MAX((案件入力!$D$2:$D$301=$B138)*(案件入力!$R$2:$R$301="完了")*(案件入力!$B$2:$B$301))),"0"),案件入力!$T$2:$T$301,0))),$F138)</f>
        <v/>
      </c>
      <c r="I138" s="42">
        <f>IFERROR(IF(SUMPRODUCT(MAX((案件入力!$D$2:$D$301=$B138)*(案件入力!$R$2:$R$301="完了")*(案件入力!$B$2:$B$301)))=0,$G138,INDEX(案件入力!$M$2:$M$301,MATCH($B138&amp;"|"&amp;TEXT(SUMPRODUCT(MAX((案件入力!$D$2:$D$301=$B138)*(案件入力!$R$2:$R$301="完了")*(案件入力!$B$2:$B$301))),"0"),案件入力!$T$2:$T$301,0))),$G138)</f>
        <v/>
      </c>
      <c r="J138" s="13" t="n"/>
    </row>
    <row r="139">
      <c r="A139" s="13" t="n"/>
      <c r="B139" s="13" t="n"/>
      <c r="C139" s="13" t="n"/>
      <c r="D139" s="13" t="n"/>
      <c r="E139" s="13" t="n"/>
      <c r="F139" s="43" t="n"/>
      <c r="G139" s="43" t="n"/>
      <c r="H139" s="42">
        <f>IFERROR(IF(SUMPRODUCT(MAX((案件入力!$D$2:$D$301=$B139)*(案件入力!$R$2:$R$301="完了")*(案件入力!$B$2:$B$301)))=0,$F139,INDEX(案件入力!$I$2:$I$301,MATCH($B139&amp;"|"&amp;TEXT(SUMPRODUCT(MAX((案件入力!$D$2:$D$301=$B139)*(案件入力!$R$2:$R$301="完了")*(案件入力!$B$2:$B$301))),"0"),案件入力!$T$2:$T$301,0))),$F139)</f>
        <v/>
      </c>
      <c r="I139" s="42">
        <f>IFERROR(IF(SUMPRODUCT(MAX((案件入力!$D$2:$D$301=$B139)*(案件入力!$R$2:$R$301="完了")*(案件入力!$B$2:$B$301)))=0,$G139,INDEX(案件入力!$M$2:$M$301,MATCH($B139&amp;"|"&amp;TEXT(SUMPRODUCT(MAX((案件入力!$D$2:$D$301=$B139)*(案件入力!$R$2:$R$301="完了")*(案件入力!$B$2:$B$301))),"0"),案件入力!$T$2:$T$301,0))),$G139)</f>
        <v/>
      </c>
      <c r="J139" s="13" t="n"/>
    </row>
    <row r="140">
      <c r="A140" s="13" t="n"/>
      <c r="B140" s="13" t="n"/>
      <c r="C140" s="13" t="n"/>
      <c r="D140" s="13" t="n"/>
      <c r="E140" s="13" t="n"/>
      <c r="F140" s="43" t="n"/>
      <c r="G140" s="43" t="n"/>
      <c r="H140" s="42">
        <f>IFERROR(IF(SUMPRODUCT(MAX((案件入力!$D$2:$D$301=$B140)*(案件入力!$R$2:$R$301="完了")*(案件入力!$B$2:$B$301)))=0,$F140,INDEX(案件入力!$I$2:$I$301,MATCH($B140&amp;"|"&amp;TEXT(SUMPRODUCT(MAX((案件入力!$D$2:$D$301=$B140)*(案件入力!$R$2:$R$301="完了")*(案件入力!$B$2:$B$301))),"0"),案件入力!$T$2:$T$301,0))),$F140)</f>
        <v/>
      </c>
      <c r="I140" s="42">
        <f>IFERROR(IF(SUMPRODUCT(MAX((案件入力!$D$2:$D$301=$B140)*(案件入力!$R$2:$R$301="完了")*(案件入力!$B$2:$B$301)))=0,$G140,INDEX(案件入力!$M$2:$M$301,MATCH($B140&amp;"|"&amp;TEXT(SUMPRODUCT(MAX((案件入力!$D$2:$D$301=$B140)*(案件入力!$R$2:$R$301="完了")*(案件入力!$B$2:$B$301))),"0"),案件入力!$T$2:$T$301,0))),$G140)</f>
        <v/>
      </c>
      <c r="J140" s="13" t="n"/>
    </row>
    <row r="141">
      <c r="A141" s="13" t="n"/>
      <c r="B141" s="13" t="n"/>
      <c r="C141" s="13" t="n"/>
      <c r="D141" s="13" t="n"/>
      <c r="E141" s="13" t="n"/>
      <c r="F141" s="43" t="n"/>
      <c r="G141" s="43" t="n"/>
      <c r="H141" s="42">
        <f>IFERROR(IF(SUMPRODUCT(MAX((案件入力!$D$2:$D$301=$B141)*(案件入力!$R$2:$R$301="完了")*(案件入力!$B$2:$B$301)))=0,$F141,INDEX(案件入力!$I$2:$I$301,MATCH($B141&amp;"|"&amp;TEXT(SUMPRODUCT(MAX((案件入力!$D$2:$D$301=$B141)*(案件入力!$R$2:$R$301="完了")*(案件入力!$B$2:$B$301))),"0"),案件入力!$T$2:$T$301,0))),$F141)</f>
        <v/>
      </c>
      <c r="I141" s="42">
        <f>IFERROR(IF(SUMPRODUCT(MAX((案件入力!$D$2:$D$301=$B141)*(案件入力!$R$2:$R$301="完了")*(案件入力!$B$2:$B$301)))=0,$G141,INDEX(案件入力!$M$2:$M$301,MATCH($B141&amp;"|"&amp;TEXT(SUMPRODUCT(MAX((案件入力!$D$2:$D$301=$B141)*(案件入力!$R$2:$R$301="完了")*(案件入力!$B$2:$B$301))),"0"),案件入力!$T$2:$T$301,0))),$G141)</f>
        <v/>
      </c>
      <c r="J141" s="13" t="n"/>
    </row>
    <row r="142">
      <c r="A142" s="13" t="n"/>
      <c r="B142" s="13" t="n"/>
      <c r="C142" s="13" t="n"/>
      <c r="D142" s="13" t="n"/>
      <c r="E142" s="13" t="n"/>
      <c r="F142" s="43" t="n"/>
      <c r="G142" s="43" t="n"/>
      <c r="H142" s="42">
        <f>IFERROR(IF(SUMPRODUCT(MAX((案件入力!$D$2:$D$301=$B142)*(案件入力!$R$2:$R$301="完了")*(案件入力!$B$2:$B$301)))=0,$F142,INDEX(案件入力!$I$2:$I$301,MATCH($B142&amp;"|"&amp;TEXT(SUMPRODUCT(MAX((案件入力!$D$2:$D$301=$B142)*(案件入力!$R$2:$R$301="完了")*(案件入力!$B$2:$B$301))),"0"),案件入力!$T$2:$T$301,0))),$F142)</f>
        <v/>
      </c>
      <c r="I142" s="42">
        <f>IFERROR(IF(SUMPRODUCT(MAX((案件入力!$D$2:$D$301=$B142)*(案件入力!$R$2:$R$301="完了")*(案件入力!$B$2:$B$301)))=0,$G142,INDEX(案件入力!$M$2:$M$301,MATCH($B142&amp;"|"&amp;TEXT(SUMPRODUCT(MAX((案件入力!$D$2:$D$301=$B142)*(案件入力!$R$2:$R$301="完了")*(案件入力!$B$2:$B$301))),"0"),案件入力!$T$2:$T$301,0))),$G142)</f>
        <v/>
      </c>
      <c r="J142" s="13" t="n"/>
    </row>
    <row r="143">
      <c r="A143" s="13" t="n"/>
      <c r="B143" s="13" t="n"/>
      <c r="C143" s="13" t="n"/>
      <c r="D143" s="13" t="n"/>
      <c r="E143" s="13" t="n"/>
      <c r="F143" s="43" t="n"/>
      <c r="G143" s="43" t="n"/>
      <c r="H143" s="42">
        <f>IFERROR(IF(SUMPRODUCT(MAX((案件入力!$D$2:$D$301=$B143)*(案件入力!$R$2:$R$301="完了")*(案件入力!$B$2:$B$301)))=0,$F143,INDEX(案件入力!$I$2:$I$301,MATCH($B143&amp;"|"&amp;TEXT(SUMPRODUCT(MAX((案件入力!$D$2:$D$301=$B143)*(案件入力!$R$2:$R$301="完了")*(案件入力!$B$2:$B$301))),"0"),案件入力!$T$2:$T$301,0))),$F143)</f>
        <v/>
      </c>
      <c r="I143" s="42">
        <f>IFERROR(IF(SUMPRODUCT(MAX((案件入力!$D$2:$D$301=$B143)*(案件入力!$R$2:$R$301="完了")*(案件入力!$B$2:$B$301)))=0,$G143,INDEX(案件入力!$M$2:$M$301,MATCH($B143&amp;"|"&amp;TEXT(SUMPRODUCT(MAX((案件入力!$D$2:$D$301=$B143)*(案件入力!$R$2:$R$301="完了")*(案件入力!$B$2:$B$301))),"0"),案件入力!$T$2:$T$301,0))),$G143)</f>
        <v/>
      </c>
      <c r="J143" s="13" t="n"/>
    </row>
    <row r="144">
      <c r="A144" s="13" t="n"/>
      <c r="B144" s="13" t="n"/>
      <c r="C144" s="13" t="n"/>
      <c r="D144" s="13" t="n"/>
      <c r="E144" s="13" t="n"/>
      <c r="F144" s="43" t="n"/>
      <c r="G144" s="43" t="n"/>
      <c r="H144" s="42">
        <f>IFERROR(IF(SUMPRODUCT(MAX((案件入力!$D$2:$D$301=$B144)*(案件入力!$R$2:$R$301="完了")*(案件入力!$B$2:$B$301)))=0,$F144,INDEX(案件入力!$I$2:$I$301,MATCH($B144&amp;"|"&amp;TEXT(SUMPRODUCT(MAX((案件入力!$D$2:$D$301=$B144)*(案件入力!$R$2:$R$301="完了")*(案件入力!$B$2:$B$301))),"0"),案件入力!$T$2:$T$301,0))),$F144)</f>
        <v/>
      </c>
      <c r="I144" s="42">
        <f>IFERROR(IF(SUMPRODUCT(MAX((案件入力!$D$2:$D$301=$B144)*(案件入力!$R$2:$R$301="完了")*(案件入力!$B$2:$B$301)))=0,$G144,INDEX(案件入力!$M$2:$M$301,MATCH($B144&amp;"|"&amp;TEXT(SUMPRODUCT(MAX((案件入力!$D$2:$D$301=$B144)*(案件入力!$R$2:$R$301="完了")*(案件入力!$B$2:$B$301))),"0"),案件入力!$T$2:$T$301,0))),$G144)</f>
        <v/>
      </c>
      <c r="J144" s="13" t="n"/>
    </row>
    <row r="145">
      <c r="A145" s="13" t="n"/>
      <c r="B145" s="13" t="n"/>
      <c r="C145" s="13" t="n"/>
      <c r="D145" s="13" t="n"/>
      <c r="E145" s="13" t="n"/>
      <c r="F145" s="43" t="n"/>
      <c r="G145" s="43" t="n"/>
      <c r="H145" s="42">
        <f>IFERROR(IF(SUMPRODUCT(MAX((案件入力!$D$2:$D$301=$B145)*(案件入力!$R$2:$R$301="完了")*(案件入力!$B$2:$B$301)))=0,$F145,INDEX(案件入力!$I$2:$I$301,MATCH($B145&amp;"|"&amp;TEXT(SUMPRODUCT(MAX((案件入力!$D$2:$D$301=$B145)*(案件入力!$R$2:$R$301="完了")*(案件入力!$B$2:$B$301))),"0"),案件入力!$T$2:$T$301,0))),$F145)</f>
        <v/>
      </c>
      <c r="I145" s="42">
        <f>IFERROR(IF(SUMPRODUCT(MAX((案件入力!$D$2:$D$301=$B145)*(案件入力!$R$2:$R$301="完了")*(案件入力!$B$2:$B$301)))=0,$G145,INDEX(案件入力!$M$2:$M$301,MATCH($B145&amp;"|"&amp;TEXT(SUMPRODUCT(MAX((案件入力!$D$2:$D$301=$B145)*(案件入力!$R$2:$R$301="完了")*(案件入力!$B$2:$B$301))),"0"),案件入力!$T$2:$T$301,0))),$G145)</f>
        <v/>
      </c>
      <c r="J145" s="13" t="n"/>
    </row>
    <row r="146">
      <c r="A146" s="13" t="n"/>
      <c r="B146" s="13" t="n"/>
      <c r="C146" s="13" t="n"/>
      <c r="D146" s="13" t="n"/>
      <c r="E146" s="13" t="n"/>
      <c r="F146" s="43" t="n"/>
      <c r="G146" s="43" t="n"/>
      <c r="H146" s="42">
        <f>IFERROR(IF(SUMPRODUCT(MAX((案件入力!$D$2:$D$301=$B146)*(案件入力!$R$2:$R$301="完了")*(案件入力!$B$2:$B$301)))=0,$F146,INDEX(案件入力!$I$2:$I$301,MATCH($B146&amp;"|"&amp;TEXT(SUMPRODUCT(MAX((案件入力!$D$2:$D$301=$B146)*(案件入力!$R$2:$R$301="完了")*(案件入力!$B$2:$B$301))),"0"),案件入力!$T$2:$T$301,0))),$F146)</f>
        <v/>
      </c>
      <c r="I146" s="42">
        <f>IFERROR(IF(SUMPRODUCT(MAX((案件入力!$D$2:$D$301=$B146)*(案件入力!$R$2:$R$301="完了")*(案件入力!$B$2:$B$301)))=0,$G146,INDEX(案件入力!$M$2:$M$301,MATCH($B146&amp;"|"&amp;TEXT(SUMPRODUCT(MAX((案件入力!$D$2:$D$301=$B146)*(案件入力!$R$2:$R$301="完了")*(案件入力!$B$2:$B$301))),"0"),案件入力!$T$2:$T$301,0))),$G146)</f>
        <v/>
      </c>
      <c r="J146" s="13" t="n"/>
    </row>
    <row r="147">
      <c r="A147" s="13" t="n"/>
      <c r="B147" s="13" t="n"/>
      <c r="C147" s="13" t="n"/>
      <c r="D147" s="13" t="n"/>
      <c r="E147" s="13" t="n"/>
      <c r="F147" s="43" t="n"/>
      <c r="G147" s="43" t="n"/>
      <c r="H147" s="42">
        <f>IFERROR(IF(SUMPRODUCT(MAX((案件入力!$D$2:$D$301=$B147)*(案件入力!$R$2:$R$301="完了")*(案件入力!$B$2:$B$301)))=0,$F147,INDEX(案件入力!$I$2:$I$301,MATCH($B147&amp;"|"&amp;TEXT(SUMPRODUCT(MAX((案件入力!$D$2:$D$301=$B147)*(案件入力!$R$2:$R$301="完了")*(案件入力!$B$2:$B$301))),"0"),案件入力!$T$2:$T$301,0))),$F147)</f>
        <v/>
      </c>
      <c r="I147" s="42">
        <f>IFERROR(IF(SUMPRODUCT(MAX((案件入力!$D$2:$D$301=$B147)*(案件入力!$R$2:$R$301="完了")*(案件入力!$B$2:$B$301)))=0,$G147,INDEX(案件入力!$M$2:$M$301,MATCH($B147&amp;"|"&amp;TEXT(SUMPRODUCT(MAX((案件入力!$D$2:$D$301=$B147)*(案件入力!$R$2:$R$301="完了")*(案件入力!$B$2:$B$301))),"0"),案件入力!$T$2:$T$301,0))),$G147)</f>
        <v/>
      </c>
      <c r="J147" s="13" t="n"/>
    </row>
    <row r="148">
      <c r="A148" s="13" t="n"/>
      <c r="B148" s="13" t="n"/>
      <c r="C148" s="13" t="n"/>
      <c r="D148" s="13" t="n"/>
      <c r="E148" s="13" t="n"/>
      <c r="F148" s="43" t="n"/>
      <c r="G148" s="43" t="n"/>
      <c r="H148" s="42">
        <f>IFERROR(IF(SUMPRODUCT(MAX((案件入力!$D$2:$D$301=$B148)*(案件入力!$R$2:$R$301="完了")*(案件入力!$B$2:$B$301)))=0,$F148,INDEX(案件入力!$I$2:$I$301,MATCH($B148&amp;"|"&amp;TEXT(SUMPRODUCT(MAX((案件入力!$D$2:$D$301=$B148)*(案件入力!$R$2:$R$301="完了")*(案件入力!$B$2:$B$301))),"0"),案件入力!$T$2:$T$301,0))),$F148)</f>
        <v/>
      </c>
      <c r="I148" s="42">
        <f>IFERROR(IF(SUMPRODUCT(MAX((案件入力!$D$2:$D$301=$B148)*(案件入力!$R$2:$R$301="完了")*(案件入力!$B$2:$B$301)))=0,$G148,INDEX(案件入力!$M$2:$M$301,MATCH($B148&amp;"|"&amp;TEXT(SUMPRODUCT(MAX((案件入力!$D$2:$D$301=$B148)*(案件入力!$R$2:$R$301="完了")*(案件入力!$B$2:$B$301))),"0"),案件入力!$T$2:$T$301,0))),$G148)</f>
        <v/>
      </c>
      <c r="J148" s="13" t="n"/>
    </row>
    <row r="149">
      <c r="A149" s="13" t="n"/>
      <c r="B149" s="13" t="n"/>
      <c r="C149" s="13" t="n"/>
      <c r="D149" s="13" t="n"/>
      <c r="E149" s="13" t="n"/>
      <c r="F149" s="43" t="n"/>
      <c r="G149" s="43" t="n"/>
      <c r="H149" s="42">
        <f>IFERROR(IF(SUMPRODUCT(MAX((案件入力!$D$2:$D$301=$B149)*(案件入力!$R$2:$R$301="完了")*(案件入力!$B$2:$B$301)))=0,$F149,INDEX(案件入力!$I$2:$I$301,MATCH($B149&amp;"|"&amp;TEXT(SUMPRODUCT(MAX((案件入力!$D$2:$D$301=$B149)*(案件入力!$R$2:$R$301="完了")*(案件入力!$B$2:$B$301))),"0"),案件入力!$T$2:$T$301,0))),$F149)</f>
        <v/>
      </c>
      <c r="I149" s="42">
        <f>IFERROR(IF(SUMPRODUCT(MAX((案件入力!$D$2:$D$301=$B149)*(案件入力!$R$2:$R$301="完了")*(案件入力!$B$2:$B$301)))=0,$G149,INDEX(案件入力!$M$2:$M$301,MATCH($B149&amp;"|"&amp;TEXT(SUMPRODUCT(MAX((案件入力!$D$2:$D$301=$B149)*(案件入力!$R$2:$R$301="完了")*(案件入力!$B$2:$B$301))),"0"),案件入力!$T$2:$T$301,0))),$G149)</f>
        <v/>
      </c>
      <c r="J149" s="13" t="n"/>
    </row>
    <row r="150">
      <c r="A150" s="13" t="n"/>
      <c r="B150" s="13" t="n"/>
      <c r="C150" s="13" t="n"/>
      <c r="D150" s="13" t="n"/>
      <c r="E150" s="13" t="n"/>
      <c r="F150" s="43" t="n"/>
      <c r="G150" s="43" t="n"/>
      <c r="H150" s="42">
        <f>IFERROR(IF(SUMPRODUCT(MAX((案件入力!$D$2:$D$301=$B150)*(案件入力!$R$2:$R$301="完了")*(案件入力!$B$2:$B$301)))=0,$F150,INDEX(案件入力!$I$2:$I$301,MATCH($B150&amp;"|"&amp;TEXT(SUMPRODUCT(MAX((案件入力!$D$2:$D$301=$B150)*(案件入力!$R$2:$R$301="完了")*(案件入力!$B$2:$B$301))),"0"),案件入力!$T$2:$T$301,0))),$F150)</f>
        <v/>
      </c>
      <c r="I150" s="42">
        <f>IFERROR(IF(SUMPRODUCT(MAX((案件入力!$D$2:$D$301=$B150)*(案件入力!$R$2:$R$301="完了")*(案件入力!$B$2:$B$301)))=0,$G150,INDEX(案件入力!$M$2:$M$301,MATCH($B150&amp;"|"&amp;TEXT(SUMPRODUCT(MAX((案件入力!$D$2:$D$301=$B150)*(案件入力!$R$2:$R$301="完了")*(案件入力!$B$2:$B$301))),"0"),案件入力!$T$2:$T$301,0))),$G150)</f>
        <v/>
      </c>
      <c r="J150" s="13" t="n"/>
    </row>
    <row r="151">
      <c r="A151" s="13" t="n"/>
      <c r="B151" s="13" t="n"/>
      <c r="C151" s="13" t="n"/>
      <c r="D151" s="13" t="n"/>
      <c r="E151" s="13" t="n"/>
      <c r="F151" s="43" t="n"/>
      <c r="G151" s="43" t="n"/>
      <c r="H151" s="42">
        <f>IFERROR(IF(SUMPRODUCT(MAX((案件入力!$D$2:$D$301=$B151)*(案件入力!$R$2:$R$301="完了")*(案件入力!$B$2:$B$301)))=0,$F151,INDEX(案件入力!$I$2:$I$301,MATCH($B151&amp;"|"&amp;TEXT(SUMPRODUCT(MAX((案件入力!$D$2:$D$301=$B151)*(案件入力!$R$2:$R$301="完了")*(案件入力!$B$2:$B$301))),"0"),案件入力!$T$2:$T$301,0))),$F151)</f>
        <v/>
      </c>
      <c r="I151" s="42">
        <f>IFERROR(IF(SUMPRODUCT(MAX((案件入力!$D$2:$D$301=$B151)*(案件入力!$R$2:$R$301="完了")*(案件入力!$B$2:$B$301)))=0,$G151,INDEX(案件入力!$M$2:$M$301,MATCH($B151&amp;"|"&amp;TEXT(SUMPRODUCT(MAX((案件入力!$D$2:$D$301=$B151)*(案件入力!$R$2:$R$301="完了")*(案件入力!$B$2:$B$301))),"0"),案件入力!$T$2:$T$301,0))),$G151)</f>
        <v/>
      </c>
      <c r="J151" s="13" t="n"/>
    </row>
    <row r="152">
      <c r="A152" s="13" t="n"/>
      <c r="B152" s="13" t="n"/>
      <c r="C152" s="13" t="n"/>
      <c r="D152" s="13" t="n"/>
      <c r="E152" s="13" t="n"/>
      <c r="F152" s="43" t="n"/>
      <c r="G152" s="43" t="n"/>
      <c r="H152" s="42">
        <f>IFERROR(IF(SUMPRODUCT(MAX((案件入力!$D$2:$D$301=$B152)*(案件入力!$R$2:$R$301="完了")*(案件入力!$B$2:$B$301)))=0,$F152,INDEX(案件入力!$I$2:$I$301,MATCH($B152&amp;"|"&amp;TEXT(SUMPRODUCT(MAX((案件入力!$D$2:$D$301=$B152)*(案件入力!$R$2:$R$301="完了")*(案件入力!$B$2:$B$301))),"0"),案件入力!$T$2:$T$301,0))),$F152)</f>
        <v/>
      </c>
      <c r="I152" s="42">
        <f>IFERROR(IF(SUMPRODUCT(MAX((案件入力!$D$2:$D$301=$B152)*(案件入力!$R$2:$R$301="完了")*(案件入力!$B$2:$B$301)))=0,$G152,INDEX(案件入力!$M$2:$M$301,MATCH($B152&amp;"|"&amp;TEXT(SUMPRODUCT(MAX((案件入力!$D$2:$D$301=$B152)*(案件入力!$R$2:$R$301="完了")*(案件入力!$B$2:$B$301))),"0"),案件入力!$T$2:$T$301,0))),$G152)</f>
        <v/>
      </c>
      <c r="J152" s="13" t="n"/>
    </row>
    <row r="153">
      <c r="A153" s="13" t="n"/>
      <c r="B153" s="13" t="n"/>
      <c r="C153" s="13" t="n"/>
      <c r="D153" s="13" t="n"/>
      <c r="E153" s="13" t="n"/>
      <c r="F153" s="43" t="n"/>
      <c r="G153" s="43" t="n"/>
      <c r="H153" s="42">
        <f>IFERROR(IF(SUMPRODUCT(MAX((案件入力!$D$2:$D$301=$B153)*(案件入力!$R$2:$R$301="完了")*(案件入力!$B$2:$B$301)))=0,$F153,INDEX(案件入力!$I$2:$I$301,MATCH($B153&amp;"|"&amp;TEXT(SUMPRODUCT(MAX((案件入力!$D$2:$D$301=$B153)*(案件入力!$R$2:$R$301="完了")*(案件入力!$B$2:$B$301))),"0"),案件入力!$T$2:$T$301,0))),$F153)</f>
        <v/>
      </c>
      <c r="I153" s="42">
        <f>IFERROR(IF(SUMPRODUCT(MAX((案件入力!$D$2:$D$301=$B153)*(案件入力!$R$2:$R$301="完了")*(案件入力!$B$2:$B$301)))=0,$G153,INDEX(案件入力!$M$2:$M$301,MATCH($B153&amp;"|"&amp;TEXT(SUMPRODUCT(MAX((案件入力!$D$2:$D$301=$B153)*(案件入力!$R$2:$R$301="完了")*(案件入力!$B$2:$B$301))),"0"),案件入力!$T$2:$T$301,0))),$G153)</f>
        <v/>
      </c>
      <c r="J153" s="13" t="n"/>
    </row>
    <row r="154">
      <c r="A154" s="13" t="n"/>
      <c r="B154" s="13" t="n"/>
      <c r="C154" s="13" t="n"/>
      <c r="D154" s="13" t="n"/>
      <c r="E154" s="13" t="n"/>
      <c r="F154" s="43" t="n"/>
      <c r="G154" s="43" t="n"/>
      <c r="H154" s="42">
        <f>IFERROR(IF(SUMPRODUCT(MAX((案件入力!$D$2:$D$301=$B154)*(案件入力!$R$2:$R$301="完了")*(案件入力!$B$2:$B$301)))=0,$F154,INDEX(案件入力!$I$2:$I$301,MATCH($B154&amp;"|"&amp;TEXT(SUMPRODUCT(MAX((案件入力!$D$2:$D$301=$B154)*(案件入力!$R$2:$R$301="完了")*(案件入力!$B$2:$B$301))),"0"),案件入力!$T$2:$T$301,0))),$F154)</f>
        <v/>
      </c>
      <c r="I154" s="42">
        <f>IFERROR(IF(SUMPRODUCT(MAX((案件入力!$D$2:$D$301=$B154)*(案件入力!$R$2:$R$301="完了")*(案件入力!$B$2:$B$301)))=0,$G154,INDEX(案件入力!$M$2:$M$301,MATCH($B154&amp;"|"&amp;TEXT(SUMPRODUCT(MAX((案件入力!$D$2:$D$301=$B154)*(案件入力!$R$2:$R$301="完了")*(案件入力!$B$2:$B$301))),"0"),案件入力!$T$2:$T$301,0))),$G154)</f>
        <v/>
      </c>
      <c r="J154" s="13" t="n"/>
    </row>
    <row r="155">
      <c r="A155" s="13" t="n"/>
      <c r="B155" s="13" t="n"/>
      <c r="C155" s="13" t="n"/>
      <c r="D155" s="13" t="n"/>
      <c r="E155" s="13" t="n"/>
      <c r="F155" s="43" t="n"/>
      <c r="G155" s="43" t="n"/>
      <c r="H155" s="42">
        <f>IFERROR(IF(SUMPRODUCT(MAX((案件入力!$D$2:$D$301=$B155)*(案件入力!$R$2:$R$301="完了")*(案件入力!$B$2:$B$301)))=0,$F155,INDEX(案件入力!$I$2:$I$301,MATCH($B155&amp;"|"&amp;TEXT(SUMPRODUCT(MAX((案件入力!$D$2:$D$301=$B155)*(案件入力!$R$2:$R$301="完了")*(案件入力!$B$2:$B$301))),"0"),案件入力!$T$2:$T$301,0))),$F155)</f>
        <v/>
      </c>
      <c r="I155" s="42">
        <f>IFERROR(IF(SUMPRODUCT(MAX((案件入力!$D$2:$D$301=$B155)*(案件入力!$R$2:$R$301="完了")*(案件入力!$B$2:$B$301)))=0,$G155,INDEX(案件入力!$M$2:$M$301,MATCH($B155&amp;"|"&amp;TEXT(SUMPRODUCT(MAX((案件入力!$D$2:$D$301=$B155)*(案件入力!$R$2:$R$301="完了")*(案件入力!$B$2:$B$301))),"0"),案件入力!$T$2:$T$301,0))),$G155)</f>
        <v/>
      </c>
      <c r="J155" s="13" t="n"/>
    </row>
    <row r="156">
      <c r="A156" s="13" t="n"/>
      <c r="B156" s="13" t="n"/>
      <c r="C156" s="13" t="n"/>
      <c r="D156" s="13" t="n"/>
      <c r="E156" s="13" t="n"/>
      <c r="F156" s="43" t="n"/>
      <c r="G156" s="43" t="n"/>
      <c r="H156" s="42">
        <f>IFERROR(IF(SUMPRODUCT(MAX((案件入力!$D$2:$D$301=$B156)*(案件入力!$R$2:$R$301="完了")*(案件入力!$B$2:$B$301)))=0,$F156,INDEX(案件入力!$I$2:$I$301,MATCH($B156&amp;"|"&amp;TEXT(SUMPRODUCT(MAX((案件入力!$D$2:$D$301=$B156)*(案件入力!$R$2:$R$301="完了")*(案件入力!$B$2:$B$301))),"0"),案件入力!$T$2:$T$301,0))),$F156)</f>
        <v/>
      </c>
      <c r="I156" s="42">
        <f>IFERROR(IF(SUMPRODUCT(MAX((案件入力!$D$2:$D$301=$B156)*(案件入力!$R$2:$R$301="完了")*(案件入力!$B$2:$B$301)))=0,$G156,INDEX(案件入力!$M$2:$M$301,MATCH($B156&amp;"|"&amp;TEXT(SUMPRODUCT(MAX((案件入力!$D$2:$D$301=$B156)*(案件入力!$R$2:$R$301="完了")*(案件入力!$B$2:$B$301))),"0"),案件入力!$T$2:$T$301,0))),$G156)</f>
        <v/>
      </c>
      <c r="J156" s="13" t="n"/>
    </row>
    <row r="157">
      <c r="A157" s="13" t="n"/>
      <c r="B157" s="13" t="n"/>
      <c r="C157" s="13" t="n"/>
      <c r="D157" s="13" t="n"/>
      <c r="E157" s="13" t="n"/>
      <c r="F157" s="43" t="n"/>
      <c r="G157" s="43" t="n"/>
      <c r="H157" s="42">
        <f>IFERROR(IF(SUMPRODUCT(MAX((案件入力!$D$2:$D$301=$B157)*(案件入力!$R$2:$R$301="完了")*(案件入力!$B$2:$B$301)))=0,$F157,INDEX(案件入力!$I$2:$I$301,MATCH($B157&amp;"|"&amp;TEXT(SUMPRODUCT(MAX((案件入力!$D$2:$D$301=$B157)*(案件入力!$R$2:$R$301="完了")*(案件入力!$B$2:$B$301))),"0"),案件入力!$T$2:$T$301,0))),$F157)</f>
        <v/>
      </c>
      <c r="I157" s="42">
        <f>IFERROR(IF(SUMPRODUCT(MAX((案件入力!$D$2:$D$301=$B157)*(案件入力!$R$2:$R$301="完了")*(案件入力!$B$2:$B$301)))=0,$G157,INDEX(案件入力!$M$2:$M$301,MATCH($B157&amp;"|"&amp;TEXT(SUMPRODUCT(MAX((案件入力!$D$2:$D$301=$B157)*(案件入力!$R$2:$R$301="完了")*(案件入力!$B$2:$B$301))),"0"),案件入力!$T$2:$T$301,0))),$G157)</f>
        <v/>
      </c>
      <c r="J157" s="13" t="n"/>
    </row>
    <row r="158">
      <c r="A158" s="13" t="n"/>
      <c r="B158" s="13" t="n"/>
      <c r="C158" s="13" t="n"/>
      <c r="D158" s="13" t="n"/>
      <c r="E158" s="13" t="n"/>
      <c r="F158" s="43" t="n"/>
      <c r="G158" s="43" t="n"/>
      <c r="H158" s="42">
        <f>IFERROR(IF(SUMPRODUCT(MAX((案件入力!$D$2:$D$301=$B158)*(案件入力!$R$2:$R$301="完了")*(案件入力!$B$2:$B$301)))=0,$F158,INDEX(案件入力!$I$2:$I$301,MATCH($B158&amp;"|"&amp;TEXT(SUMPRODUCT(MAX((案件入力!$D$2:$D$301=$B158)*(案件入力!$R$2:$R$301="完了")*(案件入力!$B$2:$B$301))),"0"),案件入力!$T$2:$T$301,0))),$F158)</f>
        <v/>
      </c>
      <c r="I158" s="42">
        <f>IFERROR(IF(SUMPRODUCT(MAX((案件入力!$D$2:$D$301=$B158)*(案件入力!$R$2:$R$301="完了")*(案件入力!$B$2:$B$301)))=0,$G158,INDEX(案件入力!$M$2:$M$301,MATCH($B158&amp;"|"&amp;TEXT(SUMPRODUCT(MAX((案件入力!$D$2:$D$301=$B158)*(案件入力!$R$2:$R$301="完了")*(案件入力!$B$2:$B$301))),"0"),案件入力!$T$2:$T$301,0))),$G158)</f>
        <v/>
      </c>
      <c r="J158" s="13" t="n"/>
    </row>
    <row r="159">
      <c r="A159" s="13" t="n"/>
      <c r="B159" s="13" t="n"/>
      <c r="C159" s="13" t="n"/>
      <c r="D159" s="13" t="n"/>
      <c r="E159" s="13" t="n"/>
      <c r="F159" s="43" t="n"/>
      <c r="G159" s="43" t="n"/>
      <c r="H159" s="42">
        <f>IFERROR(IF(SUMPRODUCT(MAX((案件入力!$D$2:$D$301=$B159)*(案件入力!$R$2:$R$301="完了")*(案件入力!$B$2:$B$301)))=0,$F159,INDEX(案件入力!$I$2:$I$301,MATCH($B159&amp;"|"&amp;TEXT(SUMPRODUCT(MAX((案件入力!$D$2:$D$301=$B159)*(案件入力!$R$2:$R$301="完了")*(案件入力!$B$2:$B$301))),"0"),案件入力!$T$2:$T$301,0))),$F159)</f>
        <v/>
      </c>
      <c r="I159" s="42">
        <f>IFERROR(IF(SUMPRODUCT(MAX((案件入力!$D$2:$D$301=$B159)*(案件入力!$R$2:$R$301="完了")*(案件入力!$B$2:$B$301)))=0,$G159,INDEX(案件入力!$M$2:$M$301,MATCH($B159&amp;"|"&amp;TEXT(SUMPRODUCT(MAX((案件入力!$D$2:$D$301=$B159)*(案件入力!$R$2:$R$301="完了")*(案件入力!$B$2:$B$301))),"0"),案件入力!$T$2:$T$301,0))),$G159)</f>
        <v/>
      </c>
      <c r="J159" s="13" t="n"/>
    </row>
    <row r="160">
      <c r="A160" s="13" t="n"/>
      <c r="B160" s="13" t="n"/>
      <c r="C160" s="13" t="n"/>
      <c r="D160" s="13" t="n"/>
      <c r="E160" s="13" t="n"/>
      <c r="F160" s="43" t="n"/>
      <c r="G160" s="43" t="n"/>
      <c r="H160" s="42">
        <f>IFERROR(IF(SUMPRODUCT(MAX((案件入力!$D$2:$D$301=$B160)*(案件入力!$R$2:$R$301="完了")*(案件入力!$B$2:$B$301)))=0,$F160,INDEX(案件入力!$I$2:$I$301,MATCH($B160&amp;"|"&amp;TEXT(SUMPRODUCT(MAX((案件入力!$D$2:$D$301=$B160)*(案件入力!$R$2:$R$301="完了")*(案件入力!$B$2:$B$301))),"0"),案件入力!$T$2:$T$301,0))),$F160)</f>
        <v/>
      </c>
      <c r="I160" s="42">
        <f>IFERROR(IF(SUMPRODUCT(MAX((案件入力!$D$2:$D$301=$B160)*(案件入力!$R$2:$R$301="完了")*(案件入力!$B$2:$B$301)))=0,$G160,INDEX(案件入力!$M$2:$M$301,MATCH($B160&amp;"|"&amp;TEXT(SUMPRODUCT(MAX((案件入力!$D$2:$D$301=$B160)*(案件入力!$R$2:$R$301="完了")*(案件入力!$B$2:$B$301))),"0"),案件入力!$T$2:$T$301,0))),$G160)</f>
        <v/>
      </c>
      <c r="J160" s="13" t="n"/>
    </row>
    <row r="161">
      <c r="A161" s="13" t="n"/>
      <c r="B161" s="13" t="n"/>
      <c r="C161" s="13" t="n"/>
      <c r="D161" s="13" t="n"/>
      <c r="E161" s="13" t="n"/>
      <c r="F161" s="43" t="n"/>
      <c r="G161" s="43" t="n"/>
      <c r="H161" s="42">
        <f>IFERROR(IF(SUMPRODUCT(MAX((案件入力!$D$2:$D$301=$B161)*(案件入力!$R$2:$R$301="完了")*(案件入力!$B$2:$B$301)))=0,$F161,INDEX(案件入力!$I$2:$I$301,MATCH($B161&amp;"|"&amp;TEXT(SUMPRODUCT(MAX((案件入力!$D$2:$D$301=$B161)*(案件入力!$R$2:$R$301="完了")*(案件入力!$B$2:$B$301))),"0"),案件入力!$T$2:$T$301,0))),$F161)</f>
        <v/>
      </c>
      <c r="I161" s="42">
        <f>IFERROR(IF(SUMPRODUCT(MAX((案件入力!$D$2:$D$301=$B161)*(案件入力!$R$2:$R$301="完了")*(案件入力!$B$2:$B$301)))=0,$G161,INDEX(案件入力!$M$2:$M$301,MATCH($B161&amp;"|"&amp;TEXT(SUMPRODUCT(MAX((案件入力!$D$2:$D$301=$B161)*(案件入力!$R$2:$R$301="完了")*(案件入力!$B$2:$B$301))),"0"),案件入力!$T$2:$T$301,0))),$G161)</f>
        <v/>
      </c>
      <c r="J161" s="13" t="n"/>
    </row>
    <row r="162">
      <c r="A162" s="13" t="n"/>
      <c r="B162" s="13" t="n"/>
      <c r="C162" s="13" t="n"/>
      <c r="D162" s="13" t="n"/>
      <c r="E162" s="13" t="n"/>
      <c r="F162" s="43" t="n"/>
      <c r="G162" s="43" t="n"/>
      <c r="H162" s="42">
        <f>IFERROR(IF(SUMPRODUCT(MAX((案件入力!$D$2:$D$301=$B162)*(案件入力!$R$2:$R$301="完了")*(案件入力!$B$2:$B$301)))=0,$F162,INDEX(案件入力!$I$2:$I$301,MATCH($B162&amp;"|"&amp;TEXT(SUMPRODUCT(MAX((案件入力!$D$2:$D$301=$B162)*(案件入力!$R$2:$R$301="完了")*(案件入力!$B$2:$B$301))),"0"),案件入力!$T$2:$T$301,0))),$F162)</f>
        <v/>
      </c>
      <c r="I162" s="42">
        <f>IFERROR(IF(SUMPRODUCT(MAX((案件入力!$D$2:$D$301=$B162)*(案件入力!$R$2:$R$301="完了")*(案件入力!$B$2:$B$301)))=0,$G162,INDEX(案件入力!$M$2:$M$301,MATCH($B162&amp;"|"&amp;TEXT(SUMPRODUCT(MAX((案件入力!$D$2:$D$301=$B162)*(案件入力!$R$2:$R$301="完了")*(案件入力!$B$2:$B$301))),"0"),案件入力!$T$2:$T$301,0))),$G162)</f>
        <v/>
      </c>
      <c r="J162" s="13" t="n"/>
    </row>
    <row r="163">
      <c r="A163" s="13" t="n"/>
      <c r="B163" s="13" t="n"/>
      <c r="C163" s="13" t="n"/>
      <c r="D163" s="13" t="n"/>
      <c r="E163" s="13" t="n"/>
      <c r="F163" s="43" t="n"/>
      <c r="G163" s="43" t="n"/>
      <c r="H163" s="42">
        <f>IFERROR(IF(SUMPRODUCT(MAX((案件入力!$D$2:$D$301=$B163)*(案件入力!$R$2:$R$301="完了")*(案件入力!$B$2:$B$301)))=0,$F163,INDEX(案件入力!$I$2:$I$301,MATCH($B163&amp;"|"&amp;TEXT(SUMPRODUCT(MAX((案件入力!$D$2:$D$301=$B163)*(案件入力!$R$2:$R$301="完了")*(案件入力!$B$2:$B$301))),"0"),案件入力!$T$2:$T$301,0))),$F163)</f>
        <v/>
      </c>
      <c r="I163" s="42">
        <f>IFERROR(IF(SUMPRODUCT(MAX((案件入力!$D$2:$D$301=$B163)*(案件入力!$R$2:$R$301="完了")*(案件入力!$B$2:$B$301)))=0,$G163,INDEX(案件入力!$M$2:$M$301,MATCH($B163&amp;"|"&amp;TEXT(SUMPRODUCT(MAX((案件入力!$D$2:$D$301=$B163)*(案件入力!$R$2:$R$301="完了")*(案件入力!$B$2:$B$301))),"0"),案件入力!$T$2:$T$301,0))),$G163)</f>
        <v/>
      </c>
      <c r="J163" s="13" t="n"/>
    </row>
    <row r="164">
      <c r="A164" s="13" t="n"/>
      <c r="B164" s="13" t="n"/>
      <c r="C164" s="13" t="n"/>
      <c r="D164" s="13" t="n"/>
      <c r="E164" s="13" t="n"/>
      <c r="F164" s="43" t="n"/>
      <c r="G164" s="43" t="n"/>
      <c r="H164" s="42">
        <f>IFERROR(IF(SUMPRODUCT(MAX((案件入力!$D$2:$D$301=$B164)*(案件入力!$R$2:$R$301="完了")*(案件入力!$B$2:$B$301)))=0,$F164,INDEX(案件入力!$I$2:$I$301,MATCH($B164&amp;"|"&amp;TEXT(SUMPRODUCT(MAX((案件入力!$D$2:$D$301=$B164)*(案件入力!$R$2:$R$301="完了")*(案件入力!$B$2:$B$301))),"0"),案件入力!$T$2:$T$301,0))),$F164)</f>
        <v/>
      </c>
      <c r="I164" s="42">
        <f>IFERROR(IF(SUMPRODUCT(MAX((案件入力!$D$2:$D$301=$B164)*(案件入力!$R$2:$R$301="完了")*(案件入力!$B$2:$B$301)))=0,$G164,INDEX(案件入力!$M$2:$M$301,MATCH($B164&amp;"|"&amp;TEXT(SUMPRODUCT(MAX((案件入力!$D$2:$D$301=$B164)*(案件入力!$R$2:$R$301="完了")*(案件入力!$B$2:$B$301))),"0"),案件入力!$T$2:$T$301,0))),$G164)</f>
        <v/>
      </c>
      <c r="J164" s="13" t="n"/>
    </row>
    <row r="165">
      <c r="A165" s="13" t="n"/>
      <c r="B165" s="13" t="n"/>
      <c r="C165" s="13" t="n"/>
      <c r="D165" s="13" t="n"/>
      <c r="E165" s="13" t="n"/>
      <c r="F165" s="43" t="n"/>
      <c r="G165" s="43" t="n"/>
      <c r="H165" s="42">
        <f>IFERROR(IF(SUMPRODUCT(MAX((案件入力!$D$2:$D$301=$B165)*(案件入力!$R$2:$R$301="完了")*(案件入力!$B$2:$B$301)))=0,$F165,INDEX(案件入力!$I$2:$I$301,MATCH($B165&amp;"|"&amp;TEXT(SUMPRODUCT(MAX((案件入力!$D$2:$D$301=$B165)*(案件入力!$R$2:$R$301="完了")*(案件入力!$B$2:$B$301))),"0"),案件入力!$T$2:$T$301,0))),$F165)</f>
        <v/>
      </c>
      <c r="I165" s="42">
        <f>IFERROR(IF(SUMPRODUCT(MAX((案件入力!$D$2:$D$301=$B165)*(案件入力!$R$2:$R$301="完了")*(案件入力!$B$2:$B$301)))=0,$G165,INDEX(案件入力!$M$2:$M$301,MATCH($B165&amp;"|"&amp;TEXT(SUMPRODUCT(MAX((案件入力!$D$2:$D$301=$B165)*(案件入力!$R$2:$R$301="完了")*(案件入力!$B$2:$B$301))),"0"),案件入力!$T$2:$T$301,0))),$G165)</f>
        <v/>
      </c>
      <c r="J165" s="13" t="n"/>
    </row>
    <row r="166">
      <c r="A166" s="13" t="n"/>
      <c r="B166" s="13" t="n"/>
      <c r="C166" s="13" t="n"/>
      <c r="D166" s="13" t="n"/>
      <c r="E166" s="13" t="n"/>
      <c r="F166" s="43" t="n"/>
      <c r="G166" s="43" t="n"/>
      <c r="H166" s="42">
        <f>IFERROR(IF(SUMPRODUCT(MAX((案件入力!$D$2:$D$301=$B166)*(案件入力!$R$2:$R$301="完了")*(案件入力!$B$2:$B$301)))=0,$F166,INDEX(案件入力!$I$2:$I$301,MATCH($B166&amp;"|"&amp;TEXT(SUMPRODUCT(MAX((案件入力!$D$2:$D$301=$B166)*(案件入力!$R$2:$R$301="完了")*(案件入力!$B$2:$B$301))),"0"),案件入力!$T$2:$T$301,0))),$F166)</f>
        <v/>
      </c>
      <c r="I166" s="42">
        <f>IFERROR(IF(SUMPRODUCT(MAX((案件入力!$D$2:$D$301=$B166)*(案件入力!$R$2:$R$301="完了")*(案件入力!$B$2:$B$301)))=0,$G166,INDEX(案件入力!$M$2:$M$301,MATCH($B166&amp;"|"&amp;TEXT(SUMPRODUCT(MAX((案件入力!$D$2:$D$301=$B166)*(案件入力!$R$2:$R$301="完了")*(案件入力!$B$2:$B$301))),"0"),案件入力!$T$2:$T$301,0))),$G166)</f>
        <v/>
      </c>
      <c r="J166" s="13" t="n"/>
    </row>
    <row r="167">
      <c r="A167" s="13" t="n"/>
      <c r="B167" s="13" t="n"/>
      <c r="C167" s="13" t="n"/>
      <c r="D167" s="13" t="n"/>
      <c r="E167" s="13" t="n"/>
      <c r="F167" s="43" t="n"/>
      <c r="G167" s="43" t="n"/>
      <c r="H167" s="42">
        <f>IFERROR(IF(SUMPRODUCT(MAX((案件入力!$D$2:$D$301=$B167)*(案件入力!$R$2:$R$301="完了")*(案件入力!$B$2:$B$301)))=0,$F167,INDEX(案件入力!$I$2:$I$301,MATCH($B167&amp;"|"&amp;TEXT(SUMPRODUCT(MAX((案件入力!$D$2:$D$301=$B167)*(案件入力!$R$2:$R$301="完了")*(案件入力!$B$2:$B$301))),"0"),案件入力!$T$2:$T$301,0))),$F167)</f>
        <v/>
      </c>
      <c r="I167" s="42">
        <f>IFERROR(IF(SUMPRODUCT(MAX((案件入力!$D$2:$D$301=$B167)*(案件入力!$R$2:$R$301="完了")*(案件入力!$B$2:$B$301)))=0,$G167,INDEX(案件入力!$M$2:$M$301,MATCH($B167&amp;"|"&amp;TEXT(SUMPRODUCT(MAX((案件入力!$D$2:$D$301=$B167)*(案件入力!$R$2:$R$301="完了")*(案件入力!$B$2:$B$301))),"0"),案件入力!$T$2:$T$301,0))),$G167)</f>
        <v/>
      </c>
      <c r="J167" s="13" t="n"/>
    </row>
    <row r="168">
      <c r="A168" s="13" t="n"/>
      <c r="B168" s="13" t="n"/>
      <c r="C168" s="13" t="n"/>
      <c r="D168" s="13" t="n"/>
      <c r="E168" s="13" t="n"/>
      <c r="F168" s="43" t="n"/>
      <c r="G168" s="43" t="n"/>
      <c r="H168" s="42">
        <f>IFERROR(IF(SUMPRODUCT(MAX((案件入力!$D$2:$D$301=$B168)*(案件入力!$R$2:$R$301="完了")*(案件入力!$B$2:$B$301)))=0,$F168,INDEX(案件入力!$I$2:$I$301,MATCH($B168&amp;"|"&amp;TEXT(SUMPRODUCT(MAX((案件入力!$D$2:$D$301=$B168)*(案件入力!$R$2:$R$301="完了")*(案件入力!$B$2:$B$301))),"0"),案件入力!$T$2:$T$301,0))),$F168)</f>
        <v/>
      </c>
      <c r="I168" s="42">
        <f>IFERROR(IF(SUMPRODUCT(MAX((案件入力!$D$2:$D$301=$B168)*(案件入力!$R$2:$R$301="完了")*(案件入力!$B$2:$B$301)))=0,$G168,INDEX(案件入力!$M$2:$M$301,MATCH($B168&amp;"|"&amp;TEXT(SUMPRODUCT(MAX((案件入力!$D$2:$D$301=$B168)*(案件入力!$R$2:$R$301="完了")*(案件入力!$B$2:$B$301))),"0"),案件入力!$T$2:$T$301,0))),$G168)</f>
        <v/>
      </c>
      <c r="J168" s="13" t="n"/>
    </row>
    <row r="169">
      <c r="A169" s="13" t="n"/>
      <c r="B169" s="13" t="n"/>
      <c r="C169" s="13" t="n"/>
      <c r="D169" s="13" t="n"/>
      <c r="E169" s="13" t="n"/>
      <c r="F169" s="43" t="n"/>
      <c r="G169" s="43" t="n"/>
      <c r="H169" s="42">
        <f>IFERROR(IF(SUMPRODUCT(MAX((案件入力!$D$2:$D$301=$B169)*(案件入力!$R$2:$R$301="完了")*(案件入力!$B$2:$B$301)))=0,$F169,INDEX(案件入力!$I$2:$I$301,MATCH($B169&amp;"|"&amp;TEXT(SUMPRODUCT(MAX((案件入力!$D$2:$D$301=$B169)*(案件入力!$R$2:$R$301="完了")*(案件入力!$B$2:$B$301))),"0"),案件入力!$T$2:$T$301,0))),$F169)</f>
        <v/>
      </c>
      <c r="I169" s="42">
        <f>IFERROR(IF(SUMPRODUCT(MAX((案件入力!$D$2:$D$301=$B169)*(案件入力!$R$2:$R$301="完了")*(案件入力!$B$2:$B$301)))=0,$G169,INDEX(案件入力!$M$2:$M$301,MATCH($B169&amp;"|"&amp;TEXT(SUMPRODUCT(MAX((案件入力!$D$2:$D$301=$B169)*(案件入力!$R$2:$R$301="完了")*(案件入力!$B$2:$B$301))),"0"),案件入力!$T$2:$T$301,0))),$G169)</f>
        <v/>
      </c>
      <c r="J169" s="13" t="n"/>
    </row>
    <row r="170">
      <c r="A170" s="13" t="n"/>
      <c r="B170" s="13" t="n"/>
      <c r="C170" s="13" t="n"/>
      <c r="D170" s="13" t="n"/>
      <c r="E170" s="13" t="n"/>
      <c r="F170" s="43" t="n"/>
      <c r="G170" s="43" t="n"/>
      <c r="H170" s="42">
        <f>IFERROR(IF(SUMPRODUCT(MAX((案件入力!$D$2:$D$301=$B170)*(案件入力!$R$2:$R$301="完了")*(案件入力!$B$2:$B$301)))=0,$F170,INDEX(案件入力!$I$2:$I$301,MATCH($B170&amp;"|"&amp;TEXT(SUMPRODUCT(MAX((案件入力!$D$2:$D$301=$B170)*(案件入力!$R$2:$R$301="完了")*(案件入力!$B$2:$B$301))),"0"),案件入力!$T$2:$T$301,0))),$F170)</f>
        <v/>
      </c>
      <c r="I170" s="42">
        <f>IFERROR(IF(SUMPRODUCT(MAX((案件入力!$D$2:$D$301=$B170)*(案件入力!$R$2:$R$301="完了")*(案件入力!$B$2:$B$301)))=0,$G170,INDEX(案件入力!$M$2:$M$301,MATCH($B170&amp;"|"&amp;TEXT(SUMPRODUCT(MAX((案件入力!$D$2:$D$301=$B170)*(案件入力!$R$2:$R$301="完了")*(案件入力!$B$2:$B$301))),"0"),案件入力!$T$2:$T$301,0))),$G170)</f>
        <v/>
      </c>
      <c r="J170" s="13" t="n"/>
    </row>
    <row r="171">
      <c r="A171" s="13" t="n"/>
      <c r="B171" s="13" t="n"/>
      <c r="C171" s="13" t="n"/>
      <c r="D171" s="13" t="n"/>
      <c r="E171" s="13" t="n"/>
      <c r="F171" s="43" t="n"/>
      <c r="G171" s="43" t="n"/>
      <c r="H171" s="42">
        <f>IFERROR(IF(SUMPRODUCT(MAX((案件入力!$D$2:$D$301=$B171)*(案件入力!$R$2:$R$301="完了")*(案件入力!$B$2:$B$301)))=0,$F171,INDEX(案件入力!$I$2:$I$301,MATCH($B171&amp;"|"&amp;TEXT(SUMPRODUCT(MAX((案件入力!$D$2:$D$301=$B171)*(案件入力!$R$2:$R$301="完了")*(案件入力!$B$2:$B$301))),"0"),案件入力!$T$2:$T$301,0))),$F171)</f>
        <v/>
      </c>
      <c r="I171" s="42">
        <f>IFERROR(IF(SUMPRODUCT(MAX((案件入力!$D$2:$D$301=$B171)*(案件入力!$R$2:$R$301="完了")*(案件入力!$B$2:$B$301)))=0,$G171,INDEX(案件入力!$M$2:$M$301,MATCH($B171&amp;"|"&amp;TEXT(SUMPRODUCT(MAX((案件入力!$D$2:$D$301=$B171)*(案件入力!$R$2:$R$301="完了")*(案件入力!$B$2:$B$301))),"0"),案件入力!$T$2:$T$301,0))),$G171)</f>
        <v/>
      </c>
      <c r="J171" s="13" t="n"/>
    </row>
    <row r="172">
      <c r="A172" s="13" t="n"/>
      <c r="B172" s="13" t="n"/>
      <c r="C172" s="13" t="n"/>
      <c r="D172" s="13" t="n"/>
      <c r="E172" s="13" t="n"/>
      <c r="F172" s="43" t="n"/>
      <c r="G172" s="43" t="n"/>
      <c r="H172" s="42">
        <f>IFERROR(IF(SUMPRODUCT(MAX((案件入力!$D$2:$D$301=$B172)*(案件入力!$R$2:$R$301="完了")*(案件入力!$B$2:$B$301)))=0,$F172,INDEX(案件入力!$I$2:$I$301,MATCH($B172&amp;"|"&amp;TEXT(SUMPRODUCT(MAX((案件入力!$D$2:$D$301=$B172)*(案件入力!$R$2:$R$301="完了")*(案件入力!$B$2:$B$301))),"0"),案件入力!$T$2:$T$301,0))),$F172)</f>
        <v/>
      </c>
      <c r="I172" s="42">
        <f>IFERROR(IF(SUMPRODUCT(MAX((案件入力!$D$2:$D$301=$B172)*(案件入力!$R$2:$R$301="完了")*(案件入力!$B$2:$B$301)))=0,$G172,INDEX(案件入力!$M$2:$M$301,MATCH($B172&amp;"|"&amp;TEXT(SUMPRODUCT(MAX((案件入力!$D$2:$D$301=$B172)*(案件入力!$R$2:$R$301="完了")*(案件入力!$B$2:$B$301))),"0"),案件入力!$T$2:$T$301,0))),$G172)</f>
        <v/>
      </c>
      <c r="J172" s="13" t="n"/>
    </row>
    <row r="173">
      <c r="A173" s="13" t="n"/>
      <c r="B173" s="13" t="n"/>
      <c r="C173" s="13" t="n"/>
      <c r="D173" s="13" t="n"/>
      <c r="E173" s="13" t="n"/>
      <c r="F173" s="43" t="n"/>
      <c r="G173" s="43" t="n"/>
      <c r="H173" s="42">
        <f>IFERROR(IF(SUMPRODUCT(MAX((案件入力!$D$2:$D$301=$B173)*(案件入力!$R$2:$R$301="完了")*(案件入力!$B$2:$B$301)))=0,$F173,INDEX(案件入力!$I$2:$I$301,MATCH($B173&amp;"|"&amp;TEXT(SUMPRODUCT(MAX((案件入力!$D$2:$D$301=$B173)*(案件入力!$R$2:$R$301="完了")*(案件入力!$B$2:$B$301))),"0"),案件入力!$T$2:$T$301,0))),$F173)</f>
        <v/>
      </c>
      <c r="I173" s="42">
        <f>IFERROR(IF(SUMPRODUCT(MAX((案件入力!$D$2:$D$301=$B173)*(案件入力!$R$2:$R$301="完了")*(案件入力!$B$2:$B$301)))=0,$G173,INDEX(案件入力!$M$2:$M$301,MATCH($B173&amp;"|"&amp;TEXT(SUMPRODUCT(MAX((案件入力!$D$2:$D$301=$B173)*(案件入力!$R$2:$R$301="完了")*(案件入力!$B$2:$B$301))),"0"),案件入力!$T$2:$T$301,0))),$G173)</f>
        <v/>
      </c>
      <c r="J173" s="13" t="n"/>
    </row>
    <row r="174">
      <c r="A174" s="13" t="n"/>
      <c r="B174" s="13" t="n"/>
      <c r="C174" s="13" t="n"/>
      <c r="D174" s="13" t="n"/>
      <c r="E174" s="13" t="n"/>
      <c r="F174" s="43" t="n"/>
      <c r="G174" s="43" t="n"/>
      <c r="H174" s="42">
        <f>IFERROR(IF(SUMPRODUCT(MAX((案件入力!$D$2:$D$301=$B174)*(案件入力!$R$2:$R$301="完了")*(案件入力!$B$2:$B$301)))=0,$F174,INDEX(案件入力!$I$2:$I$301,MATCH($B174&amp;"|"&amp;TEXT(SUMPRODUCT(MAX((案件入力!$D$2:$D$301=$B174)*(案件入力!$R$2:$R$301="完了")*(案件入力!$B$2:$B$301))),"0"),案件入力!$T$2:$T$301,0))),$F174)</f>
        <v/>
      </c>
      <c r="I174" s="42">
        <f>IFERROR(IF(SUMPRODUCT(MAX((案件入力!$D$2:$D$301=$B174)*(案件入力!$R$2:$R$301="完了")*(案件入力!$B$2:$B$301)))=0,$G174,INDEX(案件入力!$M$2:$M$301,MATCH($B174&amp;"|"&amp;TEXT(SUMPRODUCT(MAX((案件入力!$D$2:$D$301=$B174)*(案件入力!$R$2:$R$301="完了")*(案件入力!$B$2:$B$301))),"0"),案件入力!$T$2:$T$301,0))),$G174)</f>
        <v/>
      </c>
      <c r="J174" s="13" t="n"/>
    </row>
    <row r="175">
      <c r="A175" s="13" t="n"/>
      <c r="B175" s="13" t="n"/>
      <c r="C175" s="13" t="n"/>
      <c r="D175" s="13" t="n"/>
      <c r="E175" s="13" t="n"/>
      <c r="F175" s="43" t="n"/>
      <c r="G175" s="43" t="n"/>
      <c r="H175" s="42">
        <f>IFERROR(IF(SUMPRODUCT(MAX((案件入力!$D$2:$D$301=$B175)*(案件入力!$R$2:$R$301="完了")*(案件入力!$B$2:$B$301)))=0,$F175,INDEX(案件入力!$I$2:$I$301,MATCH($B175&amp;"|"&amp;TEXT(SUMPRODUCT(MAX((案件入力!$D$2:$D$301=$B175)*(案件入力!$R$2:$R$301="完了")*(案件入力!$B$2:$B$301))),"0"),案件入力!$T$2:$T$301,0))),$F175)</f>
        <v/>
      </c>
      <c r="I175" s="42">
        <f>IFERROR(IF(SUMPRODUCT(MAX((案件入力!$D$2:$D$301=$B175)*(案件入力!$R$2:$R$301="完了")*(案件入力!$B$2:$B$301)))=0,$G175,INDEX(案件入力!$M$2:$M$301,MATCH($B175&amp;"|"&amp;TEXT(SUMPRODUCT(MAX((案件入力!$D$2:$D$301=$B175)*(案件入力!$R$2:$R$301="完了")*(案件入力!$B$2:$B$301))),"0"),案件入力!$T$2:$T$301,0))),$G175)</f>
        <v/>
      </c>
      <c r="J175" s="13" t="n"/>
    </row>
    <row r="176">
      <c r="A176" s="13" t="n"/>
      <c r="B176" s="13" t="n"/>
      <c r="C176" s="13" t="n"/>
      <c r="D176" s="13" t="n"/>
      <c r="E176" s="13" t="n"/>
      <c r="F176" s="43" t="n"/>
      <c r="G176" s="43" t="n"/>
      <c r="H176" s="42">
        <f>IFERROR(IF(SUMPRODUCT(MAX((案件入力!$D$2:$D$301=$B176)*(案件入力!$R$2:$R$301="完了")*(案件入力!$B$2:$B$301)))=0,$F176,INDEX(案件入力!$I$2:$I$301,MATCH($B176&amp;"|"&amp;TEXT(SUMPRODUCT(MAX((案件入力!$D$2:$D$301=$B176)*(案件入力!$R$2:$R$301="完了")*(案件入力!$B$2:$B$301))),"0"),案件入力!$T$2:$T$301,0))),$F176)</f>
        <v/>
      </c>
      <c r="I176" s="42">
        <f>IFERROR(IF(SUMPRODUCT(MAX((案件入力!$D$2:$D$301=$B176)*(案件入力!$R$2:$R$301="完了")*(案件入力!$B$2:$B$301)))=0,$G176,INDEX(案件入力!$M$2:$M$301,MATCH($B176&amp;"|"&amp;TEXT(SUMPRODUCT(MAX((案件入力!$D$2:$D$301=$B176)*(案件入力!$R$2:$R$301="完了")*(案件入力!$B$2:$B$301))),"0"),案件入力!$T$2:$T$301,0))),$G176)</f>
        <v/>
      </c>
      <c r="J176" s="13" t="n"/>
    </row>
    <row r="177">
      <c r="A177" s="13" t="n"/>
      <c r="B177" s="13" t="n"/>
      <c r="C177" s="13" t="n"/>
      <c r="D177" s="13" t="n"/>
      <c r="E177" s="13" t="n"/>
      <c r="F177" s="43" t="n"/>
      <c r="G177" s="43" t="n"/>
      <c r="H177" s="42">
        <f>IFERROR(IF(SUMPRODUCT(MAX((案件入力!$D$2:$D$301=$B177)*(案件入力!$R$2:$R$301="完了")*(案件入力!$B$2:$B$301)))=0,$F177,INDEX(案件入力!$I$2:$I$301,MATCH($B177&amp;"|"&amp;TEXT(SUMPRODUCT(MAX((案件入力!$D$2:$D$301=$B177)*(案件入力!$R$2:$R$301="完了")*(案件入力!$B$2:$B$301))),"0"),案件入力!$T$2:$T$301,0))),$F177)</f>
        <v/>
      </c>
      <c r="I177" s="42">
        <f>IFERROR(IF(SUMPRODUCT(MAX((案件入力!$D$2:$D$301=$B177)*(案件入力!$R$2:$R$301="完了")*(案件入力!$B$2:$B$301)))=0,$G177,INDEX(案件入力!$M$2:$M$301,MATCH($B177&amp;"|"&amp;TEXT(SUMPRODUCT(MAX((案件入力!$D$2:$D$301=$B177)*(案件入力!$R$2:$R$301="完了")*(案件入力!$B$2:$B$301))),"0"),案件入力!$T$2:$T$301,0))),$G177)</f>
        <v/>
      </c>
      <c r="J177" s="13" t="n"/>
    </row>
    <row r="178">
      <c r="A178" s="13" t="n"/>
      <c r="B178" s="13" t="n"/>
      <c r="C178" s="13" t="n"/>
      <c r="D178" s="13" t="n"/>
      <c r="E178" s="13" t="n"/>
      <c r="F178" s="43" t="n"/>
      <c r="G178" s="43" t="n"/>
      <c r="H178" s="42">
        <f>IFERROR(IF(SUMPRODUCT(MAX((案件入力!$D$2:$D$301=$B178)*(案件入力!$R$2:$R$301="完了")*(案件入力!$B$2:$B$301)))=0,$F178,INDEX(案件入力!$I$2:$I$301,MATCH($B178&amp;"|"&amp;TEXT(SUMPRODUCT(MAX((案件入力!$D$2:$D$301=$B178)*(案件入力!$R$2:$R$301="完了")*(案件入力!$B$2:$B$301))),"0"),案件入力!$T$2:$T$301,0))),$F178)</f>
        <v/>
      </c>
      <c r="I178" s="42">
        <f>IFERROR(IF(SUMPRODUCT(MAX((案件入力!$D$2:$D$301=$B178)*(案件入力!$R$2:$R$301="完了")*(案件入力!$B$2:$B$301)))=0,$G178,INDEX(案件入力!$M$2:$M$301,MATCH($B178&amp;"|"&amp;TEXT(SUMPRODUCT(MAX((案件入力!$D$2:$D$301=$B178)*(案件入力!$R$2:$R$301="完了")*(案件入力!$B$2:$B$301))),"0"),案件入力!$T$2:$T$301,0))),$G178)</f>
        <v/>
      </c>
      <c r="J178" s="13" t="n"/>
    </row>
    <row r="179">
      <c r="A179" s="13" t="n"/>
      <c r="B179" s="13" t="n"/>
      <c r="C179" s="13" t="n"/>
      <c r="D179" s="13" t="n"/>
      <c r="E179" s="13" t="n"/>
      <c r="F179" s="43" t="n"/>
      <c r="G179" s="43" t="n"/>
      <c r="H179" s="42">
        <f>IFERROR(IF(SUMPRODUCT(MAX((案件入力!$D$2:$D$301=$B179)*(案件入力!$R$2:$R$301="完了")*(案件入力!$B$2:$B$301)))=0,$F179,INDEX(案件入力!$I$2:$I$301,MATCH($B179&amp;"|"&amp;TEXT(SUMPRODUCT(MAX((案件入力!$D$2:$D$301=$B179)*(案件入力!$R$2:$R$301="完了")*(案件入力!$B$2:$B$301))),"0"),案件入力!$T$2:$T$301,0))),$F179)</f>
        <v/>
      </c>
      <c r="I179" s="42">
        <f>IFERROR(IF(SUMPRODUCT(MAX((案件入力!$D$2:$D$301=$B179)*(案件入力!$R$2:$R$301="完了")*(案件入力!$B$2:$B$301)))=0,$G179,INDEX(案件入力!$M$2:$M$301,MATCH($B179&amp;"|"&amp;TEXT(SUMPRODUCT(MAX((案件入力!$D$2:$D$301=$B179)*(案件入力!$R$2:$R$301="完了")*(案件入力!$B$2:$B$301))),"0"),案件入力!$T$2:$T$301,0))),$G179)</f>
        <v/>
      </c>
      <c r="J179" s="13" t="n"/>
    </row>
    <row r="180">
      <c r="A180" s="13" t="n"/>
      <c r="B180" s="13" t="n"/>
      <c r="C180" s="13" t="n"/>
      <c r="D180" s="13" t="n"/>
      <c r="E180" s="13" t="n"/>
      <c r="F180" s="43" t="n"/>
      <c r="G180" s="43" t="n"/>
      <c r="H180" s="42">
        <f>IFERROR(IF(SUMPRODUCT(MAX((案件入力!$D$2:$D$301=$B180)*(案件入力!$R$2:$R$301="完了")*(案件入力!$B$2:$B$301)))=0,$F180,INDEX(案件入力!$I$2:$I$301,MATCH($B180&amp;"|"&amp;TEXT(SUMPRODUCT(MAX((案件入力!$D$2:$D$301=$B180)*(案件入力!$R$2:$R$301="完了")*(案件入力!$B$2:$B$301))),"0"),案件入力!$T$2:$T$301,0))),$F180)</f>
        <v/>
      </c>
      <c r="I180" s="42">
        <f>IFERROR(IF(SUMPRODUCT(MAX((案件入力!$D$2:$D$301=$B180)*(案件入力!$R$2:$R$301="完了")*(案件入力!$B$2:$B$301)))=0,$G180,INDEX(案件入力!$M$2:$M$301,MATCH($B180&amp;"|"&amp;TEXT(SUMPRODUCT(MAX((案件入力!$D$2:$D$301=$B180)*(案件入力!$R$2:$R$301="完了")*(案件入力!$B$2:$B$301))),"0"),案件入力!$T$2:$T$301,0))),$G180)</f>
        <v/>
      </c>
      <c r="J180" s="13" t="n"/>
    </row>
    <row r="181">
      <c r="A181" s="13" t="n"/>
      <c r="B181" s="13" t="n"/>
      <c r="C181" s="13" t="n"/>
      <c r="D181" s="13" t="n"/>
      <c r="E181" s="13" t="n"/>
      <c r="F181" s="43" t="n"/>
      <c r="G181" s="43" t="n"/>
      <c r="H181" s="42">
        <f>IFERROR(IF(SUMPRODUCT(MAX((案件入力!$D$2:$D$301=$B181)*(案件入力!$R$2:$R$301="完了")*(案件入力!$B$2:$B$301)))=0,$F181,INDEX(案件入力!$I$2:$I$301,MATCH($B181&amp;"|"&amp;TEXT(SUMPRODUCT(MAX((案件入力!$D$2:$D$301=$B181)*(案件入力!$R$2:$R$301="完了")*(案件入力!$B$2:$B$301))),"0"),案件入力!$T$2:$T$301,0))),$F181)</f>
        <v/>
      </c>
      <c r="I181" s="42">
        <f>IFERROR(IF(SUMPRODUCT(MAX((案件入力!$D$2:$D$301=$B181)*(案件入力!$R$2:$R$301="完了")*(案件入力!$B$2:$B$301)))=0,$G181,INDEX(案件入力!$M$2:$M$301,MATCH($B181&amp;"|"&amp;TEXT(SUMPRODUCT(MAX((案件入力!$D$2:$D$301=$B181)*(案件入力!$R$2:$R$301="完了")*(案件入力!$B$2:$B$301))),"0"),案件入力!$T$2:$T$301,0))),$G181)</f>
        <v/>
      </c>
      <c r="J181" s="13" t="n"/>
    </row>
    <row r="182">
      <c r="A182" s="13" t="n"/>
      <c r="B182" s="13" t="n"/>
      <c r="C182" s="13" t="n"/>
      <c r="D182" s="13" t="n"/>
      <c r="E182" s="13" t="n"/>
      <c r="F182" s="43" t="n"/>
      <c r="G182" s="43" t="n"/>
      <c r="H182" s="42">
        <f>IFERROR(IF(SUMPRODUCT(MAX((案件入力!$D$2:$D$301=$B182)*(案件入力!$R$2:$R$301="完了")*(案件入力!$B$2:$B$301)))=0,$F182,INDEX(案件入力!$I$2:$I$301,MATCH($B182&amp;"|"&amp;TEXT(SUMPRODUCT(MAX((案件入力!$D$2:$D$301=$B182)*(案件入力!$R$2:$R$301="完了")*(案件入力!$B$2:$B$301))),"0"),案件入力!$T$2:$T$301,0))),$F182)</f>
        <v/>
      </c>
      <c r="I182" s="42">
        <f>IFERROR(IF(SUMPRODUCT(MAX((案件入力!$D$2:$D$301=$B182)*(案件入力!$R$2:$R$301="完了")*(案件入力!$B$2:$B$301)))=0,$G182,INDEX(案件入力!$M$2:$M$301,MATCH($B182&amp;"|"&amp;TEXT(SUMPRODUCT(MAX((案件入力!$D$2:$D$301=$B182)*(案件入力!$R$2:$R$301="完了")*(案件入力!$B$2:$B$301))),"0"),案件入力!$T$2:$T$301,0))),$G182)</f>
        <v/>
      </c>
      <c r="J182" s="13" t="n"/>
    </row>
    <row r="183">
      <c r="A183" s="13" t="n"/>
      <c r="B183" s="13" t="n"/>
      <c r="C183" s="13" t="n"/>
      <c r="D183" s="13" t="n"/>
      <c r="E183" s="13" t="n"/>
      <c r="F183" s="43" t="n"/>
      <c r="G183" s="43" t="n"/>
      <c r="H183" s="42">
        <f>IFERROR(IF(SUMPRODUCT(MAX((案件入力!$D$2:$D$301=$B183)*(案件入力!$R$2:$R$301="完了")*(案件入力!$B$2:$B$301)))=0,$F183,INDEX(案件入力!$I$2:$I$301,MATCH($B183&amp;"|"&amp;TEXT(SUMPRODUCT(MAX((案件入力!$D$2:$D$301=$B183)*(案件入力!$R$2:$R$301="完了")*(案件入力!$B$2:$B$301))),"0"),案件入力!$T$2:$T$301,0))),$F183)</f>
        <v/>
      </c>
      <c r="I183" s="42">
        <f>IFERROR(IF(SUMPRODUCT(MAX((案件入力!$D$2:$D$301=$B183)*(案件入力!$R$2:$R$301="完了")*(案件入力!$B$2:$B$301)))=0,$G183,INDEX(案件入力!$M$2:$M$301,MATCH($B183&amp;"|"&amp;TEXT(SUMPRODUCT(MAX((案件入力!$D$2:$D$301=$B183)*(案件入力!$R$2:$R$301="完了")*(案件入力!$B$2:$B$301))),"0"),案件入力!$T$2:$T$301,0))),$G183)</f>
        <v/>
      </c>
      <c r="J183" s="13" t="n"/>
    </row>
    <row r="184">
      <c r="A184" s="13" t="n"/>
      <c r="B184" s="13" t="n"/>
      <c r="C184" s="13" t="n"/>
      <c r="D184" s="13" t="n"/>
      <c r="E184" s="13" t="n"/>
      <c r="F184" s="43" t="n"/>
      <c r="G184" s="43" t="n"/>
      <c r="H184" s="42">
        <f>IFERROR(IF(SUMPRODUCT(MAX((案件入力!$D$2:$D$301=$B184)*(案件入力!$R$2:$R$301="完了")*(案件入力!$B$2:$B$301)))=0,$F184,INDEX(案件入力!$I$2:$I$301,MATCH($B184&amp;"|"&amp;TEXT(SUMPRODUCT(MAX((案件入力!$D$2:$D$301=$B184)*(案件入力!$R$2:$R$301="完了")*(案件入力!$B$2:$B$301))),"0"),案件入力!$T$2:$T$301,0))),$F184)</f>
        <v/>
      </c>
      <c r="I184" s="42">
        <f>IFERROR(IF(SUMPRODUCT(MAX((案件入力!$D$2:$D$301=$B184)*(案件入力!$R$2:$R$301="完了")*(案件入力!$B$2:$B$301)))=0,$G184,INDEX(案件入力!$M$2:$M$301,MATCH($B184&amp;"|"&amp;TEXT(SUMPRODUCT(MAX((案件入力!$D$2:$D$301=$B184)*(案件入力!$R$2:$R$301="完了")*(案件入力!$B$2:$B$301))),"0"),案件入力!$T$2:$T$301,0))),$G184)</f>
        <v/>
      </c>
      <c r="J184" s="13" t="n"/>
    </row>
    <row r="185">
      <c r="A185" s="13" t="n"/>
      <c r="B185" s="13" t="n"/>
      <c r="C185" s="13" t="n"/>
      <c r="D185" s="13" t="n"/>
      <c r="E185" s="13" t="n"/>
      <c r="F185" s="43" t="n"/>
      <c r="G185" s="43" t="n"/>
      <c r="H185" s="42">
        <f>IFERROR(IF(SUMPRODUCT(MAX((案件入力!$D$2:$D$301=$B185)*(案件入力!$R$2:$R$301="完了")*(案件入力!$B$2:$B$301)))=0,$F185,INDEX(案件入力!$I$2:$I$301,MATCH($B185&amp;"|"&amp;TEXT(SUMPRODUCT(MAX((案件入力!$D$2:$D$301=$B185)*(案件入力!$R$2:$R$301="完了")*(案件入力!$B$2:$B$301))),"0"),案件入力!$T$2:$T$301,0))),$F185)</f>
        <v/>
      </c>
      <c r="I185" s="42">
        <f>IFERROR(IF(SUMPRODUCT(MAX((案件入力!$D$2:$D$301=$B185)*(案件入力!$R$2:$R$301="完了")*(案件入力!$B$2:$B$301)))=0,$G185,INDEX(案件入力!$M$2:$M$301,MATCH($B185&amp;"|"&amp;TEXT(SUMPRODUCT(MAX((案件入力!$D$2:$D$301=$B185)*(案件入力!$R$2:$R$301="完了")*(案件入力!$B$2:$B$301))),"0"),案件入力!$T$2:$T$301,0))),$G185)</f>
        <v/>
      </c>
      <c r="J185" s="13" t="n"/>
    </row>
    <row r="186">
      <c r="A186" s="13" t="n"/>
      <c r="B186" s="13" t="n"/>
      <c r="C186" s="13" t="n"/>
      <c r="D186" s="13" t="n"/>
      <c r="E186" s="13" t="n"/>
      <c r="F186" s="43" t="n"/>
      <c r="G186" s="43" t="n"/>
      <c r="H186" s="42">
        <f>IFERROR(IF(SUMPRODUCT(MAX((案件入力!$D$2:$D$301=$B186)*(案件入力!$R$2:$R$301="完了")*(案件入力!$B$2:$B$301)))=0,$F186,INDEX(案件入力!$I$2:$I$301,MATCH($B186&amp;"|"&amp;TEXT(SUMPRODUCT(MAX((案件入力!$D$2:$D$301=$B186)*(案件入力!$R$2:$R$301="完了")*(案件入力!$B$2:$B$301))),"0"),案件入力!$T$2:$T$301,0))),$F186)</f>
        <v/>
      </c>
      <c r="I186" s="42">
        <f>IFERROR(IF(SUMPRODUCT(MAX((案件入力!$D$2:$D$301=$B186)*(案件入力!$R$2:$R$301="完了")*(案件入力!$B$2:$B$301)))=0,$G186,INDEX(案件入力!$M$2:$M$301,MATCH($B186&amp;"|"&amp;TEXT(SUMPRODUCT(MAX((案件入力!$D$2:$D$301=$B186)*(案件入力!$R$2:$R$301="完了")*(案件入力!$B$2:$B$301))),"0"),案件入力!$T$2:$T$301,0))),$G186)</f>
        <v/>
      </c>
      <c r="J186" s="13" t="n"/>
    </row>
    <row r="187">
      <c r="A187" s="13" t="n"/>
      <c r="B187" s="13" t="n"/>
      <c r="C187" s="13" t="n"/>
      <c r="D187" s="13" t="n"/>
      <c r="E187" s="13" t="n"/>
      <c r="F187" s="43" t="n"/>
      <c r="G187" s="43" t="n"/>
      <c r="H187" s="42">
        <f>IFERROR(IF(SUMPRODUCT(MAX((案件入力!$D$2:$D$301=$B187)*(案件入力!$R$2:$R$301="完了")*(案件入力!$B$2:$B$301)))=0,$F187,INDEX(案件入力!$I$2:$I$301,MATCH($B187&amp;"|"&amp;TEXT(SUMPRODUCT(MAX((案件入力!$D$2:$D$301=$B187)*(案件入力!$R$2:$R$301="完了")*(案件入力!$B$2:$B$301))),"0"),案件入力!$T$2:$T$301,0))),$F187)</f>
        <v/>
      </c>
      <c r="I187" s="42">
        <f>IFERROR(IF(SUMPRODUCT(MAX((案件入力!$D$2:$D$301=$B187)*(案件入力!$R$2:$R$301="完了")*(案件入力!$B$2:$B$301)))=0,$G187,INDEX(案件入力!$M$2:$M$301,MATCH($B187&amp;"|"&amp;TEXT(SUMPRODUCT(MAX((案件入力!$D$2:$D$301=$B187)*(案件入力!$R$2:$R$301="完了")*(案件入力!$B$2:$B$301))),"0"),案件入力!$T$2:$T$301,0))),$G187)</f>
        <v/>
      </c>
      <c r="J187" s="13" t="n"/>
    </row>
    <row r="188">
      <c r="A188" s="13" t="n"/>
      <c r="B188" s="13" t="n"/>
      <c r="C188" s="13" t="n"/>
      <c r="D188" s="13" t="n"/>
      <c r="E188" s="13" t="n"/>
      <c r="F188" s="43" t="n"/>
      <c r="G188" s="43" t="n"/>
      <c r="H188" s="42">
        <f>IFERROR(IF(SUMPRODUCT(MAX((案件入力!$D$2:$D$301=$B188)*(案件入力!$R$2:$R$301="完了")*(案件入力!$B$2:$B$301)))=0,$F188,INDEX(案件入力!$I$2:$I$301,MATCH($B188&amp;"|"&amp;TEXT(SUMPRODUCT(MAX((案件入力!$D$2:$D$301=$B188)*(案件入力!$R$2:$R$301="完了")*(案件入力!$B$2:$B$301))),"0"),案件入力!$T$2:$T$301,0))),$F188)</f>
        <v/>
      </c>
      <c r="I188" s="42">
        <f>IFERROR(IF(SUMPRODUCT(MAX((案件入力!$D$2:$D$301=$B188)*(案件入力!$R$2:$R$301="完了")*(案件入力!$B$2:$B$301)))=0,$G188,INDEX(案件入力!$M$2:$M$301,MATCH($B188&amp;"|"&amp;TEXT(SUMPRODUCT(MAX((案件入力!$D$2:$D$301=$B188)*(案件入力!$R$2:$R$301="完了")*(案件入力!$B$2:$B$301))),"0"),案件入力!$T$2:$T$301,0))),$G188)</f>
        <v/>
      </c>
      <c r="J188" s="13" t="n"/>
    </row>
    <row r="189">
      <c r="A189" s="13" t="n"/>
      <c r="B189" s="13" t="n"/>
      <c r="C189" s="13" t="n"/>
      <c r="D189" s="13" t="n"/>
      <c r="E189" s="13" t="n"/>
      <c r="F189" s="43" t="n"/>
      <c r="G189" s="43" t="n"/>
      <c r="H189" s="42">
        <f>IFERROR(IF(SUMPRODUCT(MAX((案件入力!$D$2:$D$301=$B189)*(案件入力!$R$2:$R$301="完了")*(案件入力!$B$2:$B$301)))=0,$F189,INDEX(案件入力!$I$2:$I$301,MATCH($B189&amp;"|"&amp;TEXT(SUMPRODUCT(MAX((案件入力!$D$2:$D$301=$B189)*(案件入力!$R$2:$R$301="完了")*(案件入力!$B$2:$B$301))),"0"),案件入力!$T$2:$T$301,0))),$F189)</f>
        <v/>
      </c>
      <c r="I189" s="42">
        <f>IFERROR(IF(SUMPRODUCT(MAX((案件入力!$D$2:$D$301=$B189)*(案件入力!$R$2:$R$301="完了")*(案件入力!$B$2:$B$301)))=0,$G189,INDEX(案件入力!$M$2:$M$301,MATCH($B189&amp;"|"&amp;TEXT(SUMPRODUCT(MAX((案件入力!$D$2:$D$301=$B189)*(案件入力!$R$2:$R$301="完了")*(案件入力!$B$2:$B$301))),"0"),案件入力!$T$2:$T$301,0))),$G189)</f>
        <v/>
      </c>
      <c r="J189" s="13" t="n"/>
    </row>
    <row r="190">
      <c r="A190" s="13" t="n"/>
      <c r="B190" s="13" t="n"/>
      <c r="C190" s="13" t="n"/>
      <c r="D190" s="13" t="n"/>
      <c r="E190" s="13" t="n"/>
      <c r="F190" s="43" t="n"/>
      <c r="G190" s="43" t="n"/>
      <c r="H190" s="42">
        <f>IFERROR(IF(SUMPRODUCT(MAX((案件入力!$D$2:$D$301=$B190)*(案件入力!$R$2:$R$301="完了")*(案件入力!$B$2:$B$301)))=0,$F190,INDEX(案件入力!$I$2:$I$301,MATCH($B190&amp;"|"&amp;TEXT(SUMPRODUCT(MAX((案件入力!$D$2:$D$301=$B190)*(案件入力!$R$2:$R$301="完了")*(案件入力!$B$2:$B$301))),"0"),案件入力!$T$2:$T$301,0))),$F190)</f>
        <v/>
      </c>
      <c r="I190" s="42">
        <f>IFERROR(IF(SUMPRODUCT(MAX((案件入力!$D$2:$D$301=$B190)*(案件入力!$R$2:$R$301="完了")*(案件入力!$B$2:$B$301)))=0,$G190,INDEX(案件入力!$M$2:$M$301,MATCH($B190&amp;"|"&amp;TEXT(SUMPRODUCT(MAX((案件入力!$D$2:$D$301=$B190)*(案件入力!$R$2:$R$301="完了")*(案件入力!$B$2:$B$301))),"0"),案件入力!$T$2:$T$301,0))),$G190)</f>
        <v/>
      </c>
      <c r="J190" s="13" t="n"/>
    </row>
    <row r="191">
      <c r="A191" s="13" t="n"/>
      <c r="B191" s="13" t="n"/>
      <c r="C191" s="13" t="n"/>
      <c r="D191" s="13" t="n"/>
      <c r="E191" s="13" t="n"/>
      <c r="F191" s="43" t="n"/>
      <c r="G191" s="43" t="n"/>
      <c r="H191" s="42">
        <f>IFERROR(IF(SUMPRODUCT(MAX((案件入力!$D$2:$D$301=$B191)*(案件入力!$R$2:$R$301="完了")*(案件入力!$B$2:$B$301)))=0,$F191,INDEX(案件入力!$I$2:$I$301,MATCH($B191&amp;"|"&amp;TEXT(SUMPRODUCT(MAX((案件入力!$D$2:$D$301=$B191)*(案件入力!$R$2:$R$301="完了")*(案件入力!$B$2:$B$301))),"0"),案件入力!$T$2:$T$301,0))),$F191)</f>
        <v/>
      </c>
      <c r="I191" s="42">
        <f>IFERROR(IF(SUMPRODUCT(MAX((案件入力!$D$2:$D$301=$B191)*(案件入力!$R$2:$R$301="完了")*(案件入力!$B$2:$B$301)))=0,$G191,INDEX(案件入力!$M$2:$M$301,MATCH($B191&amp;"|"&amp;TEXT(SUMPRODUCT(MAX((案件入力!$D$2:$D$301=$B191)*(案件入力!$R$2:$R$301="完了")*(案件入力!$B$2:$B$301))),"0"),案件入力!$T$2:$T$301,0))),$G191)</f>
        <v/>
      </c>
      <c r="J191" s="13" t="n"/>
    </row>
    <row r="192">
      <c r="A192" s="13" t="n"/>
      <c r="B192" s="13" t="n"/>
      <c r="C192" s="13" t="n"/>
      <c r="D192" s="13" t="n"/>
      <c r="E192" s="13" t="n"/>
      <c r="F192" s="43" t="n"/>
      <c r="G192" s="43" t="n"/>
      <c r="H192" s="42">
        <f>IFERROR(IF(SUMPRODUCT(MAX((案件入力!$D$2:$D$301=$B192)*(案件入力!$R$2:$R$301="完了")*(案件入力!$B$2:$B$301)))=0,$F192,INDEX(案件入力!$I$2:$I$301,MATCH($B192&amp;"|"&amp;TEXT(SUMPRODUCT(MAX((案件入力!$D$2:$D$301=$B192)*(案件入力!$R$2:$R$301="完了")*(案件入力!$B$2:$B$301))),"0"),案件入力!$T$2:$T$301,0))),$F192)</f>
        <v/>
      </c>
      <c r="I192" s="42">
        <f>IFERROR(IF(SUMPRODUCT(MAX((案件入力!$D$2:$D$301=$B192)*(案件入力!$R$2:$R$301="完了")*(案件入力!$B$2:$B$301)))=0,$G192,INDEX(案件入力!$M$2:$M$301,MATCH($B192&amp;"|"&amp;TEXT(SUMPRODUCT(MAX((案件入力!$D$2:$D$301=$B192)*(案件入力!$R$2:$R$301="完了")*(案件入力!$B$2:$B$301))),"0"),案件入力!$T$2:$T$301,0))),$G192)</f>
        <v/>
      </c>
      <c r="J192" s="13" t="n"/>
    </row>
    <row r="193">
      <c r="A193" s="13" t="n"/>
      <c r="B193" s="13" t="n"/>
      <c r="C193" s="13" t="n"/>
      <c r="D193" s="13" t="n"/>
      <c r="E193" s="13" t="n"/>
      <c r="F193" s="43" t="n"/>
      <c r="G193" s="43" t="n"/>
      <c r="H193" s="42">
        <f>IFERROR(IF(SUMPRODUCT(MAX((案件入力!$D$2:$D$301=$B193)*(案件入力!$R$2:$R$301="完了")*(案件入力!$B$2:$B$301)))=0,$F193,INDEX(案件入力!$I$2:$I$301,MATCH($B193&amp;"|"&amp;TEXT(SUMPRODUCT(MAX((案件入力!$D$2:$D$301=$B193)*(案件入力!$R$2:$R$301="完了")*(案件入力!$B$2:$B$301))),"0"),案件入力!$T$2:$T$301,0))),$F193)</f>
        <v/>
      </c>
      <c r="I193" s="42">
        <f>IFERROR(IF(SUMPRODUCT(MAX((案件入力!$D$2:$D$301=$B193)*(案件入力!$R$2:$R$301="完了")*(案件入力!$B$2:$B$301)))=0,$G193,INDEX(案件入力!$M$2:$M$301,MATCH($B193&amp;"|"&amp;TEXT(SUMPRODUCT(MAX((案件入力!$D$2:$D$301=$B193)*(案件入力!$R$2:$R$301="完了")*(案件入力!$B$2:$B$301))),"0"),案件入力!$T$2:$T$301,0))),$G193)</f>
        <v/>
      </c>
      <c r="J193" s="13" t="n"/>
    </row>
    <row r="194">
      <c r="A194" s="13" t="n"/>
      <c r="B194" s="13" t="n"/>
      <c r="C194" s="13" t="n"/>
      <c r="D194" s="13" t="n"/>
      <c r="E194" s="13" t="n"/>
      <c r="F194" s="43" t="n"/>
      <c r="G194" s="43" t="n"/>
      <c r="H194" s="42">
        <f>IFERROR(IF(SUMPRODUCT(MAX((案件入力!$D$2:$D$301=$B194)*(案件入力!$R$2:$R$301="完了")*(案件入力!$B$2:$B$301)))=0,$F194,INDEX(案件入力!$I$2:$I$301,MATCH($B194&amp;"|"&amp;TEXT(SUMPRODUCT(MAX((案件入力!$D$2:$D$301=$B194)*(案件入力!$R$2:$R$301="完了")*(案件入力!$B$2:$B$301))),"0"),案件入力!$T$2:$T$301,0))),$F194)</f>
        <v/>
      </c>
      <c r="I194" s="42">
        <f>IFERROR(IF(SUMPRODUCT(MAX((案件入力!$D$2:$D$301=$B194)*(案件入力!$R$2:$R$301="完了")*(案件入力!$B$2:$B$301)))=0,$G194,INDEX(案件入力!$M$2:$M$301,MATCH($B194&amp;"|"&amp;TEXT(SUMPRODUCT(MAX((案件入力!$D$2:$D$301=$B194)*(案件入力!$R$2:$R$301="完了")*(案件入力!$B$2:$B$301))),"0"),案件入力!$T$2:$T$301,0))),$G194)</f>
        <v/>
      </c>
      <c r="J194" s="13" t="n"/>
    </row>
    <row r="195">
      <c r="A195" s="13" t="n"/>
      <c r="B195" s="13" t="n"/>
      <c r="C195" s="13" t="n"/>
      <c r="D195" s="13" t="n"/>
      <c r="E195" s="13" t="n"/>
      <c r="F195" s="43" t="n"/>
      <c r="G195" s="43" t="n"/>
      <c r="H195" s="42">
        <f>IFERROR(IF(SUMPRODUCT(MAX((案件入力!$D$2:$D$301=$B195)*(案件入力!$R$2:$R$301="完了")*(案件入力!$B$2:$B$301)))=0,$F195,INDEX(案件入力!$I$2:$I$301,MATCH($B195&amp;"|"&amp;TEXT(SUMPRODUCT(MAX((案件入力!$D$2:$D$301=$B195)*(案件入力!$R$2:$R$301="完了")*(案件入力!$B$2:$B$301))),"0"),案件入力!$T$2:$T$301,0))),$F195)</f>
        <v/>
      </c>
      <c r="I195" s="42">
        <f>IFERROR(IF(SUMPRODUCT(MAX((案件入力!$D$2:$D$301=$B195)*(案件入力!$R$2:$R$301="完了")*(案件入力!$B$2:$B$301)))=0,$G195,INDEX(案件入力!$M$2:$M$301,MATCH($B195&amp;"|"&amp;TEXT(SUMPRODUCT(MAX((案件入力!$D$2:$D$301=$B195)*(案件入力!$R$2:$R$301="完了")*(案件入力!$B$2:$B$301))),"0"),案件入力!$T$2:$T$301,0))),$G195)</f>
        <v/>
      </c>
      <c r="J195" s="13" t="n"/>
    </row>
    <row r="196">
      <c r="A196" s="13" t="n"/>
      <c r="B196" s="13" t="n"/>
      <c r="C196" s="13" t="n"/>
      <c r="D196" s="13" t="n"/>
      <c r="E196" s="13" t="n"/>
      <c r="F196" s="43" t="n"/>
      <c r="G196" s="43" t="n"/>
      <c r="H196" s="42">
        <f>IFERROR(IF(SUMPRODUCT(MAX((案件入力!$D$2:$D$301=$B196)*(案件入力!$R$2:$R$301="完了")*(案件入力!$B$2:$B$301)))=0,$F196,INDEX(案件入力!$I$2:$I$301,MATCH($B196&amp;"|"&amp;TEXT(SUMPRODUCT(MAX((案件入力!$D$2:$D$301=$B196)*(案件入力!$R$2:$R$301="完了")*(案件入力!$B$2:$B$301))),"0"),案件入力!$T$2:$T$301,0))),$F196)</f>
        <v/>
      </c>
      <c r="I196" s="42">
        <f>IFERROR(IF(SUMPRODUCT(MAX((案件入力!$D$2:$D$301=$B196)*(案件入力!$R$2:$R$301="完了")*(案件入力!$B$2:$B$301)))=0,$G196,INDEX(案件入力!$M$2:$M$301,MATCH($B196&amp;"|"&amp;TEXT(SUMPRODUCT(MAX((案件入力!$D$2:$D$301=$B196)*(案件入力!$R$2:$R$301="完了")*(案件入力!$B$2:$B$301))),"0"),案件入力!$T$2:$T$301,0))),$G196)</f>
        <v/>
      </c>
      <c r="J196" s="13" t="n"/>
    </row>
    <row r="197">
      <c r="A197" s="13" t="n"/>
      <c r="B197" s="13" t="n"/>
      <c r="C197" s="13" t="n"/>
      <c r="D197" s="13" t="n"/>
      <c r="E197" s="13" t="n"/>
      <c r="F197" s="43" t="n"/>
      <c r="G197" s="43" t="n"/>
      <c r="H197" s="42">
        <f>IFERROR(IF(SUMPRODUCT(MAX((案件入力!$D$2:$D$301=$B197)*(案件入力!$R$2:$R$301="完了")*(案件入力!$B$2:$B$301)))=0,$F197,INDEX(案件入力!$I$2:$I$301,MATCH($B197&amp;"|"&amp;TEXT(SUMPRODUCT(MAX((案件入力!$D$2:$D$301=$B197)*(案件入力!$R$2:$R$301="完了")*(案件入力!$B$2:$B$301))),"0"),案件入力!$T$2:$T$301,0))),$F197)</f>
        <v/>
      </c>
      <c r="I197" s="42">
        <f>IFERROR(IF(SUMPRODUCT(MAX((案件入力!$D$2:$D$301=$B197)*(案件入力!$R$2:$R$301="完了")*(案件入力!$B$2:$B$301)))=0,$G197,INDEX(案件入力!$M$2:$M$301,MATCH($B197&amp;"|"&amp;TEXT(SUMPRODUCT(MAX((案件入力!$D$2:$D$301=$B197)*(案件入力!$R$2:$R$301="完了")*(案件入力!$B$2:$B$301))),"0"),案件入力!$T$2:$T$301,0))),$G197)</f>
        <v/>
      </c>
      <c r="J197" s="13" t="n"/>
    </row>
    <row r="198">
      <c r="A198" s="13" t="n"/>
      <c r="B198" s="13" t="n"/>
      <c r="C198" s="13" t="n"/>
      <c r="D198" s="13" t="n"/>
      <c r="E198" s="13" t="n"/>
      <c r="F198" s="43" t="n"/>
      <c r="G198" s="43" t="n"/>
      <c r="H198" s="42">
        <f>IFERROR(IF(SUMPRODUCT(MAX((案件入力!$D$2:$D$301=$B198)*(案件入力!$R$2:$R$301="完了")*(案件入力!$B$2:$B$301)))=0,$F198,INDEX(案件入力!$I$2:$I$301,MATCH($B198&amp;"|"&amp;TEXT(SUMPRODUCT(MAX((案件入力!$D$2:$D$301=$B198)*(案件入力!$R$2:$R$301="完了")*(案件入力!$B$2:$B$301))),"0"),案件入力!$T$2:$T$301,0))),$F198)</f>
        <v/>
      </c>
      <c r="I198" s="42">
        <f>IFERROR(IF(SUMPRODUCT(MAX((案件入力!$D$2:$D$301=$B198)*(案件入力!$R$2:$R$301="完了")*(案件入力!$B$2:$B$301)))=0,$G198,INDEX(案件入力!$M$2:$M$301,MATCH($B198&amp;"|"&amp;TEXT(SUMPRODUCT(MAX((案件入力!$D$2:$D$301=$B198)*(案件入力!$R$2:$R$301="完了")*(案件入力!$B$2:$B$301))),"0"),案件入力!$T$2:$T$301,0))),$G198)</f>
        <v/>
      </c>
      <c r="J198" s="13" t="n"/>
    </row>
    <row r="199">
      <c r="A199" s="13" t="n"/>
      <c r="B199" s="13" t="n"/>
      <c r="C199" s="13" t="n"/>
      <c r="D199" s="13" t="n"/>
      <c r="E199" s="13" t="n"/>
      <c r="F199" s="43" t="n"/>
      <c r="G199" s="43" t="n"/>
      <c r="H199" s="42">
        <f>IFERROR(IF(SUMPRODUCT(MAX((案件入力!$D$2:$D$301=$B199)*(案件入力!$R$2:$R$301="完了")*(案件入力!$B$2:$B$301)))=0,$F199,INDEX(案件入力!$I$2:$I$301,MATCH($B199&amp;"|"&amp;TEXT(SUMPRODUCT(MAX((案件入力!$D$2:$D$301=$B199)*(案件入力!$R$2:$R$301="完了")*(案件入力!$B$2:$B$301))),"0"),案件入力!$T$2:$T$301,0))),$F199)</f>
        <v/>
      </c>
      <c r="I199" s="42">
        <f>IFERROR(IF(SUMPRODUCT(MAX((案件入力!$D$2:$D$301=$B199)*(案件入力!$R$2:$R$301="完了")*(案件入力!$B$2:$B$301)))=0,$G199,INDEX(案件入力!$M$2:$M$301,MATCH($B199&amp;"|"&amp;TEXT(SUMPRODUCT(MAX((案件入力!$D$2:$D$301=$B199)*(案件入力!$R$2:$R$301="完了")*(案件入力!$B$2:$B$301))),"0"),案件入力!$T$2:$T$301,0))),$G199)</f>
        <v/>
      </c>
      <c r="J199" s="13" t="n"/>
    </row>
    <row r="200">
      <c r="A200" s="13" t="n"/>
      <c r="B200" s="13" t="n"/>
      <c r="C200" s="13" t="n"/>
      <c r="D200" s="13" t="n"/>
      <c r="E200" s="13" t="n"/>
      <c r="F200" s="43" t="n"/>
      <c r="G200" s="43" t="n"/>
      <c r="H200" s="42">
        <f>IFERROR(IF(SUMPRODUCT(MAX((案件入力!$D$2:$D$301=$B200)*(案件入力!$R$2:$R$301="完了")*(案件入力!$B$2:$B$301)))=0,$F200,INDEX(案件入力!$I$2:$I$301,MATCH($B200&amp;"|"&amp;TEXT(SUMPRODUCT(MAX((案件入力!$D$2:$D$301=$B200)*(案件入力!$R$2:$R$301="完了")*(案件入力!$B$2:$B$301))),"0"),案件入力!$T$2:$T$301,0))),$F200)</f>
        <v/>
      </c>
      <c r="I200" s="42">
        <f>IFERROR(IF(SUMPRODUCT(MAX((案件入力!$D$2:$D$301=$B200)*(案件入力!$R$2:$R$301="完了")*(案件入力!$B$2:$B$301)))=0,$G200,INDEX(案件入力!$M$2:$M$301,MATCH($B200&amp;"|"&amp;TEXT(SUMPRODUCT(MAX((案件入力!$D$2:$D$301=$B200)*(案件入力!$R$2:$R$301="完了")*(案件入力!$B$2:$B$301))),"0"),案件入力!$T$2:$T$301,0))),$G200)</f>
        <v/>
      </c>
      <c r="J200" s="13" t="n"/>
    </row>
    <row r="201">
      <c r="A201" s="13" t="n"/>
      <c r="B201" s="13" t="n"/>
      <c r="C201" s="13" t="n"/>
      <c r="D201" s="13" t="n"/>
      <c r="E201" s="13" t="n"/>
      <c r="F201" s="43" t="n"/>
      <c r="G201" s="43" t="n"/>
      <c r="H201" s="42">
        <f>IFERROR(IF(SUMPRODUCT(MAX((案件入力!$D$2:$D$301=$B201)*(案件入力!$R$2:$R$301="完了")*(案件入力!$B$2:$B$301)))=0,$F201,INDEX(案件入力!$I$2:$I$301,MATCH($B201&amp;"|"&amp;TEXT(SUMPRODUCT(MAX((案件入力!$D$2:$D$301=$B201)*(案件入力!$R$2:$R$301="完了")*(案件入力!$B$2:$B$301))),"0"),案件入力!$T$2:$T$301,0))),$F201)</f>
        <v/>
      </c>
      <c r="I201" s="42">
        <f>IFERROR(IF(SUMPRODUCT(MAX((案件入力!$D$2:$D$301=$B201)*(案件入力!$R$2:$R$301="完了")*(案件入力!$B$2:$B$301)))=0,$G201,INDEX(案件入力!$M$2:$M$301,MATCH($B201&amp;"|"&amp;TEXT(SUMPRODUCT(MAX((案件入力!$D$2:$D$301=$B201)*(案件入力!$R$2:$R$301="完了")*(案件入力!$B$2:$B$301))),"0"),案件入力!$T$2:$T$301,0))),$G201)</f>
        <v/>
      </c>
      <c r="J201" s="13" t="n"/>
    </row>
  </sheetData>
  <dataValidations count="3">
    <dataValidation sqref="C2:C201" showDropDown="0" showInputMessage="0" showErrorMessage="0" allowBlank="1" type="list">
      <formula1>仕入先リスト</formula1>
    </dataValidation>
    <dataValidation sqref="D2:D201" showDropDown="0" showInputMessage="0" showErrorMessage="0" allowBlank="1" type="list">
      <formula1>得意先リスト</formula1>
    </dataValidation>
    <dataValidation sqref="E2:E201" showDropDown="0" showInputMessage="0" showErrorMessage="0" allowBlank="1" type="list">
      <formula1>荷姿リスト</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201"/>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30" customWidth="1" min="3" max="3"/>
  </cols>
  <sheetData>
    <row r="1">
      <c r="A1" s="5" t="inlineStr">
        <is>
          <t>荷姿コード</t>
        </is>
      </c>
      <c r="B1" s="5" t="inlineStr">
        <is>
          <t>荷姿名</t>
        </is>
      </c>
      <c r="C1" s="5" t="inlineStr">
        <is>
          <t>備考</t>
        </is>
      </c>
    </row>
    <row r="2">
      <c r="A2" s="14" t="inlineStr">
        <is>
          <t>P001</t>
        </is>
      </c>
      <c r="B2" s="14" t="inlineStr">
        <is>
          <t>10kg段ボール</t>
        </is>
      </c>
      <c r="C2" s="14" t="inlineStr">
        <is>
          <t>サンプルデータ</t>
        </is>
      </c>
    </row>
    <row r="3">
      <c r="A3" s="14" t="inlineStr">
        <is>
          <t>P002</t>
        </is>
      </c>
      <c r="B3" s="14" t="inlineStr">
        <is>
          <t>5kgネット袋</t>
        </is>
      </c>
      <c r="C3" s="14" t="inlineStr">
        <is>
          <t>サンプルデータ</t>
        </is>
      </c>
    </row>
    <row r="4">
      <c r="A4" s="14" t="inlineStr">
        <is>
          <t>P003</t>
        </is>
      </c>
      <c r="B4" s="14" t="inlineStr">
        <is>
          <t>発泡スチロール箱</t>
        </is>
      </c>
      <c r="C4" s="14" t="inlineStr">
        <is>
          <t>サンプルデータ</t>
        </is>
      </c>
    </row>
    <row r="5">
      <c r="A5" s="13" t="n"/>
      <c r="B5" s="13" t="n"/>
      <c r="C5" s="13" t="n"/>
    </row>
    <row r="6">
      <c r="A6" s="13" t="n"/>
      <c r="B6" s="13" t="n"/>
      <c r="C6" s="13" t="n"/>
    </row>
    <row r="7">
      <c r="A7" s="13" t="n"/>
      <c r="B7" s="13" t="n"/>
      <c r="C7" s="13" t="n"/>
    </row>
    <row r="8">
      <c r="A8" s="13" t="n"/>
      <c r="B8" s="13" t="n"/>
      <c r="C8" s="13" t="n"/>
    </row>
    <row r="9">
      <c r="A9" s="13" t="n"/>
      <c r="B9" s="13" t="n"/>
      <c r="C9" s="13" t="n"/>
    </row>
    <row r="10">
      <c r="A10" s="13" t="n"/>
      <c r="B10" s="13" t="n"/>
      <c r="C10" s="13" t="n"/>
    </row>
    <row r="11">
      <c r="A11" s="13" t="n"/>
      <c r="B11" s="13" t="n"/>
      <c r="C11" s="13" t="n"/>
    </row>
    <row r="12">
      <c r="A12" s="13" t="n"/>
      <c r="B12" s="13" t="n"/>
      <c r="C12" s="13" t="n"/>
    </row>
    <row r="13">
      <c r="A13" s="13" t="n"/>
      <c r="B13" s="13" t="n"/>
      <c r="C13" s="13" t="n"/>
    </row>
    <row r="14">
      <c r="A14" s="13" t="n"/>
      <c r="B14" s="13" t="n"/>
      <c r="C14" s="13" t="n"/>
    </row>
    <row r="15">
      <c r="A15" s="13" t="n"/>
      <c r="B15" s="13" t="n"/>
      <c r="C15" s="13" t="n"/>
    </row>
    <row r="16">
      <c r="A16" s="13" t="n"/>
      <c r="B16" s="13" t="n"/>
      <c r="C16" s="13" t="n"/>
    </row>
    <row r="17">
      <c r="A17" s="13" t="n"/>
      <c r="B17" s="13" t="n"/>
      <c r="C17" s="13" t="n"/>
    </row>
    <row r="18">
      <c r="A18" s="13" t="n"/>
      <c r="B18" s="13" t="n"/>
      <c r="C18" s="13" t="n"/>
    </row>
    <row r="19">
      <c r="A19" s="13" t="n"/>
      <c r="B19" s="13" t="n"/>
      <c r="C19" s="13" t="n"/>
    </row>
    <row r="20">
      <c r="A20" s="13" t="n"/>
      <c r="B20" s="13" t="n"/>
      <c r="C20" s="13" t="n"/>
    </row>
    <row r="21">
      <c r="A21" s="13" t="n"/>
      <c r="B21" s="13" t="n"/>
      <c r="C21" s="13" t="n"/>
    </row>
    <row r="22">
      <c r="A22" s="13" t="n"/>
      <c r="B22" s="13" t="n"/>
      <c r="C22" s="13" t="n"/>
    </row>
    <row r="23">
      <c r="A23" s="13" t="n"/>
      <c r="B23" s="13" t="n"/>
      <c r="C23" s="13" t="n"/>
    </row>
    <row r="24">
      <c r="A24" s="13" t="n"/>
      <c r="B24" s="13" t="n"/>
      <c r="C24" s="13" t="n"/>
    </row>
    <row r="25">
      <c r="A25" s="13" t="n"/>
      <c r="B25" s="13" t="n"/>
      <c r="C25" s="13" t="n"/>
    </row>
    <row r="26">
      <c r="A26" s="13" t="n"/>
      <c r="B26" s="13" t="n"/>
      <c r="C26" s="13" t="n"/>
    </row>
    <row r="27">
      <c r="A27" s="13" t="n"/>
      <c r="B27" s="13" t="n"/>
      <c r="C27" s="13" t="n"/>
    </row>
    <row r="28">
      <c r="A28" s="13" t="n"/>
      <c r="B28" s="13" t="n"/>
      <c r="C28" s="13" t="n"/>
    </row>
    <row r="29">
      <c r="A29" s="13" t="n"/>
      <c r="B29" s="13" t="n"/>
      <c r="C29" s="13" t="n"/>
    </row>
    <row r="30">
      <c r="A30" s="13" t="n"/>
      <c r="B30" s="13" t="n"/>
      <c r="C30" s="13" t="n"/>
    </row>
    <row r="31">
      <c r="A31" s="13" t="n"/>
      <c r="B31" s="13" t="n"/>
      <c r="C31" s="13" t="n"/>
    </row>
    <row r="32">
      <c r="A32" s="13" t="n"/>
      <c r="B32" s="13" t="n"/>
      <c r="C32" s="13" t="n"/>
    </row>
    <row r="33">
      <c r="A33" s="13" t="n"/>
      <c r="B33" s="13" t="n"/>
      <c r="C33" s="13" t="n"/>
    </row>
    <row r="34">
      <c r="A34" s="13" t="n"/>
      <c r="B34" s="13" t="n"/>
      <c r="C34" s="13" t="n"/>
    </row>
    <row r="35">
      <c r="A35" s="13" t="n"/>
      <c r="B35" s="13" t="n"/>
      <c r="C35" s="13" t="n"/>
    </row>
    <row r="36">
      <c r="A36" s="13" t="n"/>
      <c r="B36" s="13" t="n"/>
      <c r="C36" s="13" t="n"/>
    </row>
    <row r="37">
      <c r="A37" s="13" t="n"/>
      <c r="B37" s="13" t="n"/>
      <c r="C37" s="13" t="n"/>
    </row>
    <row r="38">
      <c r="A38" s="13" t="n"/>
      <c r="B38" s="13" t="n"/>
      <c r="C38" s="13" t="n"/>
    </row>
    <row r="39">
      <c r="A39" s="13" t="n"/>
      <c r="B39" s="13" t="n"/>
      <c r="C39" s="13" t="n"/>
    </row>
    <row r="40">
      <c r="A40" s="13" t="n"/>
      <c r="B40" s="13" t="n"/>
      <c r="C40" s="13" t="n"/>
    </row>
    <row r="41">
      <c r="A41" s="13" t="n"/>
      <c r="B41" s="13" t="n"/>
      <c r="C41" s="13" t="n"/>
    </row>
    <row r="42">
      <c r="A42" s="13" t="n"/>
      <c r="B42" s="13" t="n"/>
      <c r="C42" s="13" t="n"/>
    </row>
    <row r="43">
      <c r="A43" s="13" t="n"/>
      <c r="B43" s="13" t="n"/>
      <c r="C43" s="13" t="n"/>
    </row>
    <row r="44">
      <c r="A44" s="13" t="n"/>
      <c r="B44" s="13" t="n"/>
      <c r="C44" s="13" t="n"/>
    </row>
    <row r="45">
      <c r="A45" s="13" t="n"/>
      <c r="B45" s="13" t="n"/>
      <c r="C45" s="13" t="n"/>
    </row>
    <row r="46">
      <c r="A46" s="13" t="n"/>
      <c r="B46" s="13" t="n"/>
      <c r="C46" s="13" t="n"/>
    </row>
    <row r="47">
      <c r="A47" s="13" t="n"/>
      <c r="B47" s="13" t="n"/>
      <c r="C47" s="13" t="n"/>
    </row>
    <row r="48">
      <c r="A48" s="13" t="n"/>
      <c r="B48" s="13" t="n"/>
      <c r="C48" s="13" t="n"/>
    </row>
    <row r="49">
      <c r="A49" s="13" t="n"/>
      <c r="B49" s="13" t="n"/>
      <c r="C49" s="13" t="n"/>
    </row>
    <row r="50">
      <c r="A50" s="13" t="n"/>
      <c r="B50" s="13" t="n"/>
      <c r="C50" s="13" t="n"/>
    </row>
    <row r="51">
      <c r="A51" s="13" t="n"/>
      <c r="B51" s="13" t="n"/>
      <c r="C51" s="13" t="n"/>
    </row>
    <row r="52">
      <c r="A52" s="13" t="n"/>
      <c r="B52" s="13" t="n"/>
      <c r="C52" s="13" t="n"/>
    </row>
    <row r="53">
      <c r="A53" s="13" t="n"/>
      <c r="B53" s="13" t="n"/>
      <c r="C53" s="13" t="n"/>
    </row>
    <row r="54">
      <c r="A54" s="13" t="n"/>
      <c r="B54" s="13" t="n"/>
      <c r="C54" s="13" t="n"/>
    </row>
    <row r="55">
      <c r="A55" s="13" t="n"/>
      <c r="B55" s="13" t="n"/>
      <c r="C55" s="13" t="n"/>
    </row>
    <row r="56">
      <c r="A56" s="13" t="n"/>
      <c r="B56" s="13" t="n"/>
      <c r="C56" s="13" t="n"/>
    </row>
    <row r="57">
      <c r="A57" s="13" t="n"/>
      <c r="B57" s="13" t="n"/>
      <c r="C57" s="13" t="n"/>
    </row>
    <row r="58">
      <c r="A58" s="13" t="n"/>
      <c r="B58" s="13" t="n"/>
      <c r="C58" s="13" t="n"/>
    </row>
    <row r="59">
      <c r="A59" s="13" t="n"/>
      <c r="B59" s="13" t="n"/>
      <c r="C59" s="13" t="n"/>
    </row>
    <row r="60">
      <c r="A60" s="13" t="n"/>
      <c r="B60" s="13" t="n"/>
      <c r="C60" s="13" t="n"/>
    </row>
    <row r="61">
      <c r="A61" s="13" t="n"/>
      <c r="B61" s="13" t="n"/>
      <c r="C61" s="13" t="n"/>
    </row>
    <row r="62">
      <c r="A62" s="13" t="n"/>
      <c r="B62" s="13" t="n"/>
      <c r="C62" s="13" t="n"/>
    </row>
    <row r="63">
      <c r="A63" s="13" t="n"/>
      <c r="B63" s="13" t="n"/>
      <c r="C63" s="13" t="n"/>
    </row>
    <row r="64">
      <c r="A64" s="13" t="n"/>
      <c r="B64" s="13" t="n"/>
      <c r="C64" s="13" t="n"/>
    </row>
    <row r="65">
      <c r="A65" s="13" t="n"/>
      <c r="B65" s="13" t="n"/>
      <c r="C65" s="13" t="n"/>
    </row>
    <row r="66">
      <c r="A66" s="13" t="n"/>
      <c r="B66" s="13" t="n"/>
      <c r="C66" s="13" t="n"/>
    </row>
    <row r="67">
      <c r="A67" s="13" t="n"/>
      <c r="B67" s="13" t="n"/>
      <c r="C67" s="13" t="n"/>
    </row>
    <row r="68">
      <c r="A68" s="13" t="n"/>
      <c r="B68" s="13" t="n"/>
      <c r="C68" s="13" t="n"/>
    </row>
    <row r="69">
      <c r="A69" s="13" t="n"/>
      <c r="B69" s="13" t="n"/>
      <c r="C69" s="13" t="n"/>
    </row>
    <row r="70">
      <c r="A70" s="13" t="n"/>
      <c r="B70" s="13" t="n"/>
      <c r="C70" s="13" t="n"/>
    </row>
    <row r="71">
      <c r="A71" s="13" t="n"/>
      <c r="B71" s="13" t="n"/>
      <c r="C71" s="13" t="n"/>
    </row>
    <row r="72">
      <c r="A72" s="13" t="n"/>
      <c r="B72" s="13" t="n"/>
      <c r="C72" s="13" t="n"/>
    </row>
    <row r="73">
      <c r="A73" s="13" t="n"/>
      <c r="B73" s="13" t="n"/>
      <c r="C73" s="13" t="n"/>
    </row>
    <row r="74">
      <c r="A74" s="13" t="n"/>
      <c r="B74" s="13" t="n"/>
      <c r="C74" s="13" t="n"/>
    </row>
    <row r="75">
      <c r="A75" s="13" t="n"/>
      <c r="B75" s="13" t="n"/>
      <c r="C75" s="13" t="n"/>
    </row>
    <row r="76">
      <c r="A76" s="13" t="n"/>
      <c r="B76" s="13" t="n"/>
      <c r="C76" s="13" t="n"/>
    </row>
    <row r="77">
      <c r="A77" s="13" t="n"/>
      <c r="B77" s="13" t="n"/>
      <c r="C77" s="13" t="n"/>
    </row>
    <row r="78">
      <c r="A78" s="13" t="n"/>
      <c r="B78" s="13" t="n"/>
      <c r="C78" s="13" t="n"/>
    </row>
    <row r="79">
      <c r="A79" s="13" t="n"/>
      <c r="B79" s="13" t="n"/>
      <c r="C79" s="13" t="n"/>
    </row>
    <row r="80">
      <c r="A80" s="13" t="n"/>
      <c r="B80" s="13" t="n"/>
      <c r="C80" s="13" t="n"/>
    </row>
    <row r="81">
      <c r="A81" s="13" t="n"/>
      <c r="B81" s="13" t="n"/>
      <c r="C81" s="13" t="n"/>
    </row>
    <row r="82">
      <c r="A82" s="13" t="n"/>
      <c r="B82" s="13" t="n"/>
      <c r="C82" s="13" t="n"/>
    </row>
    <row r="83">
      <c r="A83" s="13" t="n"/>
      <c r="B83" s="13" t="n"/>
      <c r="C83" s="13" t="n"/>
    </row>
    <row r="84">
      <c r="A84" s="13" t="n"/>
      <c r="B84" s="13" t="n"/>
      <c r="C84" s="13" t="n"/>
    </row>
    <row r="85">
      <c r="A85" s="13" t="n"/>
      <c r="B85" s="13" t="n"/>
      <c r="C85" s="13" t="n"/>
    </row>
    <row r="86">
      <c r="A86" s="13" t="n"/>
      <c r="B86" s="13" t="n"/>
      <c r="C86" s="13" t="n"/>
    </row>
    <row r="87">
      <c r="A87" s="13" t="n"/>
      <c r="B87" s="13" t="n"/>
      <c r="C87" s="13" t="n"/>
    </row>
    <row r="88">
      <c r="A88" s="13" t="n"/>
      <c r="B88" s="13" t="n"/>
      <c r="C88" s="13" t="n"/>
    </row>
    <row r="89">
      <c r="A89" s="13" t="n"/>
      <c r="B89" s="13" t="n"/>
      <c r="C89" s="13" t="n"/>
    </row>
    <row r="90">
      <c r="A90" s="13" t="n"/>
      <c r="B90" s="13" t="n"/>
      <c r="C90" s="13" t="n"/>
    </row>
    <row r="91">
      <c r="A91" s="13" t="n"/>
      <c r="B91" s="13" t="n"/>
      <c r="C91" s="13" t="n"/>
    </row>
    <row r="92">
      <c r="A92" s="13" t="n"/>
      <c r="B92" s="13" t="n"/>
      <c r="C92" s="13" t="n"/>
    </row>
    <row r="93">
      <c r="A93" s="13" t="n"/>
      <c r="B93" s="13" t="n"/>
      <c r="C93" s="13" t="n"/>
    </row>
    <row r="94">
      <c r="A94" s="13" t="n"/>
      <c r="B94" s="13" t="n"/>
      <c r="C94" s="13" t="n"/>
    </row>
    <row r="95">
      <c r="A95" s="13" t="n"/>
      <c r="B95" s="13" t="n"/>
      <c r="C95" s="13" t="n"/>
    </row>
    <row r="96">
      <c r="A96" s="13" t="n"/>
      <c r="B96" s="13" t="n"/>
      <c r="C96" s="13" t="n"/>
    </row>
    <row r="97">
      <c r="A97" s="13" t="n"/>
      <c r="B97" s="13" t="n"/>
      <c r="C97" s="13" t="n"/>
    </row>
    <row r="98">
      <c r="A98" s="13" t="n"/>
      <c r="B98" s="13" t="n"/>
      <c r="C98" s="13" t="n"/>
    </row>
    <row r="99">
      <c r="A99" s="13" t="n"/>
      <c r="B99" s="13" t="n"/>
      <c r="C99" s="13" t="n"/>
    </row>
    <row r="100">
      <c r="A100" s="13" t="n"/>
      <c r="B100" s="13" t="n"/>
      <c r="C100" s="13" t="n"/>
    </row>
    <row r="101">
      <c r="A101" s="13" t="n"/>
      <c r="B101" s="13" t="n"/>
      <c r="C101" s="13" t="n"/>
    </row>
    <row r="102">
      <c r="A102" s="13" t="n"/>
      <c r="B102" s="13" t="n"/>
      <c r="C102" s="13" t="n"/>
    </row>
    <row r="103">
      <c r="A103" s="13" t="n"/>
      <c r="B103" s="13" t="n"/>
      <c r="C103" s="13" t="n"/>
    </row>
    <row r="104">
      <c r="A104" s="13" t="n"/>
      <c r="B104" s="13" t="n"/>
      <c r="C104" s="13" t="n"/>
    </row>
    <row r="105">
      <c r="A105" s="13" t="n"/>
      <c r="B105" s="13" t="n"/>
      <c r="C105" s="13" t="n"/>
    </row>
    <row r="106">
      <c r="A106" s="13" t="n"/>
      <c r="B106" s="13" t="n"/>
      <c r="C106" s="13" t="n"/>
    </row>
    <row r="107">
      <c r="A107" s="13" t="n"/>
      <c r="B107" s="13" t="n"/>
      <c r="C107" s="13" t="n"/>
    </row>
    <row r="108">
      <c r="A108" s="13" t="n"/>
      <c r="B108" s="13" t="n"/>
      <c r="C108" s="13" t="n"/>
    </row>
    <row r="109">
      <c r="A109" s="13" t="n"/>
      <c r="B109" s="13" t="n"/>
      <c r="C109" s="13" t="n"/>
    </row>
    <row r="110">
      <c r="A110" s="13" t="n"/>
      <c r="B110" s="13" t="n"/>
      <c r="C110" s="13" t="n"/>
    </row>
    <row r="111">
      <c r="A111" s="13" t="n"/>
      <c r="B111" s="13" t="n"/>
      <c r="C111" s="13" t="n"/>
    </row>
    <row r="112">
      <c r="A112" s="13" t="n"/>
      <c r="B112" s="13" t="n"/>
      <c r="C112" s="13" t="n"/>
    </row>
    <row r="113">
      <c r="A113" s="13" t="n"/>
      <c r="B113" s="13" t="n"/>
      <c r="C113" s="13" t="n"/>
    </row>
    <row r="114">
      <c r="A114" s="13" t="n"/>
      <c r="B114" s="13" t="n"/>
      <c r="C114" s="13" t="n"/>
    </row>
    <row r="115">
      <c r="A115" s="13" t="n"/>
      <c r="B115" s="13" t="n"/>
      <c r="C115" s="13" t="n"/>
    </row>
    <row r="116">
      <c r="A116" s="13" t="n"/>
      <c r="B116" s="13" t="n"/>
      <c r="C116" s="13" t="n"/>
    </row>
    <row r="117">
      <c r="A117" s="13" t="n"/>
      <c r="B117" s="13" t="n"/>
      <c r="C117" s="13" t="n"/>
    </row>
    <row r="118">
      <c r="A118" s="13" t="n"/>
      <c r="B118" s="13" t="n"/>
      <c r="C118" s="13" t="n"/>
    </row>
    <row r="119">
      <c r="A119" s="13" t="n"/>
      <c r="B119" s="13" t="n"/>
      <c r="C119" s="13" t="n"/>
    </row>
    <row r="120">
      <c r="A120" s="13" t="n"/>
      <c r="B120" s="13" t="n"/>
      <c r="C120" s="13" t="n"/>
    </row>
    <row r="121">
      <c r="A121" s="13" t="n"/>
      <c r="B121" s="13" t="n"/>
      <c r="C121" s="13" t="n"/>
    </row>
    <row r="122">
      <c r="A122" s="13" t="n"/>
      <c r="B122" s="13" t="n"/>
      <c r="C122" s="13" t="n"/>
    </row>
    <row r="123">
      <c r="A123" s="13" t="n"/>
      <c r="B123" s="13" t="n"/>
      <c r="C123" s="13" t="n"/>
    </row>
    <row r="124">
      <c r="A124" s="13" t="n"/>
      <c r="B124" s="13" t="n"/>
      <c r="C124" s="13" t="n"/>
    </row>
    <row r="125">
      <c r="A125" s="13" t="n"/>
      <c r="B125" s="13" t="n"/>
      <c r="C125" s="13" t="n"/>
    </row>
    <row r="126">
      <c r="A126" s="13" t="n"/>
      <c r="B126" s="13" t="n"/>
      <c r="C126" s="13" t="n"/>
    </row>
    <row r="127">
      <c r="A127" s="13" t="n"/>
      <c r="B127" s="13" t="n"/>
      <c r="C127" s="13" t="n"/>
    </row>
    <row r="128">
      <c r="A128" s="13" t="n"/>
      <c r="B128" s="13" t="n"/>
      <c r="C128" s="13" t="n"/>
    </row>
    <row r="129">
      <c r="A129" s="13" t="n"/>
      <c r="B129" s="13" t="n"/>
      <c r="C129" s="13" t="n"/>
    </row>
    <row r="130">
      <c r="A130" s="13" t="n"/>
      <c r="B130" s="13" t="n"/>
      <c r="C130" s="13" t="n"/>
    </row>
    <row r="131">
      <c r="A131" s="13" t="n"/>
      <c r="B131" s="13" t="n"/>
      <c r="C131" s="13" t="n"/>
    </row>
    <row r="132">
      <c r="A132" s="13" t="n"/>
      <c r="B132" s="13" t="n"/>
      <c r="C132" s="13" t="n"/>
    </row>
    <row r="133">
      <c r="A133" s="13" t="n"/>
      <c r="B133" s="13" t="n"/>
      <c r="C133" s="13" t="n"/>
    </row>
    <row r="134">
      <c r="A134" s="13" t="n"/>
      <c r="B134" s="13" t="n"/>
      <c r="C134" s="13" t="n"/>
    </row>
    <row r="135">
      <c r="A135" s="13" t="n"/>
      <c r="B135" s="13" t="n"/>
      <c r="C135" s="13" t="n"/>
    </row>
    <row r="136">
      <c r="A136" s="13" t="n"/>
      <c r="B136" s="13" t="n"/>
      <c r="C136" s="13" t="n"/>
    </row>
    <row r="137">
      <c r="A137" s="13" t="n"/>
      <c r="B137" s="13" t="n"/>
      <c r="C137" s="13" t="n"/>
    </row>
    <row r="138">
      <c r="A138" s="13" t="n"/>
      <c r="B138" s="13" t="n"/>
      <c r="C138" s="13" t="n"/>
    </row>
    <row r="139">
      <c r="A139" s="13" t="n"/>
      <c r="B139" s="13" t="n"/>
      <c r="C139" s="13" t="n"/>
    </row>
    <row r="140">
      <c r="A140" s="13" t="n"/>
      <c r="B140" s="13" t="n"/>
      <c r="C140" s="13" t="n"/>
    </row>
    <row r="141">
      <c r="A141" s="13" t="n"/>
      <c r="B141" s="13" t="n"/>
      <c r="C141" s="13" t="n"/>
    </row>
    <row r="142">
      <c r="A142" s="13" t="n"/>
      <c r="B142" s="13" t="n"/>
      <c r="C142" s="13" t="n"/>
    </row>
    <row r="143">
      <c r="A143" s="13" t="n"/>
      <c r="B143" s="13" t="n"/>
      <c r="C143" s="13" t="n"/>
    </row>
    <row r="144">
      <c r="A144" s="13" t="n"/>
      <c r="B144" s="13" t="n"/>
      <c r="C144" s="13" t="n"/>
    </row>
    <row r="145">
      <c r="A145" s="13" t="n"/>
      <c r="B145" s="13" t="n"/>
      <c r="C145" s="13" t="n"/>
    </row>
    <row r="146">
      <c r="A146" s="13" t="n"/>
      <c r="B146" s="13" t="n"/>
      <c r="C146" s="13" t="n"/>
    </row>
    <row r="147">
      <c r="A147" s="13" t="n"/>
      <c r="B147" s="13" t="n"/>
      <c r="C147" s="13" t="n"/>
    </row>
    <row r="148">
      <c r="A148" s="13" t="n"/>
      <c r="B148" s="13" t="n"/>
      <c r="C148" s="13" t="n"/>
    </row>
    <row r="149">
      <c r="A149" s="13" t="n"/>
      <c r="B149" s="13" t="n"/>
      <c r="C149" s="13" t="n"/>
    </row>
    <row r="150">
      <c r="A150" s="13" t="n"/>
      <c r="B150" s="13" t="n"/>
      <c r="C150" s="13" t="n"/>
    </row>
    <row r="151">
      <c r="A151" s="13" t="n"/>
      <c r="B151" s="13" t="n"/>
      <c r="C151" s="13" t="n"/>
    </row>
    <row r="152">
      <c r="A152" s="13" t="n"/>
      <c r="B152" s="13" t="n"/>
      <c r="C152" s="13" t="n"/>
    </row>
    <row r="153">
      <c r="A153" s="13" t="n"/>
      <c r="B153" s="13" t="n"/>
      <c r="C153" s="13" t="n"/>
    </row>
    <row r="154">
      <c r="A154" s="13" t="n"/>
      <c r="B154" s="13" t="n"/>
      <c r="C154" s="13" t="n"/>
    </row>
    <row r="155">
      <c r="A155" s="13" t="n"/>
      <c r="B155" s="13" t="n"/>
      <c r="C155" s="13" t="n"/>
    </row>
    <row r="156">
      <c r="A156" s="13" t="n"/>
      <c r="B156" s="13" t="n"/>
      <c r="C156" s="13" t="n"/>
    </row>
    <row r="157">
      <c r="A157" s="13" t="n"/>
      <c r="B157" s="13" t="n"/>
      <c r="C157" s="13" t="n"/>
    </row>
    <row r="158">
      <c r="A158" s="13" t="n"/>
      <c r="B158" s="13" t="n"/>
      <c r="C158" s="13" t="n"/>
    </row>
    <row r="159">
      <c r="A159" s="13" t="n"/>
      <c r="B159" s="13" t="n"/>
      <c r="C159" s="13" t="n"/>
    </row>
    <row r="160">
      <c r="A160" s="13" t="n"/>
      <c r="B160" s="13" t="n"/>
      <c r="C160" s="13" t="n"/>
    </row>
    <row r="161">
      <c r="A161" s="13" t="n"/>
      <c r="B161" s="13" t="n"/>
      <c r="C161" s="13" t="n"/>
    </row>
    <row r="162">
      <c r="A162" s="13" t="n"/>
      <c r="B162" s="13" t="n"/>
      <c r="C162" s="13" t="n"/>
    </row>
    <row r="163">
      <c r="A163" s="13" t="n"/>
      <c r="B163" s="13" t="n"/>
      <c r="C163" s="13" t="n"/>
    </row>
    <row r="164">
      <c r="A164" s="13" t="n"/>
      <c r="B164" s="13" t="n"/>
      <c r="C164" s="13" t="n"/>
    </row>
    <row r="165">
      <c r="A165" s="13" t="n"/>
      <c r="B165" s="13" t="n"/>
      <c r="C165" s="13" t="n"/>
    </row>
    <row r="166">
      <c r="A166" s="13" t="n"/>
      <c r="B166" s="13" t="n"/>
      <c r="C166" s="13" t="n"/>
    </row>
    <row r="167">
      <c r="A167" s="13" t="n"/>
      <c r="B167" s="13" t="n"/>
      <c r="C167" s="13" t="n"/>
    </row>
    <row r="168">
      <c r="A168" s="13" t="n"/>
      <c r="B168" s="13" t="n"/>
      <c r="C168" s="13" t="n"/>
    </row>
    <row r="169">
      <c r="A169" s="13" t="n"/>
      <c r="B169" s="13" t="n"/>
      <c r="C169" s="13" t="n"/>
    </row>
    <row r="170">
      <c r="A170" s="13" t="n"/>
      <c r="B170" s="13" t="n"/>
      <c r="C170" s="13" t="n"/>
    </row>
    <row r="171">
      <c r="A171" s="13" t="n"/>
      <c r="B171" s="13" t="n"/>
      <c r="C171" s="13" t="n"/>
    </row>
    <row r="172">
      <c r="A172" s="13" t="n"/>
      <c r="B172" s="13" t="n"/>
      <c r="C172" s="13" t="n"/>
    </row>
    <row r="173">
      <c r="A173" s="13" t="n"/>
      <c r="B173" s="13" t="n"/>
      <c r="C173" s="13" t="n"/>
    </row>
    <row r="174">
      <c r="A174" s="13" t="n"/>
      <c r="B174" s="13" t="n"/>
      <c r="C174" s="13" t="n"/>
    </row>
    <row r="175">
      <c r="A175" s="13" t="n"/>
      <c r="B175" s="13" t="n"/>
      <c r="C175" s="13" t="n"/>
    </row>
    <row r="176">
      <c r="A176" s="13" t="n"/>
      <c r="B176" s="13" t="n"/>
      <c r="C176" s="13" t="n"/>
    </row>
    <row r="177">
      <c r="A177" s="13" t="n"/>
      <c r="B177" s="13" t="n"/>
      <c r="C177" s="13" t="n"/>
    </row>
    <row r="178">
      <c r="A178" s="13" t="n"/>
      <c r="B178" s="13" t="n"/>
      <c r="C178" s="13" t="n"/>
    </row>
    <row r="179">
      <c r="A179" s="13" t="n"/>
      <c r="B179" s="13" t="n"/>
      <c r="C179" s="13" t="n"/>
    </row>
    <row r="180">
      <c r="A180" s="13" t="n"/>
      <c r="B180" s="13" t="n"/>
      <c r="C180" s="13" t="n"/>
    </row>
    <row r="181">
      <c r="A181" s="13" t="n"/>
      <c r="B181" s="13" t="n"/>
      <c r="C181" s="13" t="n"/>
    </row>
    <row r="182">
      <c r="A182" s="13" t="n"/>
      <c r="B182" s="13" t="n"/>
      <c r="C182" s="13" t="n"/>
    </row>
    <row r="183">
      <c r="A183" s="13" t="n"/>
      <c r="B183" s="13" t="n"/>
      <c r="C183" s="13" t="n"/>
    </row>
    <row r="184">
      <c r="A184" s="13" t="n"/>
      <c r="B184" s="13" t="n"/>
      <c r="C184" s="13" t="n"/>
    </row>
    <row r="185">
      <c r="A185" s="13" t="n"/>
      <c r="B185" s="13" t="n"/>
      <c r="C185" s="13" t="n"/>
    </row>
    <row r="186">
      <c r="A186" s="13" t="n"/>
      <c r="B186" s="13" t="n"/>
      <c r="C186" s="13" t="n"/>
    </row>
    <row r="187">
      <c r="A187" s="13" t="n"/>
      <c r="B187" s="13" t="n"/>
      <c r="C187" s="13" t="n"/>
    </row>
    <row r="188">
      <c r="A188" s="13" t="n"/>
      <c r="B188" s="13" t="n"/>
      <c r="C188" s="13" t="n"/>
    </row>
    <row r="189">
      <c r="A189" s="13" t="n"/>
      <c r="B189" s="13" t="n"/>
      <c r="C189" s="13" t="n"/>
    </row>
    <row r="190">
      <c r="A190" s="13" t="n"/>
      <c r="B190" s="13" t="n"/>
      <c r="C190" s="13" t="n"/>
    </row>
    <row r="191">
      <c r="A191" s="13" t="n"/>
      <c r="B191" s="13" t="n"/>
      <c r="C191" s="13" t="n"/>
    </row>
    <row r="192">
      <c r="A192" s="13" t="n"/>
      <c r="B192" s="13" t="n"/>
      <c r="C192" s="13" t="n"/>
    </row>
    <row r="193">
      <c r="A193" s="13" t="n"/>
      <c r="B193" s="13" t="n"/>
      <c r="C193" s="13" t="n"/>
    </row>
    <row r="194">
      <c r="A194" s="13" t="n"/>
      <c r="B194" s="13" t="n"/>
      <c r="C194" s="13" t="n"/>
    </row>
    <row r="195">
      <c r="A195" s="13" t="n"/>
      <c r="B195" s="13" t="n"/>
      <c r="C195" s="13" t="n"/>
    </row>
    <row r="196">
      <c r="A196" s="13" t="n"/>
      <c r="B196" s="13" t="n"/>
      <c r="C196" s="13" t="n"/>
    </row>
    <row r="197">
      <c r="A197" s="13" t="n"/>
      <c r="B197" s="13" t="n"/>
      <c r="C197" s="13" t="n"/>
    </row>
    <row r="198">
      <c r="A198" s="13" t="n"/>
      <c r="B198" s="13" t="n"/>
      <c r="C198" s="13" t="n"/>
    </row>
    <row r="199">
      <c r="A199" s="13" t="n"/>
      <c r="B199" s="13" t="n"/>
      <c r="C199" s="13" t="n"/>
    </row>
    <row r="200">
      <c r="A200" s="13" t="n"/>
      <c r="B200" s="13" t="n"/>
      <c r="C200" s="13" t="n"/>
    </row>
    <row r="201">
      <c r="A201" s="13" t="n"/>
      <c r="B201" s="13" t="n"/>
      <c r="C201" s="13" t="n"/>
    </row>
  </sheetData>
  <pageMargins left="0.75" right="0.75" top="1" bottom="1" header="0.5" footer="0.5"/>
</worksheet>
</file>

<file path=xl/worksheets/sheet7.xml><?xml version="1.0" encoding="utf-8"?>
<worksheet xmlns="http://schemas.openxmlformats.org/spreadsheetml/2006/main">
  <sheetPr>
    <outlinePr summaryBelow="1" summaryRight="1"/>
    <pageSetUpPr fitToPage="1"/>
  </sheetPr>
  <dimension ref="A1:F21"/>
  <sheetViews>
    <sheetView workbookViewId="0">
      <selection activeCell="A1" sqref="A1"/>
    </sheetView>
  </sheetViews>
  <sheetFormatPr baseColWidth="8" defaultRowHeight="15"/>
  <cols>
    <col width="12" customWidth="1" min="1" max="1"/>
    <col width="16" customWidth="1" min="2" max="2"/>
    <col width="12" customWidth="1" min="3" max="3"/>
    <col width="12" customWidth="1" min="4" max="4"/>
    <col width="16" customWidth="1" min="5" max="5"/>
    <col width="16" customWidth="1" min="6" max="6"/>
  </cols>
  <sheetData>
    <row r="1" ht="28" customHeight="1">
      <c r="A1" s="18">
        <f>IF(IFERROR(INDEX(案件入力範囲,MATCH($B$2,管理番号リスト,0),3),"")="新規登録","新商品登録カード（仕入用）","単価変更カード（仕入用）")</f>
        <v/>
      </c>
      <c r="B1" s="44" t="n"/>
      <c r="C1" s="44" t="n"/>
      <c r="D1" s="44" t="n"/>
      <c r="E1" s="44" t="n"/>
      <c r="F1" s="45" t="n"/>
    </row>
    <row r="2">
      <c r="A2" s="21" t="inlineStr">
        <is>
          <t>管理番号</t>
        </is>
      </c>
      <c r="B2" s="13" t="n"/>
      <c r="C2" s="46" t="n"/>
      <c r="D2" s="13" t="n"/>
      <c r="E2" s="13" t="n"/>
      <c r="F2" s="22" t="n"/>
    </row>
    <row r="3">
      <c r="A3" s="23" t="inlineStr">
        <is>
          <t>発行日</t>
        </is>
      </c>
      <c r="B3" s="24">
        <f>IFERROR(INDEX(案件入力範囲,MATCH($B$2,管理番号リスト,0),2),"")</f>
        <v/>
      </c>
      <c r="C3" s="46" t="n"/>
      <c r="D3" s="25" t="inlineStr">
        <is>
          <t>商品名</t>
        </is>
      </c>
      <c r="E3" s="9">
        <f>IFERROR(INDEX(案件入力範囲,MATCH($B$2,管理番号リスト,0),4),"")</f>
        <v/>
      </c>
      <c r="F3" s="46" t="n"/>
    </row>
    <row r="4">
      <c r="A4" s="23" t="inlineStr">
        <is>
          <t>仕入先</t>
        </is>
      </c>
      <c r="B4" s="9">
        <f>IFERROR(INDEX(案件入力範囲,MATCH($B$2,管理番号リスト,0),6),"")</f>
        <v/>
      </c>
      <c r="C4" s="46" t="n"/>
      <c r="D4" s="25" t="inlineStr">
        <is>
          <t>荷姿</t>
        </is>
      </c>
      <c r="E4" s="9">
        <f>IFERROR(INDEX(案件入力範囲,MATCH($B$2,管理番号リスト,0),5),"")</f>
        <v/>
      </c>
      <c r="F4" s="46" t="n"/>
    </row>
    <row r="5">
      <c r="A5" s="23" t="inlineStr">
        <is>
          <t>旧価格</t>
        </is>
      </c>
      <c r="B5" s="50">
        <f>IFERROR(INDEX(案件入力範囲,MATCH($B$2,管理番号リスト,0),8),"")</f>
        <v/>
      </c>
      <c r="C5" s="27" t="inlineStr">
        <is>
          <t>→</t>
        </is>
      </c>
      <c r="D5" s="25" t="inlineStr">
        <is>
          <t>新価格</t>
        </is>
      </c>
      <c r="E5" s="50">
        <f>IFERROR(INDEX(案件入力範囲,MATCH($B$2,管理番号リスト,0),9),"")</f>
        <v/>
      </c>
      <c r="F5" s="46" t="n"/>
    </row>
    <row r="6">
      <c r="A6" s="23" t="inlineStr">
        <is>
          <t>適用日</t>
        </is>
      </c>
      <c r="B6" s="24">
        <f>IFERROR(INDEX(案件入力範囲,MATCH($B$2,管理番号リスト,0),11),"")</f>
        <v/>
      </c>
      <c r="C6" s="46" t="n"/>
      <c r="D6" s="25" t="inlineStr">
        <is>
          <t>担当者</t>
        </is>
      </c>
      <c r="E6" s="9">
        <f>IFERROR(INDEX(案件入力範囲,MATCH($B$2,管理番号リスト,0),19),"")</f>
        <v/>
      </c>
      <c r="F6" s="46" t="n"/>
    </row>
    <row r="7" ht="30" customHeight="1">
      <c r="A7" s="23" t="inlineStr">
        <is>
          <t>備考</t>
        </is>
      </c>
      <c r="B7" s="9">
        <f>IFERROR(INDEX(案件入力範囲,MATCH($B$2,管理番号リスト,0),16),"")</f>
        <v/>
      </c>
      <c r="C7" s="47" t="n"/>
      <c r="D7" s="47" t="n"/>
      <c r="E7" s="47" t="n"/>
      <c r="F7" s="46" t="n"/>
    </row>
    <row r="8">
      <c r="A8" s="28" t="inlineStr">
        <is>
          <t>確認欄</t>
        </is>
      </c>
      <c r="B8" s="29" t="n"/>
      <c r="C8" s="48" t="n"/>
      <c r="D8" s="31" t="inlineStr">
        <is>
          <t>発行担当：</t>
        </is>
      </c>
      <c r="E8" s="29" t="n"/>
      <c r="F8" s="48" t="n"/>
    </row>
    <row r="9"/>
    <row r="10">
      <c r="A10" s="33" t="inlineStr">
        <is>
          <t>- - - - - - - - - - - - - -  キリトリ線  - - - - - - - - - - - - - -</t>
        </is>
      </c>
    </row>
    <row r="11" ht="28" customHeight="1">
      <c r="A11" s="18">
        <f>IF(IFERROR(INDEX(案件入力範囲,MATCH($B$12,管理番号リスト,0),3),"")="新規登録","新商品登録カード（仕入用）","単価変更カード（仕入用）")</f>
        <v/>
      </c>
      <c r="B11" s="44" t="n"/>
      <c r="C11" s="44" t="n"/>
      <c r="D11" s="44" t="n"/>
      <c r="E11" s="44" t="n"/>
      <c r="F11" s="45" t="n"/>
    </row>
    <row r="12">
      <c r="A12" s="21" t="inlineStr">
        <is>
          <t>管理番号</t>
        </is>
      </c>
      <c r="B12" s="9">
        <f>$B$2</f>
        <v/>
      </c>
      <c r="C12" s="46" t="n"/>
      <c r="D12" s="13" t="n"/>
      <c r="E12" s="13" t="n"/>
      <c r="F12" s="22" t="n"/>
    </row>
    <row r="13">
      <c r="A13" s="23" t="inlineStr">
        <is>
          <t>発行日</t>
        </is>
      </c>
      <c r="B13" s="24">
        <f>IFERROR(INDEX(案件入力範囲,MATCH($B$12,管理番号リスト,0),2),"")</f>
        <v/>
      </c>
      <c r="C13" s="46" t="n"/>
      <c r="D13" s="25" t="inlineStr">
        <is>
          <t>商品名</t>
        </is>
      </c>
      <c r="E13" s="9">
        <f>IFERROR(INDEX(案件入力範囲,MATCH($B$12,管理番号リスト,0),4),"")</f>
        <v/>
      </c>
      <c r="F13" s="46" t="n"/>
    </row>
    <row r="14">
      <c r="A14" s="23" t="inlineStr">
        <is>
          <t>仕入先</t>
        </is>
      </c>
      <c r="B14" s="9">
        <f>IFERROR(INDEX(案件入力範囲,MATCH($B$12,管理番号リスト,0),6),"")</f>
        <v/>
      </c>
      <c r="C14" s="46" t="n"/>
      <c r="D14" s="25" t="inlineStr">
        <is>
          <t>荷姿</t>
        </is>
      </c>
      <c r="E14" s="9">
        <f>IFERROR(INDEX(案件入力範囲,MATCH($B$12,管理番号リスト,0),5),"")</f>
        <v/>
      </c>
      <c r="F14" s="46" t="n"/>
    </row>
    <row r="15">
      <c r="A15" s="23" t="inlineStr">
        <is>
          <t>旧価格</t>
        </is>
      </c>
      <c r="B15" s="50">
        <f>IFERROR(INDEX(案件入力範囲,MATCH($B$12,管理番号リスト,0),8),"")</f>
        <v/>
      </c>
      <c r="C15" s="27" t="inlineStr">
        <is>
          <t>→</t>
        </is>
      </c>
      <c r="D15" s="25" t="inlineStr">
        <is>
          <t>新価格</t>
        </is>
      </c>
      <c r="E15" s="50">
        <f>IFERROR(INDEX(案件入力範囲,MATCH($B$12,管理番号リスト,0),9),"")</f>
        <v/>
      </c>
      <c r="F15" s="46" t="n"/>
    </row>
    <row r="16">
      <c r="A16" s="23" t="inlineStr">
        <is>
          <t>適用日</t>
        </is>
      </c>
      <c r="B16" s="24">
        <f>IFERROR(INDEX(案件入力範囲,MATCH($B$12,管理番号リスト,0),11),"")</f>
        <v/>
      </c>
      <c r="C16" s="46" t="n"/>
      <c r="D16" s="25" t="inlineStr">
        <is>
          <t>担当者</t>
        </is>
      </c>
      <c r="E16" s="9">
        <f>IFERROR(INDEX(案件入力範囲,MATCH($B$12,管理番号リスト,0),19),"")</f>
        <v/>
      </c>
      <c r="F16" s="46" t="n"/>
    </row>
    <row r="17" ht="30" customHeight="1">
      <c r="A17" s="23" t="inlineStr">
        <is>
          <t>備考</t>
        </is>
      </c>
      <c r="B17" s="9">
        <f>IFERROR(INDEX(案件入力範囲,MATCH($B$12,管理番号リスト,0),16),"")</f>
        <v/>
      </c>
      <c r="C17" s="47" t="n"/>
      <c r="D17" s="47" t="n"/>
      <c r="E17" s="47" t="n"/>
      <c r="F17" s="46" t="n"/>
    </row>
    <row r="18">
      <c r="A18" s="28" t="inlineStr">
        <is>
          <t>確認欄</t>
        </is>
      </c>
      <c r="B18" s="29" t="n"/>
      <c r="C18" s="48" t="n"/>
      <c r="D18" s="31" t="inlineStr">
        <is>
          <t>発行担当：</t>
        </is>
      </c>
      <c r="E18" s="29" t="n"/>
      <c r="F18" s="48" t="n"/>
    </row>
    <row r="19"/>
    <row r="20"/>
    <row r="21" ht="30" customHeight="1">
      <c r="A21" s="34" t="inlineStr">
        <is>
          <t>使い方: ①上段の「管理番号」で案件を選択 → ②Ctrl+P で印刷（A4縦1枚に自動設定済み） ／ PDF化は印刷画面で「PDFに保存」を選択、またはファイル→エクスポート→PDF作成。</t>
        </is>
      </c>
    </row>
  </sheetData>
  <mergeCells count="28">
    <mergeCell ref="B16:C16"/>
    <mergeCell ref="B7:F7"/>
    <mergeCell ref="B3:C3"/>
    <mergeCell ref="B15"/>
    <mergeCell ref="E5:F5"/>
    <mergeCell ref="E14:F14"/>
    <mergeCell ref="B18:C18"/>
    <mergeCell ref="B5"/>
    <mergeCell ref="A21:F21"/>
    <mergeCell ref="E8:F8"/>
    <mergeCell ref="B12:C12"/>
    <mergeCell ref="E4:F4"/>
    <mergeCell ref="B2:C2"/>
    <mergeCell ref="B14:C14"/>
    <mergeCell ref="E13:F13"/>
    <mergeCell ref="B8:C8"/>
    <mergeCell ref="B17:F17"/>
    <mergeCell ref="B13:C13"/>
    <mergeCell ref="E6:F6"/>
    <mergeCell ref="A10:F10"/>
    <mergeCell ref="E15:F15"/>
    <mergeCell ref="B6:C6"/>
    <mergeCell ref="A11:F11"/>
    <mergeCell ref="E16:F16"/>
    <mergeCell ref="A1:F1"/>
    <mergeCell ref="E18:F18"/>
    <mergeCell ref="B4:C4"/>
    <mergeCell ref="E3:F3"/>
  </mergeCells>
  <dataValidations count="1">
    <dataValidation sqref="B2" showDropDown="0" showInputMessage="0" showErrorMessage="0" allowBlank="1" type="list">
      <formula1>管理番号リスト</formula1>
    </dataValidation>
  </dataValidations>
  <pageMargins left="0.5" right="0.5" top="0.6" bottom="0.6" header="0.3" footer="0.3"/>
  <pageSetup orientation="portrait" paperSize="9" fitToHeight="1" fitToWidth="1"/>
</worksheet>
</file>

<file path=xl/worksheets/sheet8.xml><?xml version="1.0" encoding="utf-8"?>
<worksheet xmlns="http://schemas.openxmlformats.org/spreadsheetml/2006/main">
  <sheetPr>
    <outlinePr summaryBelow="1" summaryRight="1"/>
    <pageSetUpPr fitToPage="1"/>
  </sheetPr>
  <dimension ref="A1:F21"/>
  <sheetViews>
    <sheetView workbookViewId="0">
      <selection activeCell="A1" sqref="A1"/>
    </sheetView>
  </sheetViews>
  <sheetFormatPr baseColWidth="8" defaultRowHeight="15"/>
  <cols>
    <col width="12" customWidth="1" min="1" max="1"/>
    <col width="16" customWidth="1" min="2" max="2"/>
    <col width="12" customWidth="1" min="3" max="3"/>
    <col width="12" customWidth="1" min="4" max="4"/>
    <col width="16" customWidth="1" min="5" max="5"/>
    <col width="16" customWidth="1" min="6" max="6"/>
  </cols>
  <sheetData>
    <row r="1" ht="28" customHeight="1">
      <c r="A1" s="18">
        <f>IF(IFERROR(INDEX(案件入力範囲,MATCH($B$2,管理番号リスト,0),3),"")="新規登録","新商品登録カード（得意先用）","単価変更カード（得意先用）")</f>
        <v/>
      </c>
      <c r="B1" s="44" t="n"/>
      <c r="C1" s="44" t="n"/>
      <c r="D1" s="44" t="n"/>
      <c r="E1" s="44" t="n"/>
      <c r="F1" s="45" t="n"/>
    </row>
    <row r="2">
      <c r="A2" s="21" t="inlineStr">
        <is>
          <t>管理番号</t>
        </is>
      </c>
      <c r="B2" s="13" t="n"/>
      <c r="C2" s="46" t="n"/>
      <c r="D2" s="13" t="n"/>
      <c r="E2" s="13" t="n"/>
      <c r="F2" s="22" t="n"/>
    </row>
    <row r="3">
      <c r="A3" s="23" t="inlineStr">
        <is>
          <t>発行日</t>
        </is>
      </c>
      <c r="B3" s="24">
        <f>IFERROR(INDEX(案件入力範囲,MATCH($B$2,管理番号リスト,0),2),"")</f>
        <v/>
      </c>
      <c r="C3" s="46" t="n"/>
      <c r="D3" s="25" t="inlineStr">
        <is>
          <t>商品名</t>
        </is>
      </c>
      <c r="E3" s="9">
        <f>IFERROR(INDEX(案件入力範囲,MATCH($B$2,管理番号リスト,0),4),"")</f>
        <v/>
      </c>
      <c r="F3" s="46" t="n"/>
    </row>
    <row r="4">
      <c r="A4" s="23" t="inlineStr">
        <is>
          <t>得意先</t>
        </is>
      </c>
      <c r="B4" s="9">
        <f>IFERROR(INDEX(案件入力範囲,MATCH($B$2,管理番号リスト,0),7),"")</f>
        <v/>
      </c>
      <c r="C4" s="46" t="n"/>
      <c r="D4" s="25" t="inlineStr">
        <is>
          <t>荷姿</t>
        </is>
      </c>
      <c r="E4" s="9">
        <f>IFERROR(INDEX(案件入力範囲,MATCH($B$2,管理番号リスト,0),5),"")</f>
        <v/>
      </c>
      <c r="F4" s="46" t="n"/>
    </row>
    <row r="5">
      <c r="A5" s="23" t="inlineStr">
        <is>
          <t>旧価格</t>
        </is>
      </c>
      <c r="B5" s="50">
        <f>IFERROR(INDEX(案件入力範囲,MATCH($B$2,管理番号リスト,0),12),"")</f>
        <v/>
      </c>
      <c r="C5" s="27" t="inlineStr">
        <is>
          <t>→</t>
        </is>
      </c>
      <c r="D5" s="25" t="inlineStr">
        <is>
          <t>新価格</t>
        </is>
      </c>
      <c r="E5" s="50">
        <f>IFERROR(INDEX(案件入力範囲,MATCH($B$2,管理番号リスト,0),13),"")</f>
        <v/>
      </c>
      <c r="F5" s="46" t="n"/>
    </row>
    <row r="6">
      <c r="A6" s="23" t="inlineStr">
        <is>
          <t>適用日</t>
        </is>
      </c>
      <c r="B6" s="24">
        <f>IFERROR(INDEX(案件入力範囲,MATCH($B$2,管理番号リスト,0),15),"")</f>
        <v/>
      </c>
      <c r="C6" s="46" t="n"/>
      <c r="D6" s="25" t="inlineStr">
        <is>
          <t>担当者</t>
        </is>
      </c>
      <c r="E6" s="9">
        <f>IFERROR(INDEX(案件入力範囲,MATCH($B$2,管理番号リスト,0),19),"")</f>
        <v/>
      </c>
      <c r="F6" s="46" t="n"/>
    </row>
    <row r="7" ht="30" customHeight="1">
      <c r="A7" s="23" t="inlineStr">
        <is>
          <t>備考</t>
        </is>
      </c>
      <c r="B7" s="9">
        <f>IFERROR(INDEX(案件入力範囲,MATCH($B$2,管理番号リスト,0),16),"")</f>
        <v/>
      </c>
      <c r="C7" s="47" t="n"/>
      <c r="D7" s="47" t="n"/>
      <c r="E7" s="47" t="n"/>
      <c r="F7" s="46" t="n"/>
    </row>
    <row r="8">
      <c r="A8" s="28" t="inlineStr">
        <is>
          <t>確認欄</t>
        </is>
      </c>
      <c r="B8" s="29" t="n"/>
      <c r="C8" s="48" t="n"/>
      <c r="D8" s="31" t="inlineStr">
        <is>
          <t>発行担当：</t>
        </is>
      </c>
      <c r="E8" s="29" t="n"/>
      <c r="F8" s="48" t="n"/>
    </row>
    <row r="9"/>
    <row r="10">
      <c r="A10" s="33" t="inlineStr">
        <is>
          <t>- - - - - - - - - - - - - -  キリトリ線  - - - - - - - - - - - - - -</t>
        </is>
      </c>
    </row>
    <row r="11" ht="28" customHeight="1">
      <c r="A11" s="18">
        <f>IF(IFERROR(INDEX(案件入力範囲,MATCH($B$12,管理番号リスト,0),3),"")="新規登録","新商品登録カード（得意先用）","単価変更カード（得意先用）")</f>
        <v/>
      </c>
      <c r="B11" s="44" t="n"/>
      <c r="C11" s="44" t="n"/>
      <c r="D11" s="44" t="n"/>
      <c r="E11" s="44" t="n"/>
      <c r="F11" s="45" t="n"/>
    </row>
    <row r="12">
      <c r="A12" s="21" t="inlineStr">
        <is>
          <t>管理番号</t>
        </is>
      </c>
      <c r="B12" s="9">
        <f>$B$2</f>
        <v/>
      </c>
      <c r="C12" s="46" t="n"/>
      <c r="D12" s="13" t="n"/>
      <c r="E12" s="13" t="n"/>
      <c r="F12" s="22" t="n"/>
    </row>
    <row r="13">
      <c r="A13" s="23" t="inlineStr">
        <is>
          <t>発行日</t>
        </is>
      </c>
      <c r="B13" s="24">
        <f>IFERROR(INDEX(案件入力範囲,MATCH($B$12,管理番号リスト,0),2),"")</f>
        <v/>
      </c>
      <c r="C13" s="46" t="n"/>
      <c r="D13" s="25" t="inlineStr">
        <is>
          <t>商品名</t>
        </is>
      </c>
      <c r="E13" s="9">
        <f>IFERROR(INDEX(案件入力範囲,MATCH($B$12,管理番号リスト,0),4),"")</f>
        <v/>
      </c>
      <c r="F13" s="46" t="n"/>
    </row>
    <row r="14">
      <c r="A14" s="23" t="inlineStr">
        <is>
          <t>得意先</t>
        </is>
      </c>
      <c r="B14" s="9">
        <f>IFERROR(INDEX(案件入力範囲,MATCH($B$12,管理番号リスト,0),7),"")</f>
        <v/>
      </c>
      <c r="C14" s="46" t="n"/>
      <c r="D14" s="25" t="inlineStr">
        <is>
          <t>荷姿</t>
        </is>
      </c>
      <c r="E14" s="9">
        <f>IFERROR(INDEX(案件入力範囲,MATCH($B$12,管理番号リスト,0),5),"")</f>
        <v/>
      </c>
      <c r="F14" s="46" t="n"/>
    </row>
    <row r="15">
      <c r="A15" s="23" t="inlineStr">
        <is>
          <t>旧価格</t>
        </is>
      </c>
      <c r="B15" s="50">
        <f>IFERROR(INDEX(案件入力範囲,MATCH($B$12,管理番号リスト,0),12),"")</f>
        <v/>
      </c>
      <c r="C15" s="27" t="inlineStr">
        <is>
          <t>→</t>
        </is>
      </c>
      <c r="D15" s="25" t="inlineStr">
        <is>
          <t>新価格</t>
        </is>
      </c>
      <c r="E15" s="50">
        <f>IFERROR(INDEX(案件入力範囲,MATCH($B$12,管理番号リスト,0),13),"")</f>
        <v/>
      </c>
      <c r="F15" s="46" t="n"/>
    </row>
    <row r="16">
      <c r="A16" s="23" t="inlineStr">
        <is>
          <t>適用日</t>
        </is>
      </c>
      <c r="B16" s="24">
        <f>IFERROR(INDEX(案件入力範囲,MATCH($B$12,管理番号リスト,0),15),"")</f>
        <v/>
      </c>
      <c r="C16" s="46" t="n"/>
      <c r="D16" s="25" t="inlineStr">
        <is>
          <t>担当者</t>
        </is>
      </c>
      <c r="E16" s="9">
        <f>IFERROR(INDEX(案件入力範囲,MATCH($B$12,管理番号リスト,0),19),"")</f>
        <v/>
      </c>
      <c r="F16" s="46" t="n"/>
    </row>
    <row r="17" ht="30" customHeight="1">
      <c r="A17" s="23" t="inlineStr">
        <is>
          <t>備考</t>
        </is>
      </c>
      <c r="B17" s="9">
        <f>IFERROR(INDEX(案件入力範囲,MATCH($B$12,管理番号リスト,0),16),"")</f>
        <v/>
      </c>
      <c r="C17" s="47" t="n"/>
      <c r="D17" s="47" t="n"/>
      <c r="E17" s="47" t="n"/>
      <c r="F17" s="46" t="n"/>
    </row>
    <row r="18">
      <c r="A18" s="28" t="inlineStr">
        <is>
          <t>確認欄</t>
        </is>
      </c>
      <c r="B18" s="29" t="n"/>
      <c r="C18" s="48" t="n"/>
      <c r="D18" s="31" t="inlineStr">
        <is>
          <t>発行担当：</t>
        </is>
      </c>
      <c r="E18" s="29" t="n"/>
      <c r="F18" s="48" t="n"/>
    </row>
    <row r="19"/>
    <row r="20"/>
    <row r="21" ht="30" customHeight="1">
      <c r="A21" s="34" t="inlineStr">
        <is>
          <t>使い方: ①上段の「管理番号」で案件を選択 → ②Ctrl+P で印刷（A4縦1枚に自動設定済み） ／ PDF化は印刷画面で「PDFに保存」を選択、またはファイル→エクスポート→PDF作成。</t>
        </is>
      </c>
    </row>
  </sheetData>
  <mergeCells count="28">
    <mergeCell ref="B16:C16"/>
    <mergeCell ref="B7:F7"/>
    <mergeCell ref="B3:C3"/>
    <mergeCell ref="B15"/>
    <mergeCell ref="E5:F5"/>
    <mergeCell ref="E14:F14"/>
    <mergeCell ref="B18:C18"/>
    <mergeCell ref="B5"/>
    <mergeCell ref="A21:F21"/>
    <mergeCell ref="E8:F8"/>
    <mergeCell ref="B12:C12"/>
    <mergeCell ref="E4:F4"/>
    <mergeCell ref="B2:C2"/>
    <mergeCell ref="B14:C14"/>
    <mergeCell ref="E13:F13"/>
    <mergeCell ref="B8:C8"/>
    <mergeCell ref="B17:F17"/>
    <mergeCell ref="B13:C13"/>
    <mergeCell ref="E6:F6"/>
    <mergeCell ref="A10:F10"/>
    <mergeCell ref="E15:F15"/>
    <mergeCell ref="B6:C6"/>
    <mergeCell ref="A11:F11"/>
    <mergeCell ref="E16:F16"/>
    <mergeCell ref="A1:F1"/>
    <mergeCell ref="E18:F18"/>
    <mergeCell ref="B4:C4"/>
    <mergeCell ref="E3:F3"/>
  </mergeCells>
  <dataValidations count="1">
    <dataValidation sqref="B2" showDropDown="0" showInputMessage="0" showErrorMessage="0" allowBlank="1" type="list">
      <formula1>管理番号リスト</formula1>
    </dataValidation>
  </dataValidations>
  <pageMargins left="0.5" right="0.5" top="0.6" bottom="0.6" header="0.3" footer="0.3"/>
  <pageSetup orientation="portrait" paperSize="9" fitToHeight="1" fitToWidth="1"/>
</worksheet>
</file>

<file path=xl/worksheets/sheet9.xml><?xml version="1.0" encoding="utf-8"?>
<worksheet xmlns="http://schemas.openxmlformats.org/spreadsheetml/2006/main">
  <sheetPr>
    <outlinePr summaryBelow="1" summaryRight="1"/>
    <pageSetUpPr/>
  </sheetPr>
  <dimension ref="A1:S303"/>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20" customWidth="1" min="4" max="4"/>
    <col width="16" customWidth="1" min="5" max="5"/>
    <col width="20" customWidth="1" min="6" max="6"/>
    <col width="20" customWidth="1" min="7" max="7"/>
    <col width="11" customWidth="1" min="8" max="8"/>
    <col width="11" customWidth="1" min="9" max="9"/>
    <col width="10" customWidth="1" min="10" max="10"/>
    <col width="12" customWidth="1" min="11" max="11"/>
    <col width="11" customWidth="1" min="12" max="12"/>
    <col width="11" customWidth="1" min="13" max="13"/>
    <col width="10" customWidth="1" min="14" max="14"/>
    <col width="12" customWidth="1" min="15" max="15"/>
    <col width="24" customWidth="1" min="16" max="16"/>
    <col width="12" customWidth="1" min="17" max="17"/>
    <col width="10" customWidth="1" min="18" max="18"/>
    <col width="12" customWidth="1" min="19" max="19"/>
  </cols>
  <sheetData>
    <row r="1">
      <c r="A1" t="inlineStr">
        <is>
          <t>管理番号</t>
        </is>
      </c>
      <c r="B1" t="inlineStr">
        <is>
          <t>記入日</t>
        </is>
      </c>
      <c r="C1" t="inlineStr">
        <is>
          <t>区分</t>
        </is>
      </c>
      <c r="D1" t="inlineStr">
        <is>
          <t>商品名</t>
        </is>
      </c>
      <c r="E1" t="inlineStr">
        <is>
          <t>荷姿</t>
        </is>
      </c>
      <c r="F1" t="inlineStr">
        <is>
          <t>仕入先</t>
        </is>
      </c>
      <c r="G1" t="inlineStr">
        <is>
          <t>得意先</t>
        </is>
      </c>
      <c r="H1" t="inlineStr">
        <is>
          <t>旧仕入値</t>
        </is>
      </c>
      <c r="I1" t="inlineStr">
        <is>
          <t>新仕入値</t>
        </is>
      </c>
      <c r="J1" t="inlineStr">
        <is>
          <t>仕入変動率</t>
        </is>
      </c>
      <c r="K1" t="inlineStr">
        <is>
          <t>仕入適用日</t>
        </is>
      </c>
      <c r="L1" t="inlineStr">
        <is>
          <t>旧売価</t>
        </is>
      </c>
      <c r="M1" t="inlineStr">
        <is>
          <t>新売価</t>
        </is>
      </c>
      <c r="N1" t="inlineStr">
        <is>
          <t>売価変動率</t>
        </is>
      </c>
      <c r="O1" t="inlineStr">
        <is>
          <t>売価適用日</t>
        </is>
      </c>
      <c r="P1" t="inlineStr">
        <is>
          <t>備考</t>
        </is>
      </c>
      <c r="Q1" t="inlineStr">
        <is>
          <t>カード印刷済</t>
        </is>
      </c>
      <c r="R1" t="inlineStr">
        <is>
          <t>完了</t>
        </is>
      </c>
      <c r="S1" t="inlineStr">
        <is>
          <t>担当者</t>
        </is>
      </c>
    </row>
    <row r="2">
      <c r="A2" s="35">
        <f>案件入力!A2</f>
        <v/>
      </c>
      <c r="B2" s="36">
        <f>案件入力!B2</f>
        <v/>
      </c>
      <c r="C2" s="35">
        <f>案件入力!C2</f>
        <v/>
      </c>
      <c r="D2" s="37">
        <f>案件入力!D2</f>
        <v/>
      </c>
      <c r="E2" s="35">
        <f>案件入力!E2</f>
        <v/>
      </c>
      <c r="F2" s="35">
        <f>案件入力!F2</f>
        <v/>
      </c>
      <c r="G2" s="35">
        <f>案件入力!G2</f>
        <v/>
      </c>
      <c r="H2" s="49">
        <f>案件入力!H2</f>
        <v/>
      </c>
      <c r="I2" s="49">
        <f>案件入力!I2</f>
        <v/>
      </c>
      <c r="J2" s="39">
        <f>案件入力!J2</f>
        <v/>
      </c>
      <c r="K2" s="36">
        <f>案件入力!K2</f>
        <v/>
      </c>
      <c r="L2" s="49">
        <f>案件入力!L2</f>
        <v/>
      </c>
      <c r="M2" s="49">
        <f>案件入力!M2</f>
        <v/>
      </c>
      <c r="N2" s="39">
        <f>案件入力!N2</f>
        <v/>
      </c>
      <c r="O2" s="36">
        <f>案件入力!O2</f>
        <v/>
      </c>
      <c r="P2" s="37">
        <f>案件入力!P2</f>
        <v/>
      </c>
      <c r="Q2" s="35">
        <f>案件入力!Q2</f>
        <v/>
      </c>
      <c r="R2" s="35">
        <f>案件入力!R2</f>
        <v/>
      </c>
      <c r="S2" s="35">
        <f>案件入力!S2</f>
        <v/>
      </c>
    </row>
    <row r="3">
      <c r="A3" s="35">
        <f>案件入力!A3</f>
        <v/>
      </c>
      <c r="B3" s="36">
        <f>案件入力!B3</f>
        <v/>
      </c>
      <c r="C3" s="35">
        <f>案件入力!C3</f>
        <v/>
      </c>
      <c r="D3" s="37">
        <f>案件入力!D3</f>
        <v/>
      </c>
      <c r="E3" s="35">
        <f>案件入力!E3</f>
        <v/>
      </c>
      <c r="F3" s="35">
        <f>案件入力!F3</f>
        <v/>
      </c>
      <c r="G3" s="35">
        <f>案件入力!G3</f>
        <v/>
      </c>
      <c r="H3" s="49">
        <f>案件入力!H3</f>
        <v/>
      </c>
      <c r="I3" s="49">
        <f>案件入力!I3</f>
        <v/>
      </c>
      <c r="J3" s="39">
        <f>案件入力!J3</f>
        <v/>
      </c>
      <c r="K3" s="36">
        <f>案件入力!K3</f>
        <v/>
      </c>
      <c r="L3" s="49">
        <f>案件入力!L3</f>
        <v/>
      </c>
      <c r="M3" s="49">
        <f>案件入力!M3</f>
        <v/>
      </c>
      <c r="N3" s="39">
        <f>案件入力!N3</f>
        <v/>
      </c>
      <c r="O3" s="36">
        <f>案件入力!O3</f>
        <v/>
      </c>
      <c r="P3" s="37">
        <f>案件入力!P3</f>
        <v/>
      </c>
      <c r="Q3" s="35">
        <f>案件入力!Q3</f>
        <v/>
      </c>
      <c r="R3" s="35">
        <f>案件入力!R3</f>
        <v/>
      </c>
      <c r="S3" s="35">
        <f>案件入力!S3</f>
        <v/>
      </c>
    </row>
    <row r="4">
      <c r="A4" s="35">
        <f>案件入力!A4</f>
        <v/>
      </c>
      <c r="B4" s="36">
        <f>案件入力!B4</f>
        <v/>
      </c>
      <c r="C4" s="35">
        <f>案件入力!C4</f>
        <v/>
      </c>
      <c r="D4" s="37">
        <f>案件入力!D4</f>
        <v/>
      </c>
      <c r="E4" s="35">
        <f>案件入力!E4</f>
        <v/>
      </c>
      <c r="F4" s="35">
        <f>案件入力!F4</f>
        <v/>
      </c>
      <c r="G4" s="35">
        <f>案件入力!G4</f>
        <v/>
      </c>
      <c r="H4" s="49">
        <f>案件入力!H4</f>
        <v/>
      </c>
      <c r="I4" s="49">
        <f>案件入力!I4</f>
        <v/>
      </c>
      <c r="J4" s="39">
        <f>案件入力!J4</f>
        <v/>
      </c>
      <c r="K4" s="36">
        <f>案件入力!K4</f>
        <v/>
      </c>
      <c r="L4" s="49">
        <f>案件入力!L4</f>
        <v/>
      </c>
      <c r="M4" s="49">
        <f>案件入力!M4</f>
        <v/>
      </c>
      <c r="N4" s="39">
        <f>案件入力!N4</f>
        <v/>
      </c>
      <c r="O4" s="36">
        <f>案件入力!O4</f>
        <v/>
      </c>
      <c r="P4" s="37">
        <f>案件入力!P4</f>
        <v/>
      </c>
      <c r="Q4" s="35">
        <f>案件入力!Q4</f>
        <v/>
      </c>
      <c r="R4" s="35">
        <f>案件入力!R4</f>
        <v/>
      </c>
      <c r="S4" s="35">
        <f>案件入力!S4</f>
        <v/>
      </c>
    </row>
    <row r="5">
      <c r="A5" s="35">
        <f>案件入力!A5</f>
        <v/>
      </c>
      <c r="B5" s="36">
        <f>案件入力!B5</f>
        <v/>
      </c>
      <c r="C5" s="35">
        <f>案件入力!C5</f>
        <v/>
      </c>
      <c r="D5" s="37">
        <f>案件入力!D5</f>
        <v/>
      </c>
      <c r="E5" s="35">
        <f>案件入力!E5</f>
        <v/>
      </c>
      <c r="F5" s="35">
        <f>案件入力!F5</f>
        <v/>
      </c>
      <c r="G5" s="35">
        <f>案件入力!G5</f>
        <v/>
      </c>
      <c r="H5" s="49">
        <f>案件入力!H5</f>
        <v/>
      </c>
      <c r="I5" s="49">
        <f>案件入力!I5</f>
        <v/>
      </c>
      <c r="J5" s="39">
        <f>案件入力!J5</f>
        <v/>
      </c>
      <c r="K5" s="36">
        <f>案件入力!K5</f>
        <v/>
      </c>
      <c r="L5" s="49">
        <f>案件入力!L5</f>
        <v/>
      </c>
      <c r="M5" s="49">
        <f>案件入力!M5</f>
        <v/>
      </c>
      <c r="N5" s="39">
        <f>案件入力!N5</f>
        <v/>
      </c>
      <c r="O5" s="36">
        <f>案件入力!O5</f>
        <v/>
      </c>
      <c r="P5" s="37">
        <f>案件入力!P5</f>
        <v/>
      </c>
      <c r="Q5" s="35">
        <f>案件入力!Q5</f>
        <v/>
      </c>
      <c r="R5" s="35">
        <f>案件入力!R5</f>
        <v/>
      </c>
      <c r="S5" s="35">
        <f>案件入力!S5</f>
        <v/>
      </c>
    </row>
    <row r="6">
      <c r="A6" s="35">
        <f>案件入力!A6</f>
        <v/>
      </c>
      <c r="B6" s="36">
        <f>案件入力!B6</f>
        <v/>
      </c>
      <c r="C6" s="35">
        <f>案件入力!C6</f>
        <v/>
      </c>
      <c r="D6" s="37">
        <f>案件入力!D6</f>
        <v/>
      </c>
      <c r="E6" s="35">
        <f>案件入力!E6</f>
        <v/>
      </c>
      <c r="F6" s="35">
        <f>案件入力!F6</f>
        <v/>
      </c>
      <c r="G6" s="35">
        <f>案件入力!G6</f>
        <v/>
      </c>
      <c r="H6" s="49">
        <f>案件入力!H6</f>
        <v/>
      </c>
      <c r="I6" s="49">
        <f>案件入力!I6</f>
        <v/>
      </c>
      <c r="J6" s="39">
        <f>案件入力!J6</f>
        <v/>
      </c>
      <c r="K6" s="36">
        <f>案件入力!K6</f>
        <v/>
      </c>
      <c r="L6" s="49">
        <f>案件入力!L6</f>
        <v/>
      </c>
      <c r="M6" s="49">
        <f>案件入力!M6</f>
        <v/>
      </c>
      <c r="N6" s="39">
        <f>案件入力!N6</f>
        <v/>
      </c>
      <c r="O6" s="36">
        <f>案件入力!O6</f>
        <v/>
      </c>
      <c r="P6" s="37">
        <f>案件入力!P6</f>
        <v/>
      </c>
      <c r="Q6" s="35">
        <f>案件入力!Q6</f>
        <v/>
      </c>
      <c r="R6" s="35">
        <f>案件入力!R6</f>
        <v/>
      </c>
      <c r="S6" s="35">
        <f>案件入力!S6</f>
        <v/>
      </c>
    </row>
    <row r="7">
      <c r="A7" s="35">
        <f>案件入力!A7</f>
        <v/>
      </c>
      <c r="B7" s="36">
        <f>案件入力!B7</f>
        <v/>
      </c>
      <c r="C7" s="35">
        <f>案件入力!C7</f>
        <v/>
      </c>
      <c r="D7" s="37">
        <f>案件入力!D7</f>
        <v/>
      </c>
      <c r="E7" s="35">
        <f>案件入力!E7</f>
        <v/>
      </c>
      <c r="F7" s="35">
        <f>案件入力!F7</f>
        <v/>
      </c>
      <c r="G7" s="35">
        <f>案件入力!G7</f>
        <v/>
      </c>
      <c r="H7" s="49">
        <f>案件入力!H7</f>
        <v/>
      </c>
      <c r="I7" s="49">
        <f>案件入力!I7</f>
        <v/>
      </c>
      <c r="J7" s="39">
        <f>案件入力!J7</f>
        <v/>
      </c>
      <c r="K7" s="36">
        <f>案件入力!K7</f>
        <v/>
      </c>
      <c r="L7" s="49">
        <f>案件入力!L7</f>
        <v/>
      </c>
      <c r="M7" s="49">
        <f>案件入力!M7</f>
        <v/>
      </c>
      <c r="N7" s="39">
        <f>案件入力!N7</f>
        <v/>
      </c>
      <c r="O7" s="36">
        <f>案件入力!O7</f>
        <v/>
      </c>
      <c r="P7" s="37">
        <f>案件入力!P7</f>
        <v/>
      </c>
      <c r="Q7" s="35">
        <f>案件入力!Q7</f>
        <v/>
      </c>
      <c r="R7" s="35">
        <f>案件入力!R7</f>
        <v/>
      </c>
      <c r="S7" s="35">
        <f>案件入力!S7</f>
        <v/>
      </c>
    </row>
    <row r="8">
      <c r="A8" s="35">
        <f>案件入力!A8</f>
        <v/>
      </c>
      <c r="B8" s="36">
        <f>案件入力!B8</f>
        <v/>
      </c>
      <c r="C8" s="35">
        <f>案件入力!C8</f>
        <v/>
      </c>
      <c r="D8" s="37">
        <f>案件入力!D8</f>
        <v/>
      </c>
      <c r="E8" s="35">
        <f>案件入力!E8</f>
        <v/>
      </c>
      <c r="F8" s="35">
        <f>案件入力!F8</f>
        <v/>
      </c>
      <c r="G8" s="35">
        <f>案件入力!G8</f>
        <v/>
      </c>
      <c r="H8" s="49">
        <f>案件入力!H8</f>
        <v/>
      </c>
      <c r="I8" s="49">
        <f>案件入力!I8</f>
        <v/>
      </c>
      <c r="J8" s="39">
        <f>案件入力!J8</f>
        <v/>
      </c>
      <c r="K8" s="36">
        <f>案件入力!K8</f>
        <v/>
      </c>
      <c r="L8" s="49">
        <f>案件入力!L8</f>
        <v/>
      </c>
      <c r="M8" s="49">
        <f>案件入力!M8</f>
        <v/>
      </c>
      <c r="N8" s="39">
        <f>案件入力!N8</f>
        <v/>
      </c>
      <c r="O8" s="36">
        <f>案件入力!O8</f>
        <v/>
      </c>
      <c r="P8" s="37">
        <f>案件入力!P8</f>
        <v/>
      </c>
      <c r="Q8" s="35">
        <f>案件入力!Q8</f>
        <v/>
      </c>
      <c r="R8" s="35">
        <f>案件入力!R8</f>
        <v/>
      </c>
      <c r="S8" s="35">
        <f>案件入力!S8</f>
        <v/>
      </c>
    </row>
    <row r="9">
      <c r="A9" s="35">
        <f>案件入力!A9</f>
        <v/>
      </c>
      <c r="B9" s="36">
        <f>案件入力!B9</f>
        <v/>
      </c>
      <c r="C9" s="35">
        <f>案件入力!C9</f>
        <v/>
      </c>
      <c r="D9" s="37">
        <f>案件入力!D9</f>
        <v/>
      </c>
      <c r="E9" s="35">
        <f>案件入力!E9</f>
        <v/>
      </c>
      <c r="F9" s="35">
        <f>案件入力!F9</f>
        <v/>
      </c>
      <c r="G9" s="35">
        <f>案件入力!G9</f>
        <v/>
      </c>
      <c r="H9" s="49">
        <f>案件入力!H9</f>
        <v/>
      </c>
      <c r="I9" s="49">
        <f>案件入力!I9</f>
        <v/>
      </c>
      <c r="J9" s="39">
        <f>案件入力!J9</f>
        <v/>
      </c>
      <c r="K9" s="36">
        <f>案件入力!K9</f>
        <v/>
      </c>
      <c r="L9" s="49">
        <f>案件入力!L9</f>
        <v/>
      </c>
      <c r="M9" s="49">
        <f>案件入力!M9</f>
        <v/>
      </c>
      <c r="N9" s="39">
        <f>案件入力!N9</f>
        <v/>
      </c>
      <c r="O9" s="36">
        <f>案件入力!O9</f>
        <v/>
      </c>
      <c r="P9" s="37">
        <f>案件入力!P9</f>
        <v/>
      </c>
      <c r="Q9" s="35">
        <f>案件入力!Q9</f>
        <v/>
      </c>
      <c r="R9" s="35">
        <f>案件入力!R9</f>
        <v/>
      </c>
      <c r="S9" s="35">
        <f>案件入力!S9</f>
        <v/>
      </c>
    </row>
    <row r="10">
      <c r="A10" s="35">
        <f>案件入力!A10</f>
        <v/>
      </c>
      <c r="B10" s="36">
        <f>案件入力!B10</f>
        <v/>
      </c>
      <c r="C10" s="35">
        <f>案件入力!C10</f>
        <v/>
      </c>
      <c r="D10" s="37">
        <f>案件入力!D10</f>
        <v/>
      </c>
      <c r="E10" s="35">
        <f>案件入力!E10</f>
        <v/>
      </c>
      <c r="F10" s="35">
        <f>案件入力!F10</f>
        <v/>
      </c>
      <c r="G10" s="35">
        <f>案件入力!G10</f>
        <v/>
      </c>
      <c r="H10" s="49">
        <f>案件入力!H10</f>
        <v/>
      </c>
      <c r="I10" s="49">
        <f>案件入力!I10</f>
        <v/>
      </c>
      <c r="J10" s="39">
        <f>案件入力!J10</f>
        <v/>
      </c>
      <c r="K10" s="36">
        <f>案件入力!K10</f>
        <v/>
      </c>
      <c r="L10" s="49">
        <f>案件入力!L10</f>
        <v/>
      </c>
      <c r="M10" s="49">
        <f>案件入力!M10</f>
        <v/>
      </c>
      <c r="N10" s="39">
        <f>案件入力!N10</f>
        <v/>
      </c>
      <c r="O10" s="36">
        <f>案件入力!O10</f>
        <v/>
      </c>
      <c r="P10" s="37">
        <f>案件入力!P10</f>
        <v/>
      </c>
      <c r="Q10" s="35">
        <f>案件入力!Q10</f>
        <v/>
      </c>
      <c r="R10" s="35">
        <f>案件入力!R10</f>
        <v/>
      </c>
      <c r="S10" s="35">
        <f>案件入力!S10</f>
        <v/>
      </c>
    </row>
    <row r="11">
      <c r="A11" s="35">
        <f>案件入力!A11</f>
        <v/>
      </c>
      <c r="B11" s="36">
        <f>案件入力!B11</f>
        <v/>
      </c>
      <c r="C11" s="35">
        <f>案件入力!C11</f>
        <v/>
      </c>
      <c r="D11" s="37">
        <f>案件入力!D11</f>
        <v/>
      </c>
      <c r="E11" s="35">
        <f>案件入力!E11</f>
        <v/>
      </c>
      <c r="F11" s="35">
        <f>案件入力!F11</f>
        <v/>
      </c>
      <c r="G11" s="35">
        <f>案件入力!G11</f>
        <v/>
      </c>
      <c r="H11" s="49">
        <f>案件入力!H11</f>
        <v/>
      </c>
      <c r="I11" s="49">
        <f>案件入力!I11</f>
        <v/>
      </c>
      <c r="J11" s="39">
        <f>案件入力!J11</f>
        <v/>
      </c>
      <c r="K11" s="36">
        <f>案件入力!K11</f>
        <v/>
      </c>
      <c r="L11" s="49">
        <f>案件入力!L11</f>
        <v/>
      </c>
      <c r="M11" s="49">
        <f>案件入力!M11</f>
        <v/>
      </c>
      <c r="N11" s="39">
        <f>案件入力!N11</f>
        <v/>
      </c>
      <c r="O11" s="36">
        <f>案件入力!O11</f>
        <v/>
      </c>
      <c r="P11" s="37">
        <f>案件入力!P11</f>
        <v/>
      </c>
      <c r="Q11" s="35">
        <f>案件入力!Q11</f>
        <v/>
      </c>
      <c r="R11" s="35">
        <f>案件入力!R11</f>
        <v/>
      </c>
      <c r="S11" s="35">
        <f>案件入力!S11</f>
        <v/>
      </c>
    </row>
    <row r="12">
      <c r="A12" s="35">
        <f>案件入力!A12</f>
        <v/>
      </c>
      <c r="B12" s="36">
        <f>案件入力!B12</f>
        <v/>
      </c>
      <c r="C12" s="35">
        <f>案件入力!C12</f>
        <v/>
      </c>
      <c r="D12" s="37">
        <f>案件入力!D12</f>
        <v/>
      </c>
      <c r="E12" s="35">
        <f>案件入力!E12</f>
        <v/>
      </c>
      <c r="F12" s="35">
        <f>案件入力!F12</f>
        <v/>
      </c>
      <c r="G12" s="35">
        <f>案件入力!G12</f>
        <v/>
      </c>
      <c r="H12" s="49">
        <f>案件入力!H12</f>
        <v/>
      </c>
      <c r="I12" s="49">
        <f>案件入力!I12</f>
        <v/>
      </c>
      <c r="J12" s="39">
        <f>案件入力!J12</f>
        <v/>
      </c>
      <c r="K12" s="36">
        <f>案件入力!K12</f>
        <v/>
      </c>
      <c r="L12" s="49">
        <f>案件入力!L12</f>
        <v/>
      </c>
      <c r="M12" s="49">
        <f>案件入力!M12</f>
        <v/>
      </c>
      <c r="N12" s="39">
        <f>案件入力!N12</f>
        <v/>
      </c>
      <c r="O12" s="36">
        <f>案件入力!O12</f>
        <v/>
      </c>
      <c r="P12" s="37">
        <f>案件入力!P12</f>
        <v/>
      </c>
      <c r="Q12" s="35">
        <f>案件入力!Q12</f>
        <v/>
      </c>
      <c r="R12" s="35">
        <f>案件入力!R12</f>
        <v/>
      </c>
      <c r="S12" s="35">
        <f>案件入力!S12</f>
        <v/>
      </c>
    </row>
    <row r="13">
      <c r="A13" s="35">
        <f>案件入力!A13</f>
        <v/>
      </c>
      <c r="B13" s="36">
        <f>案件入力!B13</f>
        <v/>
      </c>
      <c r="C13" s="35">
        <f>案件入力!C13</f>
        <v/>
      </c>
      <c r="D13" s="37">
        <f>案件入力!D13</f>
        <v/>
      </c>
      <c r="E13" s="35">
        <f>案件入力!E13</f>
        <v/>
      </c>
      <c r="F13" s="35">
        <f>案件入力!F13</f>
        <v/>
      </c>
      <c r="G13" s="35">
        <f>案件入力!G13</f>
        <v/>
      </c>
      <c r="H13" s="49">
        <f>案件入力!H13</f>
        <v/>
      </c>
      <c r="I13" s="49">
        <f>案件入力!I13</f>
        <v/>
      </c>
      <c r="J13" s="39">
        <f>案件入力!J13</f>
        <v/>
      </c>
      <c r="K13" s="36">
        <f>案件入力!K13</f>
        <v/>
      </c>
      <c r="L13" s="49">
        <f>案件入力!L13</f>
        <v/>
      </c>
      <c r="M13" s="49">
        <f>案件入力!M13</f>
        <v/>
      </c>
      <c r="N13" s="39">
        <f>案件入力!N13</f>
        <v/>
      </c>
      <c r="O13" s="36">
        <f>案件入力!O13</f>
        <v/>
      </c>
      <c r="P13" s="37">
        <f>案件入力!P13</f>
        <v/>
      </c>
      <c r="Q13" s="35">
        <f>案件入力!Q13</f>
        <v/>
      </c>
      <c r="R13" s="35">
        <f>案件入力!R13</f>
        <v/>
      </c>
      <c r="S13" s="35">
        <f>案件入力!S13</f>
        <v/>
      </c>
    </row>
    <row r="14">
      <c r="A14" s="35">
        <f>案件入力!A14</f>
        <v/>
      </c>
      <c r="B14" s="36">
        <f>案件入力!B14</f>
        <v/>
      </c>
      <c r="C14" s="35">
        <f>案件入力!C14</f>
        <v/>
      </c>
      <c r="D14" s="37">
        <f>案件入力!D14</f>
        <v/>
      </c>
      <c r="E14" s="35">
        <f>案件入力!E14</f>
        <v/>
      </c>
      <c r="F14" s="35">
        <f>案件入力!F14</f>
        <v/>
      </c>
      <c r="G14" s="35">
        <f>案件入力!G14</f>
        <v/>
      </c>
      <c r="H14" s="49">
        <f>案件入力!H14</f>
        <v/>
      </c>
      <c r="I14" s="49">
        <f>案件入力!I14</f>
        <v/>
      </c>
      <c r="J14" s="39">
        <f>案件入力!J14</f>
        <v/>
      </c>
      <c r="K14" s="36">
        <f>案件入力!K14</f>
        <v/>
      </c>
      <c r="L14" s="49">
        <f>案件入力!L14</f>
        <v/>
      </c>
      <c r="M14" s="49">
        <f>案件入力!M14</f>
        <v/>
      </c>
      <c r="N14" s="39">
        <f>案件入力!N14</f>
        <v/>
      </c>
      <c r="O14" s="36">
        <f>案件入力!O14</f>
        <v/>
      </c>
      <c r="P14" s="37">
        <f>案件入力!P14</f>
        <v/>
      </c>
      <c r="Q14" s="35">
        <f>案件入力!Q14</f>
        <v/>
      </c>
      <c r="R14" s="35">
        <f>案件入力!R14</f>
        <v/>
      </c>
      <c r="S14" s="35">
        <f>案件入力!S14</f>
        <v/>
      </c>
    </row>
    <row r="15">
      <c r="A15" s="35">
        <f>案件入力!A15</f>
        <v/>
      </c>
      <c r="B15" s="36">
        <f>案件入力!B15</f>
        <v/>
      </c>
      <c r="C15" s="35">
        <f>案件入力!C15</f>
        <v/>
      </c>
      <c r="D15" s="37">
        <f>案件入力!D15</f>
        <v/>
      </c>
      <c r="E15" s="35">
        <f>案件入力!E15</f>
        <v/>
      </c>
      <c r="F15" s="35">
        <f>案件入力!F15</f>
        <v/>
      </c>
      <c r="G15" s="35">
        <f>案件入力!G15</f>
        <v/>
      </c>
      <c r="H15" s="49">
        <f>案件入力!H15</f>
        <v/>
      </c>
      <c r="I15" s="49">
        <f>案件入力!I15</f>
        <v/>
      </c>
      <c r="J15" s="39">
        <f>案件入力!J15</f>
        <v/>
      </c>
      <c r="K15" s="36">
        <f>案件入力!K15</f>
        <v/>
      </c>
      <c r="L15" s="49">
        <f>案件入力!L15</f>
        <v/>
      </c>
      <c r="M15" s="49">
        <f>案件入力!M15</f>
        <v/>
      </c>
      <c r="N15" s="39">
        <f>案件入力!N15</f>
        <v/>
      </c>
      <c r="O15" s="36">
        <f>案件入力!O15</f>
        <v/>
      </c>
      <c r="P15" s="37">
        <f>案件入力!P15</f>
        <v/>
      </c>
      <c r="Q15" s="35">
        <f>案件入力!Q15</f>
        <v/>
      </c>
      <c r="R15" s="35">
        <f>案件入力!R15</f>
        <v/>
      </c>
      <c r="S15" s="35">
        <f>案件入力!S15</f>
        <v/>
      </c>
    </row>
    <row r="16">
      <c r="A16" s="35">
        <f>案件入力!A16</f>
        <v/>
      </c>
      <c r="B16" s="36">
        <f>案件入力!B16</f>
        <v/>
      </c>
      <c r="C16" s="35">
        <f>案件入力!C16</f>
        <v/>
      </c>
      <c r="D16" s="37">
        <f>案件入力!D16</f>
        <v/>
      </c>
      <c r="E16" s="35">
        <f>案件入力!E16</f>
        <v/>
      </c>
      <c r="F16" s="35">
        <f>案件入力!F16</f>
        <v/>
      </c>
      <c r="G16" s="35">
        <f>案件入力!G16</f>
        <v/>
      </c>
      <c r="H16" s="49">
        <f>案件入力!H16</f>
        <v/>
      </c>
      <c r="I16" s="49">
        <f>案件入力!I16</f>
        <v/>
      </c>
      <c r="J16" s="39">
        <f>案件入力!J16</f>
        <v/>
      </c>
      <c r="K16" s="36">
        <f>案件入力!K16</f>
        <v/>
      </c>
      <c r="L16" s="49">
        <f>案件入力!L16</f>
        <v/>
      </c>
      <c r="M16" s="49">
        <f>案件入力!M16</f>
        <v/>
      </c>
      <c r="N16" s="39">
        <f>案件入力!N16</f>
        <v/>
      </c>
      <c r="O16" s="36">
        <f>案件入力!O16</f>
        <v/>
      </c>
      <c r="P16" s="37">
        <f>案件入力!P16</f>
        <v/>
      </c>
      <c r="Q16" s="35">
        <f>案件入力!Q16</f>
        <v/>
      </c>
      <c r="R16" s="35">
        <f>案件入力!R16</f>
        <v/>
      </c>
      <c r="S16" s="35">
        <f>案件入力!S16</f>
        <v/>
      </c>
    </row>
    <row r="17">
      <c r="A17" s="35">
        <f>案件入力!A17</f>
        <v/>
      </c>
      <c r="B17" s="36">
        <f>案件入力!B17</f>
        <v/>
      </c>
      <c r="C17" s="35">
        <f>案件入力!C17</f>
        <v/>
      </c>
      <c r="D17" s="37">
        <f>案件入力!D17</f>
        <v/>
      </c>
      <c r="E17" s="35">
        <f>案件入力!E17</f>
        <v/>
      </c>
      <c r="F17" s="35">
        <f>案件入力!F17</f>
        <v/>
      </c>
      <c r="G17" s="35">
        <f>案件入力!G17</f>
        <v/>
      </c>
      <c r="H17" s="49">
        <f>案件入力!H17</f>
        <v/>
      </c>
      <c r="I17" s="49">
        <f>案件入力!I17</f>
        <v/>
      </c>
      <c r="J17" s="39">
        <f>案件入力!J17</f>
        <v/>
      </c>
      <c r="K17" s="36">
        <f>案件入力!K17</f>
        <v/>
      </c>
      <c r="L17" s="49">
        <f>案件入力!L17</f>
        <v/>
      </c>
      <c r="M17" s="49">
        <f>案件入力!M17</f>
        <v/>
      </c>
      <c r="N17" s="39">
        <f>案件入力!N17</f>
        <v/>
      </c>
      <c r="O17" s="36">
        <f>案件入力!O17</f>
        <v/>
      </c>
      <c r="P17" s="37">
        <f>案件入力!P17</f>
        <v/>
      </c>
      <c r="Q17" s="35">
        <f>案件入力!Q17</f>
        <v/>
      </c>
      <c r="R17" s="35">
        <f>案件入力!R17</f>
        <v/>
      </c>
      <c r="S17" s="35">
        <f>案件入力!S17</f>
        <v/>
      </c>
    </row>
    <row r="18">
      <c r="A18" s="35">
        <f>案件入力!A18</f>
        <v/>
      </c>
      <c r="B18" s="36">
        <f>案件入力!B18</f>
        <v/>
      </c>
      <c r="C18" s="35">
        <f>案件入力!C18</f>
        <v/>
      </c>
      <c r="D18" s="37">
        <f>案件入力!D18</f>
        <v/>
      </c>
      <c r="E18" s="35">
        <f>案件入力!E18</f>
        <v/>
      </c>
      <c r="F18" s="35">
        <f>案件入力!F18</f>
        <v/>
      </c>
      <c r="G18" s="35">
        <f>案件入力!G18</f>
        <v/>
      </c>
      <c r="H18" s="49">
        <f>案件入力!H18</f>
        <v/>
      </c>
      <c r="I18" s="49">
        <f>案件入力!I18</f>
        <v/>
      </c>
      <c r="J18" s="39">
        <f>案件入力!J18</f>
        <v/>
      </c>
      <c r="K18" s="36">
        <f>案件入力!K18</f>
        <v/>
      </c>
      <c r="L18" s="49">
        <f>案件入力!L18</f>
        <v/>
      </c>
      <c r="M18" s="49">
        <f>案件入力!M18</f>
        <v/>
      </c>
      <c r="N18" s="39">
        <f>案件入力!N18</f>
        <v/>
      </c>
      <c r="O18" s="36">
        <f>案件入力!O18</f>
        <v/>
      </c>
      <c r="P18" s="37">
        <f>案件入力!P18</f>
        <v/>
      </c>
      <c r="Q18" s="35">
        <f>案件入力!Q18</f>
        <v/>
      </c>
      <c r="R18" s="35">
        <f>案件入力!R18</f>
        <v/>
      </c>
      <c r="S18" s="35">
        <f>案件入力!S18</f>
        <v/>
      </c>
    </row>
    <row r="19">
      <c r="A19" s="35">
        <f>案件入力!A19</f>
        <v/>
      </c>
      <c r="B19" s="36">
        <f>案件入力!B19</f>
        <v/>
      </c>
      <c r="C19" s="35">
        <f>案件入力!C19</f>
        <v/>
      </c>
      <c r="D19" s="37">
        <f>案件入力!D19</f>
        <v/>
      </c>
      <c r="E19" s="35">
        <f>案件入力!E19</f>
        <v/>
      </c>
      <c r="F19" s="35">
        <f>案件入力!F19</f>
        <v/>
      </c>
      <c r="G19" s="35">
        <f>案件入力!G19</f>
        <v/>
      </c>
      <c r="H19" s="49">
        <f>案件入力!H19</f>
        <v/>
      </c>
      <c r="I19" s="49">
        <f>案件入力!I19</f>
        <v/>
      </c>
      <c r="J19" s="39">
        <f>案件入力!J19</f>
        <v/>
      </c>
      <c r="K19" s="36">
        <f>案件入力!K19</f>
        <v/>
      </c>
      <c r="L19" s="49">
        <f>案件入力!L19</f>
        <v/>
      </c>
      <c r="M19" s="49">
        <f>案件入力!M19</f>
        <v/>
      </c>
      <c r="N19" s="39">
        <f>案件入力!N19</f>
        <v/>
      </c>
      <c r="O19" s="36">
        <f>案件入力!O19</f>
        <v/>
      </c>
      <c r="P19" s="37">
        <f>案件入力!P19</f>
        <v/>
      </c>
      <c r="Q19" s="35">
        <f>案件入力!Q19</f>
        <v/>
      </c>
      <c r="R19" s="35">
        <f>案件入力!R19</f>
        <v/>
      </c>
      <c r="S19" s="35">
        <f>案件入力!S19</f>
        <v/>
      </c>
    </row>
    <row r="20">
      <c r="A20" s="35">
        <f>案件入力!A20</f>
        <v/>
      </c>
      <c r="B20" s="36">
        <f>案件入力!B20</f>
        <v/>
      </c>
      <c r="C20" s="35">
        <f>案件入力!C20</f>
        <v/>
      </c>
      <c r="D20" s="37">
        <f>案件入力!D20</f>
        <v/>
      </c>
      <c r="E20" s="35">
        <f>案件入力!E20</f>
        <v/>
      </c>
      <c r="F20" s="35">
        <f>案件入力!F20</f>
        <v/>
      </c>
      <c r="G20" s="35">
        <f>案件入力!G20</f>
        <v/>
      </c>
      <c r="H20" s="49">
        <f>案件入力!H20</f>
        <v/>
      </c>
      <c r="I20" s="49">
        <f>案件入力!I20</f>
        <v/>
      </c>
      <c r="J20" s="39">
        <f>案件入力!J20</f>
        <v/>
      </c>
      <c r="K20" s="36">
        <f>案件入力!K20</f>
        <v/>
      </c>
      <c r="L20" s="49">
        <f>案件入力!L20</f>
        <v/>
      </c>
      <c r="M20" s="49">
        <f>案件入力!M20</f>
        <v/>
      </c>
      <c r="N20" s="39">
        <f>案件入力!N20</f>
        <v/>
      </c>
      <c r="O20" s="36">
        <f>案件入力!O20</f>
        <v/>
      </c>
      <c r="P20" s="37">
        <f>案件入力!P20</f>
        <v/>
      </c>
      <c r="Q20" s="35">
        <f>案件入力!Q20</f>
        <v/>
      </c>
      <c r="R20" s="35">
        <f>案件入力!R20</f>
        <v/>
      </c>
      <c r="S20" s="35">
        <f>案件入力!S20</f>
        <v/>
      </c>
    </row>
    <row r="21">
      <c r="A21" s="35">
        <f>案件入力!A21</f>
        <v/>
      </c>
      <c r="B21" s="36">
        <f>案件入力!B21</f>
        <v/>
      </c>
      <c r="C21" s="35">
        <f>案件入力!C21</f>
        <v/>
      </c>
      <c r="D21" s="37">
        <f>案件入力!D21</f>
        <v/>
      </c>
      <c r="E21" s="35">
        <f>案件入力!E21</f>
        <v/>
      </c>
      <c r="F21" s="35">
        <f>案件入力!F21</f>
        <v/>
      </c>
      <c r="G21" s="35">
        <f>案件入力!G21</f>
        <v/>
      </c>
      <c r="H21" s="49">
        <f>案件入力!H21</f>
        <v/>
      </c>
      <c r="I21" s="49">
        <f>案件入力!I21</f>
        <v/>
      </c>
      <c r="J21" s="39">
        <f>案件入力!J21</f>
        <v/>
      </c>
      <c r="K21" s="36">
        <f>案件入力!K21</f>
        <v/>
      </c>
      <c r="L21" s="49">
        <f>案件入力!L21</f>
        <v/>
      </c>
      <c r="M21" s="49">
        <f>案件入力!M21</f>
        <v/>
      </c>
      <c r="N21" s="39">
        <f>案件入力!N21</f>
        <v/>
      </c>
      <c r="O21" s="36">
        <f>案件入力!O21</f>
        <v/>
      </c>
      <c r="P21" s="37">
        <f>案件入力!P21</f>
        <v/>
      </c>
      <c r="Q21" s="35">
        <f>案件入力!Q21</f>
        <v/>
      </c>
      <c r="R21" s="35">
        <f>案件入力!R21</f>
        <v/>
      </c>
      <c r="S21" s="35">
        <f>案件入力!S21</f>
        <v/>
      </c>
    </row>
    <row r="22">
      <c r="A22" s="35">
        <f>案件入力!A22</f>
        <v/>
      </c>
      <c r="B22" s="36">
        <f>案件入力!B22</f>
        <v/>
      </c>
      <c r="C22" s="35">
        <f>案件入力!C22</f>
        <v/>
      </c>
      <c r="D22" s="37">
        <f>案件入力!D22</f>
        <v/>
      </c>
      <c r="E22" s="35">
        <f>案件入力!E22</f>
        <v/>
      </c>
      <c r="F22" s="35">
        <f>案件入力!F22</f>
        <v/>
      </c>
      <c r="G22" s="35">
        <f>案件入力!G22</f>
        <v/>
      </c>
      <c r="H22" s="49">
        <f>案件入力!H22</f>
        <v/>
      </c>
      <c r="I22" s="49">
        <f>案件入力!I22</f>
        <v/>
      </c>
      <c r="J22" s="39">
        <f>案件入力!J22</f>
        <v/>
      </c>
      <c r="K22" s="36">
        <f>案件入力!K22</f>
        <v/>
      </c>
      <c r="L22" s="49">
        <f>案件入力!L22</f>
        <v/>
      </c>
      <c r="M22" s="49">
        <f>案件入力!M22</f>
        <v/>
      </c>
      <c r="N22" s="39">
        <f>案件入力!N22</f>
        <v/>
      </c>
      <c r="O22" s="36">
        <f>案件入力!O22</f>
        <v/>
      </c>
      <c r="P22" s="37">
        <f>案件入力!P22</f>
        <v/>
      </c>
      <c r="Q22" s="35">
        <f>案件入力!Q22</f>
        <v/>
      </c>
      <c r="R22" s="35">
        <f>案件入力!R22</f>
        <v/>
      </c>
      <c r="S22" s="35">
        <f>案件入力!S22</f>
        <v/>
      </c>
    </row>
    <row r="23">
      <c r="A23" s="35">
        <f>案件入力!A23</f>
        <v/>
      </c>
      <c r="B23" s="36">
        <f>案件入力!B23</f>
        <v/>
      </c>
      <c r="C23" s="35">
        <f>案件入力!C23</f>
        <v/>
      </c>
      <c r="D23" s="37">
        <f>案件入力!D23</f>
        <v/>
      </c>
      <c r="E23" s="35">
        <f>案件入力!E23</f>
        <v/>
      </c>
      <c r="F23" s="35">
        <f>案件入力!F23</f>
        <v/>
      </c>
      <c r="G23" s="35">
        <f>案件入力!G23</f>
        <v/>
      </c>
      <c r="H23" s="49">
        <f>案件入力!H23</f>
        <v/>
      </c>
      <c r="I23" s="49">
        <f>案件入力!I23</f>
        <v/>
      </c>
      <c r="J23" s="39">
        <f>案件入力!J23</f>
        <v/>
      </c>
      <c r="K23" s="36">
        <f>案件入力!K23</f>
        <v/>
      </c>
      <c r="L23" s="49">
        <f>案件入力!L23</f>
        <v/>
      </c>
      <c r="M23" s="49">
        <f>案件入力!M23</f>
        <v/>
      </c>
      <c r="N23" s="39">
        <f>案件入力!N23</f>
        <v/>
      </c>
      <c r="O23" s="36">
        <f>案件入力!O23</f>
        <v/>
      </c>
      <c r="P23" s="37">
        <f>案件入力!P23</f>
        <v/>
      </c>
      <c r="Q23" s="35">
        <f>案件入力!Q23</f>
        <v/>
      </c>
      <c r="R23" s="35">
        <f>案件入力!R23</f>
        <v/>
      </c>
      <c r="S23" s="35">
        <f>案件入力!S23</f>
        <v/>
      </c>
    </row>
    <row r="24">
      <c r="A24" s="35">
        <f>案件入力!A24</f>
        <v/>
      </c>
      <c r="B24" s="36">
        <f>案件入力!B24</f>
        <v/>
      </c>
      <c r="C24" s="35">
        <f>案件入力!C24</f>
        <v/>
      </c>
      <c r="D24" s="37">
        <f>案件入力!D24</f>
        <v/>
      </c>
      <c r="E24" s="35">
        <f>案件入力!E24</f>
        <v/>
      </c>
      <c r="F24" s="35">
        <f>案件入力!F24</f>
        <v/>
      </c>
      <c r="G24" s="35">
        <f>案件入力!G24</f>
        <v/>
      </c>
      <c r="H24" s="49">
        <f>案件入力!H24</f>
        <v/>
      </c>
      <c r="I24" s="49">
        <f>案件入力!I24</f>
        <v/>
      </c>
      <c r="J24" s="39">
        <f>案件入力!J24</f>
        <v/>
      </c>
      <c r="K24" s="36">
        <f>案件入力!K24</f>
        <v/>
      </c>
      <c r="L24" s="49">
        <f>案件入力!L24</f>
        <v/>
      </c>
      <c r="M24" s="49">
        <f>案件入力!M24</f>
        <v/>
      </c>
      <c r="N24" s="39">
        <f>案件入力!N24</f>
        <v/>
      </c>
      <c r="O24" s="36">
        <f>案件入力!O24</f>
        <v/>
      </c>
      <c r="P24" s="37">
        <f>案件入力!P24</f>
        <v/>
      </c>
      <c r="Q24" s="35">
        <f>案件入力!Q24</f>
        <v/>
      </c>
      <c r="R24" s="35">
        <f>案件入力!R24</f>
        <v/>
      </c>
      <c r="S24" s="35">
        <f>案件入力!S24</f>
        <v/>
      </c>
    </row>
    <row r="25">
      <c r="A25" s="35">
        <f>案件入力!A25</f>
        <v/>
      </c>
      <c r="B25" s="36">
        <f>案件入力!B25</f>
        <v/>
      </c>
      <c r="C25" s="35">
        <f>案件入力!C25</f>
        <v/>
      </c>
      <c r="D25" s="37">
        <f>案件入力!D25</f>
        <v/>
      </c>
      <c r="E25" s="35">
        <f>案件入力!E25</f>
        <v/>
      </c>
      <c r="F25" s="35">
        <f>案件入力!F25</f>
        <v/>
      </c>
      <c r="G25" s="35">
        <f>案件入力!G25</f>
        <v/>
      </c>
      <c r="H25" s="49">
        <f>案件入力!H25</f>
        <v/>
      </c>
      <c r="I25" s="49">
        <f>案件入力!I25</f>
        <v/>
      </c>
      <c r="J25" s="39">
        <f>案件入力!J25</f>
        <v/>
      </c>
      <c r="K25" s="36">
        <f>案件入力!K25</f>
        <v/>
      </c>
      <c r="L25" s="49">
        <f>案件入力!L25</f>
        <v/>
      </c>
      <c r="M25" s="49">
        <f>案件入力!M25</f>
        <v/>
      </c>
      <c r="N25" s="39">
        <f>案件入力!N25</f>
        <v/>
      </c>
      <c r="O25" s="36">
        <f>案件入力!O25</f>
        <v/>
      </c>
      <c r="P25" s="37">
        <f>案件入力!P25</f>
        <v/>
      </c>
      <c r="Q25" s="35">
        <f>案件入力!Q25</f>
        <v/>
      </c>
      <c r="R25" s="35">
        <f>案件入力!R25</f>
        <v/>
      </c>
      <c r="S25" s="35">
        <f>案件入力!S25</f>
        <v/>
      </c>
    </row>
    <row r="26">
      <c r="A26" s="35">
        <f>案件入力!A26</f>
        <v/>
      </c>
      <c r="B26" s="36">
        <f>案件入力!B26</f>
        <v/>
      </c>
      <c r="C26" s="35">
        <f>案件入力!C26</f>
        <v/>
      </c>
      <c r="D26" s="37">
        <f>案件入力!D26</f>
        <v/>
      </c>
      <c r="E26" s="35">
        <f>案件入力!E26</f>
        <v/>
      </c>
      <c r="F26" s="35">
        <f>案件入力!F26</f>
        <v/>
      </c>
      <c r="G26" s="35">
        <f>案件入力!G26</f>
        <v/>
      </c>
      <c r="H26" s="49">
        <f>案件入力!H26</f>
        <v/>
      </c>
      <c r="I26" s="49">
        <f>案件入力!I26</f>
        <v/>
      </c>
      <c r="J26" s="39">
        <f>案件入力!J26</f>
        <v/>
      </c>
      <c r="K26" s="36">
        <f>案件入力!K26</f>
        <v/>
      </c>
      <c r="L26" s="49">
        <f>案件入力!L26</f>
        <v/>
      </c>
      <c r="M26" s="49">
        <f>案件入力!M26</f>
        <v/>
      </c>
      <c r="N26" s="39">
        <f>案件入力!N26</f>
        <v/>
      </c>
      <c r="O26" s="36">
        <f>案件入力!O26</f>
        <v/>
      </c>
      <c r="P26" s="37">
        <f>案件入力!P26</f>
        <v/>
      </c>
      <c r="Q26" s="35">
        <f>案件入力!Q26</f>
        <v/>
      </c>
      <c r="R26" s="35">
        <f>案件入力!R26</f>
        <v/>
      </c>
      <c r="S26" s="35">
        <f>案件入力!S26</f>
        <v/>
      </c>
    </row>
    <row r="27">
      <c r="A27" s="35">
        <f>案件入力!A27</f>
        <v/>
      </c>
      <c r="B27" s="36">
        <f>案件入力!B27</f>
        <v/>
      </c>
      <c r="C27" s="35">
        <f>案件入力!C27</f>
        <v/>
      </c>
      <c r="D27" s="37">
        <f>案件入力!D27</f>
        <v/>
      </c>
      <c r="E27" s="35">
        <f>案件入力!E27</f>
        <v/>
      </c>
      <c r="F27" s="35">
        <f>案件入力!F27</f>
        <v/>
      </c>
      <c r="G27" s="35">
        <f>案件入力!G27</f>
        <v/>
      </c>
      <c r="H27" s="49">
        <f>案件入力!H27</f>
        <v/>
      </c>
      <c r="I27" s="49">
        <f>案件入力!I27</f>
        <v/>
      </c>
      <c r="J27" s="39">
        <f>案件入力!J27</f>
        <v/>
      </c>
      <c r="K27" s="36">
        <f>案件入力!K27</f>
        <v/>
      </c>
      <c r="L27" s="49">
        <f>案件入力!L27</f>
        <v/>
      </c>
      <c r="M27" s="49">
        <f>案件入力!M27</f>
        <v/>
      </c>
      <c r="N27" s="39">
        <f>案件入力!N27</f>
        <v/>
      </c>
      <c r="O27" s="36">
        <f>案件入力!O27</f>
        <v/>
      </c>
      <c r="P27" s="37">
        <f>案件入力!P27</f>
        <v/>
      </c>
      <c r="Q27" s="35">
        <f>案件入力!Q27</f>
        <v/>
      </c>
      <c r="R27" s="35">
        <f>案件入力!R27</f>
        <v/>
      </c>
      <c r="S27" s="35">
        <f>案件入力!S27</f>
        <v/>
      </c>
    </row>
    <row r="28">
      <c r="A28" s="35">
        <f>案件入力!A28</f>
        <v/>
      </c>
      <c r="B28" s="36">
        <f>案件入力!B28</f>
        <v/>
      </c>
      <c r="C28" s="35">
        <f>案件入力!C28</f>
        <v/>
      </c>
      <c r="D28" s="37">
        <f>案件入力!D28</f>
        <v/>
      </c>
      <c r="E28" s="35">
        <f>案件入力!E28</f>
        <v/>
      </c>
      <c r="F28" s="35">
        <f>案件入力!F28</f>
        <v/>
      </c>
      <c r="G28" s="35">
        <f>案件入力!G28</f>
        <v/>
      </c>
      <c r="H28" s="49">
        <f>案件入力!H28</f>
        <v/>
      </c>
      <c r="I28" s="49">
        <f>案件入力!I28</f>
        <v/>
      </c>
      <c r="J28" s="39">
        <f>案件入力!J28</f>
        <v/>
      </c>
      <c r="K28" s="36">
        <f>案件入力!K28</f>
        <v/>
      </c>
      <c r="L28" s="49">
        <f>案件入力!L28</f>
        <v/>
      </c>
      <c r="M28" s="49">
        <f>案件入力!M28</f>
        <v/>
      </c>
      <c r="N28" s="39">
        <f>案件入力!N28</f>
        <v/>
      </c>
      <c r="O28" s="36">
        <f>案件入力!O28</f>
        <v/>
      </c>
      <c r="P28" s="37">
        <f>案件入力!P28</f>
        <v/>
      </c>
      <c r="Q28" s="35">
        <f>案件入力!Q28</f>
        <v/>
      </c>
      <c r="R28" s="35">
        <f>案件入力!R28</f>
        <v/>
      </c>
      <c r="S28" s="35">
        <f>案件入力!S28</f>
        <v/>
      </c>
    </row>
    <row r="29">
      <c r="A29" s="35">
        <f>案件入力!A29</f>
        <v/>
      </c>
      <c r="B29" s="36">
        <f>案件入力!B29</f>
        <v/>
      </c>
      <c r="C29" s="35">
        <f>案件入力!C29</f>
        <v/>
      </c>
      <c r="D29" s="37">
        <f>案件入力!D29</f>
        <v/>
      </c>
      <c r="E29" s="35">
        <f>案件入力!E29</f>
        <v/>
      </c>
      <c r="F29" s="35">
        <f>案件入力!F29</f>
        <v/>
      </c>
      <c r="G29" s="35">
        <f>案件入力!G29</f>
        <v/>
      </c>
      <c r="H29" s="49">
        <f>案件入力!H29</f>
        <v/>
      </c>
      <c r="I29" s="49">
        <f>案件入力!I29</f>
        <v/>
      </c>
      <c r="J29" s="39">
        <f>案件入力!J29</f>
        <v/>
      </c>
      <c r="K29" s="36">
        <f>案件入力!K29</f>
        <v/>
      </c>
      <c r="L29" s="49">
        <f>案件入力!L29</f>
        <v/>
      </c>
      <c r="M29" s="49">
        <f>案件入力!M29</f>
        <v/>
      </c>
      <c r="N29" s="39">
        <f>案件入力!N29</f>
        <v/>
      </c>
      <c r="O29" s="36">
        <f>案件入力!O29</f>
        <v/>
      </c>
      <c r="P29" s="37">
        <f>案件入力!P29</f>
        <v/>
      </c>
      <c r="Q29" s="35">
        <f>案件入力!Q29</f>
        <v/>
      </c>
      <c r="R29" s="35">
        <f>案件入力!R29</f>
        <v/>
      </c>
      <c r="S29" s="35">
        <f>案件入力!S29</f>
        <v/>
      </c>
    </row>
    <row r="30">
      <c r="A30" s="35">
        <f>案件入力!A30</f>
        <v/>
      </c>
      <c r="B30" s="36">
        <f>案件入力!B30</f>
        <v/>
      </c>
      <c r="C30" s="35">
        <f>案件入力!C30</f>
        <v/>
      </c>
      <c r="D30" s="37">
        <f>案件入力!D30</f>
        <v/>
      </c>
      <c r="E30" s="35">
        <f>案件入力!E30</f>
        <v/>
      </c>
      <c r="F30" s="35">
        <f>案件入力!F30</f>
        <v/>
      </c>
      <c r="G30" s="35">
        <f>案件入力!G30</f>
        <v/>
      </c>
      <c r="H30" s="49">
        <f>案件入力!H30</f>
        <v/>
      </c>
      <c r="I30" s="49">
        <f>案件入力!I30</f>
        <v/>
      </c>
      <c r="J30" s="39">
        <f>案件入力!J30</f>
        <v/>
      </c>
      <c r="K30" s="36">
        <f>案件入力!K30</f>
        <v/>
      </c>
      <c r="L30" s="49">
        <f>案件入力!L30</f>
        <v/>
      </c>
      <c r="M30" s="49">
        <f>案件入力!M30</f>
        <v/>
      </c>
      <c r="N30" s="39">
        <f>案件入力!N30</f>
        <v/>
      </c>
      <c r="O30" s="36">
        <f>案件入力!O30</f>
        <v/>
      </c>
      <c r="P30" s="37">
        <f>案件入力!P30</f>
        <v/>
      </c>
      <c r="Q30" s="35">
        <f>案件入力!Q30</f>
        <v/>
      </c>
      <c r="R30" s="35">
        <f>案件入力!R30</f>
        <v/>
      </c>
      <c r="S30" s="35">
        <f>案件入力!S30</f>
        <v/>
      </c>
    </row>
    <row r="31">
      <c r="A31" s="35">
        <f>案件入力!A31</f>
        <v/>
      </c>
      <c r="B31" s="36">
        <f>案件入力!B31</f>
        <v/>
      </c>
      <c r="C31" s="35">
        <f>案件入力!C31</f>
        <v/>
      </c>
      <c r="D31" s="37">
        <f>案件入力!D31</f>
        <v/>
      </c>
      <c r="E31" s="35">
        <f>案件入力!E31</f>
        <v/>
      </c>
      <c r="F31" s="35">
        <f>案件入力!F31</f>
        <v/>
      </c>
      <c r="G31" s="35">
        <f>案件入力!G31</f>
        <v/>
      </c>
      <c r="H31" s="49">
        <f>案件入力!H31</f>
        <v/>
      </c>
      <c r="I31" s="49">
        <f>案件入力!I31</f>
        <v/>
      </c>
      <c r="J31" s="39">
        <f>案件入力!J31</f>
        <v/>
      </c>
      <c r="K31" s="36">
        <f>案件入力!K31</f>
        <v/>
      </c>
      <c r="L31" s="49">
        <f>案件入力!L31</f>
        <v/>
      </c>
      <c r="M31" s="49">
        <f>案件入力!M31</f>
        <v/>
      </c>
      <c r="N31" s="39">
        <f>案件入力!N31</f>
        <v/>
      </c>
      <c r="O31" s="36">
        <f>案件入力!O31</f>
        <v/>
      </c>
      <c r="P31" s="37">
        <f>案件入力!P31</f>
        <v/>
      </c>
      <c r="Q31" s="35">
        <f>案件入力!Q31</f>
        <v/>
      </c>
      <c r="R31" s="35">
        <f>案件入力!R31</f>
        <v/>
      </c>
      <c r="S31" s="35">
        <f>案件入力!S31</f>
        <v/>
      </c>
    </row>
    <row r="32">
      <c r="A32" s="35">
        <f>案件入力!A32</f>
        <v/>
      </c>
      <c r="B32" s="36">
        <f>案件入力!B32</f>
        <v/>
      </c>
      <c r="C32" s="35">
        <f>案件入力!C32</f>
        <v/>
      </c>
      <c r="D32" s="37">
        <f>案件入力!D32</f>
        <v/>
      </c>
      <c r="E32" s="35">
        <f>案件入力!E32</f>
        <v/>
      </c>
      <c r="F32" s="35">
        <f>案件入力!F32</f>
        <v/>
      </c>
      <c r="G32" s="35">
        <f>案件入力!G32</f>
        <v/>
      </c>
      <c r="H32" s="49">
        <f>案件入力!H32</f>
        <v/>
      </c>
      <c r="I32" s="49">
        <f>案件入力!I32</f>
        <v/>
      </c>
      <c r="J32" s="39">
        <f>案件入力!J32</f>
        <v/>
      </c>
      <c r="K32" s="36">
        <f>案件入力!K32</f>
        <v/>
      </c>
      <c r="L32" s="49">
        <f>案件入力!L32</f>
        <v/>
      </c>
      <c r="M32" s="49">
        <f>案件入力!M32</f>
        <v/>
      </c>
      <c r="N32" s="39">
        <f>案件入力!N32</f>
        <v/>
      </c>
      <c r="O32" s="36">
        <f>案件入力!O32</f>
        <v/>
      </c>
      <c r="P32" s="37">
        <f>案件入力!P32</f>
        <v/>
      </c>
      <c r="Q32" s="35">
        <f>案件入力!Q32</f>
        <v/>
      </c>
      <c r="R32" s="35">
        <f>案件入力!R32</f>
        <v/>
      </c>
      <c r="S32" s="35">
        <f>案件入力!S32</f>
        <v/>
      </c>
    </row>
    <row r="33">
      <c r="A33" s="35">
        <f>案件入力!A33</f>
        <v/>
      </c>
      <c r="B33" s="36">
        <f>案件入力!B33</f>
        <v/>
      </c>
      <c r="C33" s="35">
        <f>案件入力!C33</f>
        <v/>
      </c>
      <c r="D33" s="37">
        <f>案件入力!D33</f>
        <v/>
      </c>
      <c r="E33" s="35">
        <f>案件入力!E33</f>
        <v/>
      </c>
      <c r="F33" s="35">
        <f>案件入力!F33</f>
        <v/>
      </c>
      <c r="G33" s="35">
        <f>案件入力!G33</f>
        <v/>
      </c>
      <c r="H33" s="49">
        <f>案件入力!H33</f>
        <v/>
      </c>
      <c r="I33" s="49">
        <f>案件入力!I33</f>
        <v/>
      </c>
      <c r="J33" s="39">
        <f>案件入力!J33</f>
        <v/>
      </c>
      <c r="K33" s="36">
        <f>案件入力!K33</f>
        <v/>
      </c>
      <c r="L33" s="49">
        <f>案件入力!L33</f>
        <v/>
      </c>
      <c r="M33" s="49">
        <f>案件入力!M33</f>
        <v/>
      </c>
      <c r="N33" s="39">
        <f>案件入力!N33</f>
        <v/>
      </c>
      <c r="O33" s="36">
        <f>案件入力!O33</f>
        <v/>
      </c>
      <c r="P33" s="37">
        <f>案件入力!P33</f>
        <v/>
      </c>
      <c r="Q33" s="35">
        <f>案件入力!Q33</f>
        <v/>
      </c>
      <c r="R33" s="35">
        <f>案件入力!R33</f>
        <v/>
      </c>
      <c r="S33" s="35">
        <f>案件入力!S33</f>
        <v/>
      </c>
    </row>
    <row r="34">
      <c r="A34" s="35">
        <f>案件入力!A34</f>
        <v/>
      </c>
      <c r="B34" s="36">
        <f>案件入力!B34</f>
        <v/>
      </c>
      <c r="C34" s="35">
        <f>案件入力!C34</f>
        <v/>
      </c>
      <c r="D34" s="37">
        <f>案件入力!D34</f>
        <v/>
      </c>
      <c r="E34" s="35">
        <f>案件入力!E34</f>
        <v/>
      </c>
      <c r="F34" s="35">
        <f>案件入力!F34</f>
        <v/>
      </c>
      <c r="G34" s="35">
        <f>案件入力!G34</f>
        <v/>
      </c>
      <c r="H34" s="49">
        <f>案件入力!H34</f>
        <v/>
      </c>
      <c r="I34" s="49">
        <f>案件入力!I34</f>
        <v/>
      </c>
      <c r="J34" s="39">
        <f>案件入力!J34</f>
        <v/>
      </c>
      <c r="K34" s="36">
        <f>案件入力!K34</f>
        <v/>
      </c>
      <c r="L34" s="49">
        <f>案件入力!L34</f>
        <v/>
      </c>
      <c r="M34" s="49">
        <f>案件入力!M34</f>
        <v/>
      </c>
      <c r="N34" s="39">
        <f>案件入力!N34</f>
        <v/>
      </c>
      <c r="O34" s="36">
        <f>案件入力!O34</f>
        <v/>
      </c>
      <c r="P34" s="37">
        <f>案件入力!P34</f>
        <v/>
      </c>
      <c r="Q34" s="35">
        <f>案件入力!Q34</f>
        <v/>
      </c>
      <c r="R34" s="35">
        <f>案件入力!R34</f>
        <v/>
      </c>
      <c r="S34" s="35">
        <f>案件入力!S34</f>
        <v/>
      </c>
    </row>
    <row r="35">
      <c r="A35" s="35">
        <f>案件入力!A35</f>
        <v/>
      </c>
      <c r="B35" s="36">
        <f>案件入力!B35</f>
        <v/>
      </c>
      <c r="C35" s="35">
        <f>案件入力!C35</f>
        <v/>
      </c>
      <c r="D35" s="37">
        <f>案件入力!D35</f>
        <v/>
      </c>
      <c r="E35" s="35">
        <f>案件入力!E35</f>
        <v/>
      </c>
      <c r="F35" s="35">
        <f>案件入力!F35</f>
        <v/>
      </c>
      <c r="G35" s="35">
        <f>案件入力!G35</f>
        <v/>
      </c>
      <c r="H35" s="49">
        <f>案件入力!H35</f>
        <v/>
      </c>
      <c r="I35" s="49">
        <f>案件入力!I35</f>
        <v/>
      </c>
      <c r="J35" s="39">
        <f>案件入力!J35</f>
        <v/>
      </c>
      <c r="K35" s="36">
        <f>案件入力!K35</f>
        <v/>
      </c>
      <c r="L35" s="49">
        <f>案件入力!L35</f>
        <v/>
      </c>
      <c r="M35" s="49">
        <f>案件入力!M35</f>
        <v/>
      </c>
      <c r="N35" s="39">
        <f>案件入力!N35</f>
        <v/>
      </c>
      <c r="O35" s="36">
        <f>案件入力!O35</f>
        <v/>
      </c>
      <c r="P35" s="37">
        <f>案件入力!P35</f>
        <v/>
      </c>
      <c r="Q35" s="35">
        <f>案件入力!Q35</f>
        <v/>
      </c>
      <c r="R35" s="35">
        <f>案件入力!R35</f>
        <v/>
      </c>
      <c r="S35" s="35">
        <f>案件入力!S35</f>
        <v/>
      </c>
    </row>
    <row r="36">
      <c r="A36" s="35">
        <f>案件入力!A36</f>
        <v/>
      </c>
      <c r="B36" s="36">
        <f>案件入力!B36</f>
        <v/>
      </c>
      <c r="C36" s="35">
        <f>案件入力!C36</f>
        <v/>
      </c>
      <c r="D36" s="37">
        <f>案件入力!D36</f>
        <v/>
      </c>
      <c r="E36" s="35">
        <f>案件入力!E36</f>
        <v/>
      </c>
      <c r="F36" s="35">
        <f>案件入力!F36</f>
        <v/>
      </c>
      <c r="G36" s="35">
        <f>案件入力!G36</f>
        <v/>
      </c>
      <c r="H36" s="49">
        <f>案件入力!H36</f>
        <v/>
      </c>
      <c r="I36" s="49">
        <f>案件入力!I36</f>
        <v/>
      </c>
      <c r="J36" s="39">
        <f>案件入力!J36</f>
        <v/>
      </c>
      <c r="K36" s="36">
        <f>案件入力!K36</f>
        <v/>
      </c>
      <c r="L36" s="49">
        <f>案件入力!L36</f>
        <v/>
      </c>
      <c r="M36" s="49">
        <f>案件入力!M36</f>
        <v/>
      </c>
      <c r="N36" s="39">
        <f>案件入力!N36</f>
        <v/>
      </c>
      <c r="O36" s="36">
        <f>案件入力!O36</f>
        <v/>
      </c>
      <c r="P36" s="37">
        <f>案件入力!P36</f>
        <v/>
      </c>
      <c r="Q36" s="35">
        <f>案件入力!Q36</f>
        <v/>
      </c>
      <c r="R36" s="35">
        <f>案件入力!R36</f>
        <v/>
      </c>
      <c r="S36" s="35">
        <f>案件入力!S36</f>
        <v/>
      </c>
    </row>
    <row r="37">
      <c r="A37" s="35">
        <f>案件入力!A37</f>
        <v/>
      </c>
      <c r="B37" s="36">
        <f>案件入力!B37</f>
        <v/>
      </c>
      <c r="C37" s="35">
        <f>案件入力!C37</f>
        <v/>
      </c>
      <c r="D37" s="37">
        <f>案件入力!D37</f>
        <v/>
      </c>
      <c r="E37" s="35">
        <f>案件入力!E37</f>
        <v/>
      </c>
      <c r="F37" s="35">
        <f>案件入力!F37</f>
        <v/>
      </c>
      <c r="G37" s="35">
        <f>案件入力!G37</f>
        <v/>
      </c>
      <c r="H37" s="49">
        <f>案件入力!H37</f>
        <v/>
      </c>
      <c r="I37" s="49">
        <f>案件入力!I37</f>
        <v/>
      </c>
      <c r="J37" s="39">
        <f>案件入力!J37</f>
        <v/>
      </c>
      <c r="K37" s="36">
        <f>案件入力!K37</f>
        <v/>
      </c>
      <c r="L37" s="49">
        <f>案件入力!L37</f>
        <v/>
      </c>
      <c r="M37" s="49">
        <f>案件入力!M37</f>
        <v/>
      </c>
      <c r="N37" s="39">
        <f>案件入力!N37</f>
        <v/>
      </c>
      <c r="O37" s="36">
        <f>案件入力!O37</f>
        <v/>
      </c>
      <c r="P37" s="37">
        <f>案件入力!P37</f>
        <v/>
      </c>
      <c r="Q37" s="35">
        <f>案件入力!Q37</f>
        <v/>
      </c>
      <c r="R37" s="35">
        <f>案件入力!R37</f>
        <v/>
      </c>
      <c r="S37" s="35">
        <f>案件入力!S37</f>
        <v/>
      </c>
    </row>
    <row r="38">
      <c r="A38" s="35">
        <f>案件入力!A38</f>
        <v/>
      </c>
      <c r="B38" s="36">
        <f>案件入力!B38</f>
        <v/>
      </c>
      <c r="C38" s="35">
        <f>案件入力!C38</f>
        <v/>
      </c>
      <c r="D38" s="37">
        <f>案件入力!D38</f>
        <v/>
      </c>
      <c r="E38" s="35">
        <f>案件入力!E38</f>
        <v/>
      </c>
      <c r="F38" s="35">
        <f>案件入力!F38</f>
        <v/>
      </c>
      <c r="G38" s="35">
        <f>案件入力!G38</f>
        <v/>
      </c>
      <c r="H38" s="49">
        <f>案件入力!H38</f>
        <v/>
      </c>
      <c r="I38" s="49">
        <f>案件入力!I38</f>
        <v/>
      </c>
      <c r="J38" s="39">
        <f>案件入力!J38</f>
        <v/>
      </c>
      <c r="K38" s="36">
        <f>案件入力!K38</f>
        <v/>
      </c>
      <c r="L38" s="49">
        <f>案件入力!L38</f>
        <v/>
      </c>
      <c r="M38" s="49">
        <f>案件入力!M38</f>
        <v/>
      </c>
      <c r="N38" s="39">
        <f>案件入力!N38</f>
        <v/>
      </c>
      <c r="O38" s="36">
        <f>案件入力!O38</f>
        <v/>
      </c>
      <c r="P38" s="37">
        <f>案件入力!P38</f>
        <v/>
      </c>
      <c r="Q38" s="35">
        <f>案件入力!Q38</f>
        <v/>
      </c>
      <c r="R38" s="35">
        <f>案件入力!R38</f>
        <v/>
      </c>
      <c r="S38" s="35">
        <f>案件入力!S38</f>
        <v/>
      </c>
    </row>
    <row r="39">
      <c r="A39" s="35">
        <f>案件入力!A39</f>
        <v/>
      </c>
      <c r="B39" s="36">
        <f>案件入力!B39</f>
        <v/>
      </c>
      <c r="C39" s="35">
        <f>案件入力!C39</f>
        <v/>
      </c>
      <c r="D39" s="37">
        <f>案件入力!D39</f>
        <v/>
      </c>
      <c r="E39" s="35">
        <f>案件入力!E39</f>
        <v/>
      </c>
      <c r="F39" s="35">
        <f>案件入力!F39</f>
        <v/>
      </c>
      <c r="G39" s="35">
        <f>案件入力!G39</f>
        <v/>
      </c>
      <c r="H39" s="49">
        <f>案件入力!H39</f>
        <v/>
      </c>
      <c r="I39" s="49">
        <f>案件入力!I39</f>
        <v/>
      </c>
      <c r="J39" s="39">
        <f>案件入力!J39</f>
        <v/>
      </c>
      <c r="K39" s="36">
        <f>案件入力!K39</f>
        <v/>
      </c>
      <c r="L39" s="49">
        <f>案件入力!L39</f>
        <v/>
      </c>
      <c r="M39" s="49">
        <f>案件入力!M39</f>
        <v/>
      </c>
      <c r="N39" s="39">
        <f>案件入力!N39</f>
        <v/>
      </c>
      <c r="O39" s="36">
        <f>案件入力!O39</f>
        <v/>
      </c>
      <c r="P39" s="37">
        <f>案件入力!P39</f>
        <v/>
      </c>
      <c r="Q39" s="35">
        <f>案件入力!Q39</f>
        <v/>
      </c>
      <c r="R39" s="35">
        <f>案件入力!R39</f>
        <v/>
      </c>
      <c r="S39" s="35">
        <f>案件入力!S39</f>
        <v/>
      </c>
    </row>
    <row r="40">
      <c r="A40" s="35">
        <f>案件入力!A40</f>
        <v/>
      </c>
      <c r="B40" s="36">
        <f>案件入力!B40</f>
        <v/>
      </c>
      <c r="C40" s="35">
        <f>案件入力!C40</f>
        <v/>
      </c>
      <c r="D40" s="37">
        <f>案件入力!D40</f>
        <v/>
      </c>
      <c r="E40" s="35">
        <f>案件入力!E40</f>
        <v/>
      </c>
      <c r="F40" s="35">
        <f>案件入力!F40</f>
        <v/>
      </c>
      <c r="G40" s="35">
        <f>案件入力!G40</f>
        <v/>
      </c>
      <c r="H40" s="49">
        <f>案件入力!H40</f>
        <v/>
      </c>
      <c r="I40" s="49">
        <f>案件入力!I40</f>
        <v/>
      </c>
      <c r="J40" s="39">
        <f>案件入力!J40</f>
        <v/>
      </c>
      <c r="K40" s="36">
        <f>案件入力!K40</f>
        <v/>
      </c>
      <c r="L40" s="49">
        <f>案件入力!L40</f>
        <v/>
      </c>
      <c r="M40" s="49">
        <f>案件入力!M40</f>
        <v/>
      </c>
      <c r="N40" s="39">
        <f>案件入力!N40</f>
        <v/>
      </c>
      <c r="O40" s="36">
        <f>案件入力!O40</f>
        <v/>
      </c>
      <c r="P40" s="37">
        <f>案件入力!P40</f>
        <v/>
      </c>
      <c r="Q40" s="35">
        <f>案件入力!Q40</f>
        <v/>
      </c>
      <c r="R40" s="35">
        <f>案件入力!R40</f>
        <v/>
      </c>
      <c r="S40" s="35">
        <f>案件入力!S40</f>
        <v/>
      </c>
    </row>
    <row r="41">
      <c r="A41" s="35">
        <f>案件入力!A41</f>
        <v/>
      </c>
      <c r="B41" s="36">
        <f>案件入力!B41</f>
        <v/>
      </c>
      <c r="C41" s="35">
        <f>案件入力!C41</f>
        <v/>
      </c>
      <c r="D41" s="37">
        <f>案件入力!D41</f>
        <v/>
      </c>
      <c r="E41" s="35">
        <f>案件入力!E41</f>
        <v/>
      </c>
      <c r="F41" s="35">
        <f>案件入力!F41</f>
        <v/>
      </c>
      <c r="G41" s="35">
        <f>案件入力!G41</f>
        <v/>
      </c>
      <c r="H41" s="49">
        <f>案件入力!H41</f>
        <v/>
      </c>
      <c r="I41" s="49">
        <f>案件入力!I41</f>
        <v/>
      </c>
      <c r="J41" s="39">
        <f>案件入力!J41</f>
        <v/>
      </c>
      <c r="K41" s="36">
        <f>案件入力!K41</f>
        <v/>
      </c>
      <c r="L41" s="49">
        <f>案件入力!L41</f>
        <v/>
      </c>
      <c r="M41" s="49">
        <f>案件入力!M41</f>
        <v/>
      </c>
      <c r="N41" s="39">
        <f>案件入力!N41</f>
        <v/>
      </c>
      <c r="O41" s="36">
        <f>案件入力!O41</f>
        <v/>
      </c>
      <c r="P41" s="37">
        <f>案件入力!P41</f>
        <v/>
      </c>
      <c r="Q41" s="35">
        <f>案件入力!Q41</f>
        <v/>
      </c>
      <c r="R41" s="35">
        <f>案件入力!R41</f>
        <v/>
      </c>
      <c r="S41" s="35">
        <f>案件入力!S41</f>
        <v/>
      </c>
    </row>
    <row r="42">
      <c r="A42" s="35">
        <f>案件入力!A42</f>
        <v/>
      </c>
      <c r="B42" s="36">
        <f>案件入力!B42</f>
        <v/>
      </c>
      <c r="C42" s="35">
        <f>案件入力!C42</f>
        <v/>
      </c>
      <c r="D42" s="37">
        <f>案件入力!D42</f>
        <v/>
      </c>
      <c r="E42" s="35">
        <f>案件入力!E42</f>
        <v/>
      </c>
      <c r="F42" s="35">
        <f>案件入力!F42</f>
        <v/>
      </c>
      <c r="G42" s="35">
        <f>案件入力!G42</f>
        <v/>
      </c>
      <c r="H42" s="49">
        <f>案件入力!H42</f>
        <v/>
      </c>
      <c r="I42" s="49">
        <f>案件入力!I42</f>
        <v/>
      </c>
      <c r="J42" s="39">
        <f>案件入力!J42</f>
        <v/>
      </c>
      <c r="K42" s="36">
        <f>案件入力!K42</f>
        <v/>
      </c>
      <c r="L42" s="49">
        <f>案件入力!L42</f>
        <v/>
      </c>
      <c r="M42" s="49">
        <f>案件入力!M42</f>
        <v/>
      </c>
      <c r="N42" s="39">
        <f>案件入力!N42</f>
        <v/>
      </c>
      <c r="O42" s="36">
        <f>案件入力!O42</f>
        <v/>
      </c>
      <c r="P42" s="37">
        <f>案件入力!P42</f>
        <v/>
      </c>
      <c r="Q42" s="35">
        <f>案件入力!Q42</f>
        <v/>
      </c>
      <c r="R42" s="35">
        <f>案件入力!R42</f>
        <v/>
      </c>
      <c r="S42" s="35">
        <f>案件入力!S42</f>
        <v/>
      </c>
    </row>
    <row r="43">
      <c r="A43" s="35">
        <f>案件入力!A43</f>
        <v/>
      </c>
      <c r="B43" s="36">
        <f>案件入力!B43</f>
        <v/>
      </c>
      <c r="C43" s="35">
        <f>案件入力!C43</f>
        <v/>
      </c>
      <c r="D43" s="37">
        <f>案件入力!D43</f>
        <v/>
      </c>
      <c r="E43" s="35">
        <f>案件入力!E43</f>
        <v/>
      </c>
      <c r="F43" s="35">
        <f>案件入力!F43</f>
        <v/>
      </c>
      <c r="G43" s="35">
        <f>案件入力!G43</f>
        <v/>
      </c>
      <c r="H43" s="49">
        <f>案件入力!H43</f>
        <v/>
      </c>
      <c r="I43" s="49">
        <f>案件入力!I43</f>
        <v/>
      </c>
      <c r="J43" s="39">
        <f>案件入力!J43</f>
        <v/>
      </c>
      <c r="K43" s="36">
        <f>案件入力!K43</f>
        <v/>
      </c>
      <c r="L43" s="49">
        <f>案件入力!L43</f>
        <v/>
      </c>
      <c r="M43" s="49">
        <f>案件入力!M43</f>
        <v/>
      </c>
      <c r="N43" s="39">
        <f>案件入力!N43</f>
        <v/>
      </c>
      <c r="O43" s="36">
        <f>案件入力!O43</f>
        <v/>
      </c>
      <c r="P43" s="37">
        <f>案件入力!P43</f>
        <v/>
      </c>
      <c r="Q43" s="35">
        <f>案件入力!Q43</f>
        <v/>
      </c>
      <c r="R43" s="35">
        <f>案件入力!R43</f>
        <v/>
      </c>
      <c r="S43" s="35">
        <f>案件入力!S43</f>
        <v/>
      </c>
    </row>
    <row r="44">
      <c r="A44" s="35">
        <f>案件入力!A44</f>
        <v/>
      </c>
      <c r="B44" s="36">
        <f>案件入力!B44</f>
        <v/>
      </c>
      <c r="C44" s="35">
        <f>案件入力!C44</f>
        <v/>
      </c>
      <c r="D44" s="37">
        <f>案件入力!D44</f>
        <v/>
      </c>
      <c r="E44" s="35">
        <f>案件入力!E44</f>
        <v/>
      </c>
      <c r="F44" s="35">
        <f>案件入力!F44</f>
        <v/>
      </c>
      <c r="G44" s="35">
        <f>案件入力!G44</f>
        <v/>
      </c>
      <c r="H44" s="49">
        <f>案件入力!H44</f>
        <v/>
      </c>
      <c r="I44" s="49">
        <f>案件入力!I44</f>
        <v/>
      </c>
      <c r="J44" s="39">
        <f>案件入力!J44</f>
        <v/>
      </c>
      <c r="K44" s="36">
        <f>案件入力!K44</f>
        <v/>
      </c>
      <c r="L44" s="49">
        <f>案件入力!L44</f>
        <v/>
      </c>
      <c r="M44" s="49">
        <f>案件入力!M44</f>
        <v/>
      </c>
      <c r="N44" s="39">
        <f>案件入力!N44</f>
        <v/>
      </c>
      <c r="O44" s="36">
        <f>案件入力!O44</f>
        <v/>
      </c>
      <c r="P44" s="37">
        <f>案件入力!P44</f>
        <v/>
      </c>
      <c r="Q44" s="35">
        <f>案件入力!Q44</f>
        <v/>
      </c>
      <c r="R44" s="35">
        <f>案件入力!R44</f>
        <v/>
      </c>
      <c r="S44" s="35">
        <f>案件入力!S44</f>
        <v/>
      </c>
    </row>
    <row r="45">
      <c r="A45" s="35">
        <f>案件入力!A45</f>
        <v/>
      </c>
      <c r="B45" s="36">
        <f>案件入力!B45</f>
        <v/>
      </c>
      <c r="C45" s="35">
        <f>案件入力!C45</f>
        <v/>
      </c>
      <c r="D45" s="37">
        <f>案件入力!D45</f>
        <v/>
      </c>
      <c r="E45" s="35">
        <f>案件入力!E45</f>
        <v/>
      </c>
      <c r="F45" s="35">
        <f>案件入力!F45</f>
        <v/>
      </c>
      <c r="G45" s="35">
        <f>案件入力!G45</f>
        <v/>
      </c>
      <c r="H45" s="49">
        <f>案件入力!H45</f>
        <v/>
      </c>
      <c r="I45" s="49">
        <f>案件入力!I45</f>
        <v/>
      </c>
      <c r="J45" s="39">
        <f>案件入力!J45</f>
        <v/>
      </c>
      <c r="K45" s="36">
        <f>案件入力!K45</f>
        <v/>
      </c>
      <c r="L45" s="49">
        <f>案件入力!L45</f>
        <v/>
      </c>
      <c r="M45" s="49">
        <f>案件入力!M45</f>
        <v/>
      </c>
      <c r="N45" s="39">
        <f>案件入力!N45</f>
        <v/>
      </c>
      <c r="O45" s="36">
        <f>案件入力!O45</f>
        <v/>
      </c>
      <c r="P45" s="37">
        <f>案件入力!P45</f>
        <v/>
      </c>
      <c r="Q45" s="35">
        <f>案件入力!Q45</f>
        <v/>
      </c>
      <c r="R45" s="35">
        <f>案件入力!R45</f>
        <v/>
      </c>
      <c r="S45" s="35">
        <f>案件入力!S45</f>
        <v/>
      </c>
    </row>
    <row r="46">
      <c r="A46" s="35">
        <f>案件入力!A46</f>
        <v/>
      </c>
      <c r="B46" s="36">
        <f>案件入力!B46</f>
        <v/>
      </c>
      <c r="C46" s="35">
        <f>案件入力!C46</f>
        <v/>
      </c>
      <c r="D46" s="37">
        <f>案件入力!D46</f>
        <v/>
      </c>
      <c r="E46" s="35">
        <f>案件入力!E46</f>
        <v/>
      </c>
      <c r="F46" s="35">
        <f>案件入力!F46</f>
        <v/>
      </c>
      <c r="G46" s="35">
        <f>案件入力!G46</f>
        <v/>
      </c>
      <c r="H46" s="49">
        <f>案件入力!H46</f>
        <v/>
      </c>
      <c r="I46" s="49">
        <f>案件入力!I46</f>
        <v/>
      </c>
      <c r="J46" s="39">
        <f>案件入力!J46</f>
        <v/>
      </c>
      <c r="K46" s="36">
        <f>案件入力!K46</f>
        <v/>
      </c>
      <c r="L46" s="49">
        <f>案件入力!L46</f>
        <v/>
      </c>
      <c r="M46" s="49">
        <f>案件入力!M46</f>
        <v/>
      </c>
      <c r="N46" s="39">
        <f>案件入力!N46</f>
        <v/>
      </c>
      <c r="O46" s="36">
        <f>案件入力!O46</f>
        <v/>
      </c>
      <c r="P46" s="37">
        <f>案件入力!P46</f>
        <v/>
      </c>
      <c r="Q46" s="35">
        <f>案件入力!Q46</f>
        <v/>
      </c>
      <c r="R46" s="35">
        <f>案件入力!R46</f>
        <v/>
      </c>
      <c r="S46" s="35">
        <f>案件入力!S46</f>
        <v/>
      </c>
    </row>
    <row r="47">
      <c r="A47" s="35">
        <f>案件入力!A47</f>
        <v/>
      </c>
      <c r="B47" s="36">
        <f>案件入力!B47</f>
        <v/>
      </c>
      <c r="C47" s="35">
        <f>案件入力!C47</f>
        <v/>
      </c>
      <c r="D47" s="37">
        <f>案件入力!D47</f>
        <v/>
      </c>
      <c r="E47" s="35">
        <f>案件入力!E47</f>
        <v/>
      </c>
      <c r="F47" s="35">
        <f>案件入力!F47</f>
        <v/>
      </c>
      <c r="G47" s="35">
        <f>案件入力!G47</f>
        <v/>
      </c>
      <c r="H47" s="49">
        <f>案件入力!H47</f>
        <v/>
      </c>
      <c r="I47" s="49">
        <f>案件入力!I47</f>
        <v/>
      </c>
      <c r="J47" s="39">
        <f>案件入力!J47</f>
        <v/>
      </c>
      <c r="K47" s="36">
        <f>案件入力!K47</f>
        <v/>
      </c>
      <c r="L47" s="49">
        <f>案件入力!L47</f>
        <v/>
      </c>
      <c r="M47" s="49">
        <f>案件入力!M47</f>
        <v/>
      </c>
      <c r="N47" s="39">
        <f>案件入力!N47</f>
        <v/>
      </c>
      <c r="O47" s="36">
        <f>案件入力!O47</f>
        <v/>
      </c>
      <c r="P47" s="37">
        <f>案件入力!P47</f>
        <v/>
      </c>
      <c r="Q47" s="35">
        <f>案件入力!Q47</f>
        <v/>
      </c>
      <c r="R47" s="35">
        <f>案件入力!R47</f>
        <v/>
      </c>
      <c r="S47" s="35">
        <f>案件入力!S47</f>
        <v/>
      </c>
    </row>
    <row r="48">
      <c r="A48" s="35">
        <f>案件入力!A48</f>
        <v/>
      </c>
      <c r="B48" s="36">
        <f>案件入力!B48</f>
        <v/>
      </c>
      <c r="C48" s="35">
        <f>案件入力!C48</f>
        <v/>
      </c>
      <c r="D48" s="37">
        <f>案件入力!D48</f>
        <v/>
      </c>
      <c r="E48" s="35">
        <f>案件入力!E48</f>
        <v/>
      </c>
      <c r="F48" s="35">
        <f>案件入力!F48</f>
        <v/>
      </c>
      <c r="G48" s="35">
        <f>案件入力!G48</f>
        <v/>
      </c>
      <c r="H48" s="49">
        <f>案件入力!H48</f>
        <v/>
      </c>
      <c r="I48" s="49">
        <f>案件入力!I48</f>
        <v/>
      </c>
      <c r="J48" s="39">
        <f>案件入力!J48</f>
        <v/>
      </c>
      <c r="K48" s="36">
        <f>案件入力!K48</f>
        <v/>
      </c>
      <c r="L48" s="49">
        <f>案件入力!L48</f>
        <v/>
      </c>
      <c r="M48" s="49">
        <f>案件入力!M48</f>
        <v/>
      </c>
      <c r="N48" s="39">
        <f>案件入力!N48</f>
        <v/>
      </c>
      <c r="O48" s="36">
        <f>案件入力!O48</f>
        <v/>
      </c>
      <c r="P48" s="37">
        <f>案件入力!P48</f>
        <v/>
      </c>
      <c r="Q48" s="35">
        <f>案件入力!Q48</f>
        <v/>
      </c>
      <c r="R48" s="35">
        <f>案件入力!R48</f>
        <v/>
      </c>
      <c r="S48" s="35">
        <f>案件入力!S48</f>
        <v/>
      </c>
    </row>
    <row r="49">
      <c r="A49" s="35">
        <f>案件入力!A49</f>
        <v/>
      </c>
      <c r="B49" s="36">
        <f>案件入力!B49</f>
        <v/>
      </c>
      <c r="C49" s="35">
        <f>案件入力!C49</f>
        <v/>
      </c>
      <c r="D49" s="37">
        <f>案件入力!D49</f>
        <v/>
      </c>
      <c r="E49" s="35">
        <f>案件入力!E49</f>
        <v/>
      </c>
      <c r="F49" s="35">
        <f>案件入力!F49</f>
        <v/>
      </c>
      <c r="G49" s="35">
        <f>案件入力!G49</f>
        <v/>
      </c>
      <c r="H49" s="49">
        <f>案件入力!H49</f>
        <v/>
      </c>
      <c r="I49" s="49">
        <f>案件入力!I49</f>
        <v/>
      </c>
      <c r="J49" s="39">
        <f>案件入力!J49</f>
        <v/>
      </c>
      <c r="K49" s="36">
        <f>案件入力!K49</f>
        <v/>
      </c>
      <c r="L49" s="49">
        <f>案件入力!L49</f>
        <v/>
      </c>
      <c r="M49" s="49">
        <f>案件入力!M49</f>
        <v/>
      </c>
      <c r="N49" s="39">
        <f>案件入力!N49</f>
        <v/>
      </c>
      <c r="O49" s="36">
        <f>案件入力!O49</f>
        <v/>
      </c>
      <c r="P49" s="37">
        <f>案件入力!P49</f>
        <v/>
      </c>
      <c r="Q49" s="35">
        <f>案件入力!Q49</f>
        <v/>
      </c>
      <c r="R49" s="35">
        <f>案件入力!R49</f>
        <v/>
      </c>
      <c r="S49" s="35">
        <f>案件入力!S49</f>
        <v/>
      </c>
    </row>
    <row r="50">
      <c r="A50" s="35">
        <f>案件入力!A50</f>
        <v/>
      </c>
      <c r="B50" s="36">
        <f>案件入力!B50</f>
        <v/>
      </c>
      <c r="C50" s="35">
        <f>案件入力!C50</f>
        <v/>
      </c>
      <c r="D50" s="37">
        <f>案件入力!D50</f>
        <v/>
      </c>
      <c r="E50" s="35">
        <f>案件入力!E50</f>
        <v/>
      </c>
      <c r="F50" s="35">
        <f>案件入力!F50</f>
        <v/>
      </c>
      <c r="G50" s="35">
        <f>案件入力!G50</f>
        <v/>
      </c>
      <c r="H50" s="49">
        <f>案件入力!H50</f>
        <v/>
      </c>
      <c r="I50" s="49">
        <f>案件入力!I50</f>
        <v/>
      </c>
      <c r="J50" s="39">
        <f>案件入力!J50</f>
        <v/>
      </c>
      <c r="K50" s="36">
        <f>案件入力!K50</f>
        <v/>
      </c>
      <c r="L50" s="49">
        <f>案件入力!L50</f>
        <v/>
      </c>
      <c r="M50" s="49">
        <f>案件入力!M50</f>
        <v/>
      </c>
      <c r="N50" s="39">
        <f>案件入力!N50</f>
        <v/>
      </c>
      <c r="O50" s="36">
        <f>案件入力!O50</f>
        <v/>
      </c>
      <c r="P50" s="37">
        <f>案件入力!P50</f>
        <v/>
      </c>
      <c r="Q50" s="35">
        <f>案件入力!Q50</f>
        <v/>
      </c>
      <c r="R50" s="35">
        <f>案件入力!R50</f>
        <v/>
      </c>
      <c r="S50" s="35">
        <f>案件入力!S50</f>
        <v/>
      </c>
    </row>
    <row r="51">
      <c r="A51" s="35">
        <f>案件入力!A51</f>
        <v/>
      </c>
      <c r="B51" s="36">
        <f>案件入力!B51</f>
        <v/>
      </c>
      <c r="C51" s="35">
        <f>案件入力!C51</f>
        <v/>
      </c>
      <c r="D51" s="37">
        <f>案件入力!D51</f>
        <v/>
      </c>
      <c r="E51" s="35">
        <f>案件入力!E51</f>
        <v/>
      </c>
      <c r="F51" s="35">
        <f>案件入力!F51</f>
        <v/>
      </c>
      <c r="G51" s="35">
        <f>案件入力!G51</f>
        <v/>
      </c>
      <c r="H51" s="49">
        <f>案件入力!H51</f>
        <v/>
      </c>
      <c r="I51" s="49">
        <f>案件入力!I51</f>
        <v/>
      </c>
      <c r="J51" s="39">
        <f>案件入力!J51</f>
        <v/>
      </c>
      <c r="K51" s="36">
        <f>案件入力!K51</f>
        <v/>
      </c>
      <c r="L51" s="49">
        <f>案件入力!L51</f>
        <v/>
      </c>
      <c r="M51" s="49">
        <f>案件入力!M51</f>
        <v/>
      </c>
      <c r="N51" s="39">
        <f>案件入力!N51</f>
        <v/>
      </c>
      <c r="O51" s="36">
        <f>案件入力!O51</f>
        <v/>
      </c>
      <c r="P51" s="37">
        <f>案件入力!P51</f>
        <v/>
      </c>
      <c r="Q51" s="35">
        <f>案件入力!Q51</f>
        <v/>
      </c>
      <c r="R51" s="35">
        <f>案件入力!R51</f>
        <v/>
      </c>
      <c r="S51" s="35">
        <f>案件入力!S51</f>
        <v/>
      </c>
    </row>
    <row r="52">
      <c r="A52" s="35">
        <f>案件入力!A52</f>
        <v/>
      </c>
      <c r="B52" s="36">
        <f>案件入力!B52</f>
        <v/>
      </c>
      <c r="C52" s="35">
        <f>案件入力!C52</f>
        <v/>
      </c>
      <c r="D52" s="37">
        <f>案件入力!D52</f>
        <v/>
      </c>
      <c r="E52" s="35">
        <f>案件入力!E52</f>
        <v/>
      </c>
      <c r="F52" s="35">
        <f>案件入力!F52</f>
        <v/>
      </c>
      <c r="G52" s="35">
        <f>案件入力!G52</f>
        <v/>
      </c>
      <c r="H52" s="49">
        <f>案件入力!H52</f>
        <v/>
      </c>
      <c r="I52" s="49">
        <f>案件入力!I52</f>
        <v/>
      </c>
      <c r="J52" s="39">
        <f>案件入力!J52</f>
        <v/>
      </c>
      <c r="K52" s="36">
        <f>案件入力!K52</f>
        <v/>
      </c>
      <c r="L52" s="49">
        <f>案件入力!L52</f>
        <v/>
      </c>
      <c r="M52" s="49">
        <f>案件入力!M52</f>
        <v/>
      </c>
      <c r="N52" s="39">
        <f>案件入力!N52</f>
        <v/>
      </c>
      <c r="O52" s="36">
        <f>案件入力!O52</f>
        <v/>
      </c>
      <c r="P52" s="37">
        <f>案件入力!P52</f>
        <v/>
      </c>
      <c r="Q52" s="35">
        <f>案件入力!Q52</f>
        <v/>
      </c>
      <c r="R52" s="35">
        <f>案件入力!R52</f>
        <v/>
      </c>
      <c r="S52" s="35">
        <f>案件入力!S52</f>
        <v/>
      </c>
    </row>
    <row r="53">
      <c r="A53" s="35">
        <f>案件入力!A53</f>
        <v/>
      </c>
      <c r="B53" s="36">
        <f>案件入力!B53</f>
        <v/>
      </c>
      <c r="C53" s="35">
        <f>案件入力!C53</f>
        <v/>
      </c>
      <c r="D53" s="37">
        <f>案件入力!D53</f>
        <v/>
      </c>
      <c r="E53" s="35">
        <f>案件入力!E53</f>
        <v/>
      </c>
      <c r="F53" s="35">
        <f>案件入力!F53</f>
        <v/>
      </c>
      <c r="G53" s="35">
        <f>案件入力!G53</f>
        <v/>
      </c>
      <c r="H53" s="49">
        <f>案件入力!H53</f>
        <v/>
      </c>
      <c r="I53" s="49">
        <f>案件入力!I53</f>
        <v/>
      </c>
      <c r="J53" s="39">
        <f>案件入力!J53</f>
        <v/>
      </c>
      <c r="K53" s="36">
        <f>案件入力!K53</f>
        <v/>
      </c>
      <c r="L53" s="49">
        <f>案件入力!L53</f>
        <v/>
      </c>
      <c r="M53" s="49">
        <f>案件入力!M53</f>
        <v/>
      </c>
      <c r="N53" s="39">
        <f>案件入力!N53</f>
        <v/>
      </c>
      <c r="O53" s="36">
        <f>案件入力!O53</f>
        <v/>
      </c>
      <c r="P53" s="37">
        <f>案件入力!P53</f>
        <v/>
      </c>
      <c r="Q53" s="35">
        <f>案件入力!Q53</f>
        <v/>
      </c>
      <c r="R53" s="35">
        <f>案件入力!R53</f>
        <v/>
      </c>
      <c r="S53" s="35">
        <f>案件入力!S53</f>
        <v/>
      </c>
    </row>
    <row r="54">
      <c r="A54" s="35">
        <f>案件入力!A54</f>
        <v/>
      </c>
      <c r="B54" s="36">
        <f>案件入力!B54</f>
        <v/>
      </c>
      <c r="C54" s="35">
        <f>案件入力!C54</f>
        <v/>
      </c>
      <c r="D54" s="37">
        <f>案件入力!D54</f>
        <v/>
      </c>
      <c r="E54" s="35">
        <f>案件入力!E54</f>
        <v/>
      </c>
      <c r="F54" s="35">
        <f>案件入力!F54</f>
        <v/>
      </c>
      <c r="G54" s="35">
        <f>案件入力!G54</f>
        <v/>
      </c>
      <c r="H54" s="49">
        <f>案件入力!H54</f>
        <v/>
      </c>
      <c r="I54" s="49">
        <f>案件入力!I54</f>
        <v/>
      </c>
      <c r="J54" s="39">
        <f>案件入力!J54</f>
        <v/>
      </c>
      <c r="K54" s="36">
        <f>案件入力!K54</f>
        <v/>
      </c>
      <c r="L54" s="49">
        <f>案件入力!L54</f>
        <v/>
      </c>
      <c r="M54" s="49">
        <f>案件入力!M54</f>
        <v/>
      </c>
      <c r="N54" s="39">
        <f>案件入力!N54</f>
        <v/>
      </c>
      <c r="O54" s="36">
        <f>案件入力!O54</f>
        <v/>
      </c>
      <c r="P54" s="37">
        <f>案件入力!P54</f>
        <v/>
      </c>
      <c r="Q54" s="35">
        <f>案件入力!Q54</f>
        <v/>
      </c>
      <c r="R54" s="35">
        <f>案件入力!R54</f>
        <v/>
      </c>
      <c r="S54" s="35">
        <f>案件入力!S54</f>
        <v/>
      </c>
    </row>
    <row r="55">
      <c r="A55" s="35">
        <f>案件入力!A55</f>
        <v/>
      </c>
      <c r="B55" s="36">
        <f>案件入力!B55</f>
        <v/>
      </c>
      <c r="C55" s="35">
        <f>案件入力!C55</f>
        <v/>
      </c>
      <c r="D55" s="37">
        <f>案件入力!D55</f>
        <v/>
      </c>
      <c r="E55" s="35">
        <f>案件入力!E55</f>
        <v/>
      </c>
      <c r="F55" s="35">
        <f>案件入力!F55</f>
        <v/>
      </c>
      <c r="G55" s="35">
        <f>案件入力!G55</f>
        <v/>
      </c>
      <c r="H55" s="49">
        <f>案件入力!H55</f>
        <v/>
      </c>
      <c r="I55" s="49">
        <f>案件入力!I55</f>
        <v/>
      </c>
      <c r="J55" s="39">
        <f>案件入力!J55</f>
        <v/>
      </c>
      <c r="K55" s="36">
        <f>案件入力!K55</f>
        <v/>
      </c>
      <c r="L55" s="49">
        <f>案件入力!L55</f>
        <v/>
      </c>
      <c r="M55" s="49">
        <f>案件入力!M55</f>
        <v/>
      </c>
      <c r="N55" s="39">
        <f>案件入力!N55</f>
        <v/>
      </c>
      <c r="O55" s="36">
        <f>案件入力!O55</f>
        <v/>
      </c>
      <c r="P55" s="37">
        <f>案件入力!P55</f>
        <v/>
      </c>
      <c r="Q55" s="35">
        <f>案件入力!Q55</f>
        <v/>
      </c>
      <c r="R55" s="35">
        <f>案件入力!R55</f>
        <v/>
      </c>
      <c r="S55" s="35">
        <f>案件入力!S55</f>
        <v/>
      </c>
    </row>
    <row r="56">
      <c r="A56" s="35">
        <f>案件入力!A56</f>
        <v/>
      </c>
      <c r="B56" s="36">
        <f>案件入力!B56</f>
        <v/>
      </c>
      <c r="C56" s="35">
        <f>案件入力!C56</f>
        <v/>
      </c>
      <c r="D56" s="37">
        <f>案件入力!D56</f>
        <v/>
      </c>
      <c r="E56" s="35">
        <f>案件入力!E56</f>
        <v/>
      </c>
      <c r="F56" s="35">
        <f>案件入力!F56</f>
        <v/>
      </c>
      <c r="G56" s="35">
        <f>案件入力!G56</f>
        <v/>
      </c>
      <c r="H56" s="49">
        <f>案件入力!H56</f>
        <v/>
      </c>
      <c r="I56" s="49">
        <f>案件入力!I56</f>
        <v/>
      </c>
      <c r="J56" s="39">
        <f>案件入力!J56</f>
        <v/>
      </c>
      <c r="K56" s="36">
        <f>案件入力!K56</f>
        <v/>
      </c>
      <c r="L56" s="49">
        <f>案件入力!L56</f>
        <v/>
      </c>
      <c r="M56" s="49">
        <f>案件入力!M56</f>
        <v/>
      </c>
      <c r="N56" s="39">
        <f>案件入力!N56</f>
        <v/>
      </c>
      <c r="O56" s="36">
        <f>案件入力!O56</f>
        <v/>
      </c>
      <c r="P56" s="37">
        <f>案件入力!P56</f>
        <v/>
      </c>
      <c r="Q56" s="35">
        <f>案件入力!Q56</f>
        <v/>
      </c>
      <c r="R56" s="35">
        <f>案件入力!R56</f>
        <v/>
      </c>
      <c r="S56" s="35">
        <f>案件入力!S56</f>
        <v/>
      </c>
    </row>
    <row r="57">
      <c r="A57" s="35">
        <f>案件入力!A57</f>
        <v/>
      </c>
      <c r="B57" s="36">
        <f>案件入力!B57</f>
        <v/>
      </c>
      <c r="C57" s="35">
        <f>案件入力!C57</f>
        <v/>
      </c>
      <c r="D57" s="37">
        <f>案件入力!D57</f>
        <v/>
      </c>
      <c r="E57" s="35">
        <f>案件入力!E57</f>
        <v/>
      </c>
      <c r="F57" s="35">
        <f>案件入力!F57</f>
        <v/>
      </c>
      <c r="G57" s="35">
        <f>案件入力!G57</f>
        <v/>
      </c>
      <c r="H57" s="49">
        <f>案件入力!H57</f>
        <v/>
      </c>
      <c r="I57" s="49">
        <f>案件入力!I57</f>
        <v/>
      </c>
      <c r="J57" s="39">
        <f>案件入力!J57</f>
        <v/>
      </c>
      <c r="K57" s="36">
        <f>案件入力!K57</f>
        <v/>
      </c>
      <c r="L57" s="49">
        <f>案件入力!L57</f>
        <v/>
      </c>
      <c r="M57" s="49">
        <f>案件入力!M57</f>
        <v/>
      </c>
      <c r="N57" s="39">
        <f>案件入力!N57</f>
        <v/>
      </c>
      <c r="O57" s="36">
        <f>案件入力!O57</f>
        <v/>
      </c>
      <c r="P57" s="37">
        <f>案件入力!P57</f>
        <v/>
      </c>
      <c r="Q57" s="35">
        <f>案件入力!Q57</f>
        <v/>
      </c>
      <c r="R57" s="35">
        <f>案件入力!R57</f>
        <v/>
      </c>
      <c r="S57" s="35">
        <f>案件入力!S57</f>
        <v/>
      </c>
    </row>
    <row r="58">
      <c r="A58" s="35">
        <f>案件入力!A58</f>
        <v/>
      </c>
      <c r="B58" s="36">
        <f>案件入力!B58</f>
        <v/>
      </c>
      <c r="C58" s="35">
        <f>案件入力!C58</f>
        <v/>
      </c>
      <c r="D58" s="37">
        <f>案件入力!D58</f>
        <v/>
      </c>
      <c r="E58" s="35">
        <f>案件入力!E58</f>
        <v/>
      </c>
      <c r="F58" s="35">
        <f>案件入力!F58</f>
        <v/>
      </c>
      <c r="G58" s="35">
        <f>案件入力!G58</f>
        <v/>
      </c>
      <c r="H58" s="49">
        <f>案件入力!H58</f>
        <v/>
      </c>
      <c r="I58" s="49">
        <f>案件入力!I58</f>
        <v/>
      </c>
      <c r="J58" s="39">
        <f>案件入力!J58</f>
        <v/>
      </c>
      <c r="K58" s="36">
        <f>案件入力!K58</f>
        <v/>
      </c>
      <c r="L58" s="49">
        <f>案件入力!L58</f>
        <v/>
      </c>
      <c r="M58" s="49">
        <f>案件入力!M58</f>
        <v/>
      </c>
      <c r="N58" s="39">
        <f>案件入力!N58</f>
        <v/>
      </c>
      <c r="O58" s="36">
        <f>案件入力!O58</f>
        <v/>
      </c>
      <c r="P58" s="37">
        <f>案件入力!P58</f>
        <v/>
      </c>
      <c r="Q58" s="35">
        <f>案件入力!Q58</f>
        <v/>
      </c>
      <c r="R58" s="35">
        <f>案件入力!R58</f>
        <v/>
      </c>
      <c r="S58" s="35">
        <f>案件入力!S58</f>
        <v/>
      </c>
    </row>
    <row r="59">
      <c r="A59" s="35">
        <f>案件入力!A59</f>
        <v/>
      </c>
      <c r="B59" s="36">
        <f>案件入力!B59</f>
        <v/>
      </c>
      <c r="C59" s="35">
        <f>案件入力!C59</f>
        <v/>
      </c>
      <c r="D59" s="37">
        <f>案件入力!D59</f>
        <v/>
      </c>
      <c r="E59" s="35">
        <f>案件入力!E59</f>
        <v/>
      </c>
      <c r="F59" s="35">
        <f>案件入力!F59</f>
        <v/>
      </c>
      <c r="G59" s="35">
        <f>案件入力!G59</f>
        <v/>
      </c>
      <c r="H59" s="49">
        <f>案件入力!H59</f>
        <v/>
      </c>
      <c r="I59" s="49">
        <f>案件入力!I59</f>
        <v/>
      </c>
      <c r="J59" s="39">
        <f>案件入力!J59</f>
        <v/>
      </c>
      <c r="K59" s="36">
        <f>案件入力!K59</f>
        <v/>
      </c>
      <c r="L59" s="49">
        <f>案件入力!L59</f>
        <v/>
      </c>
      <c r="M59" s="49">
        <f>案件入力!M59</f>
        <v/>
      </c>
      <c r="N59" s="39">
        <f>案件入力!N59</f>
        <v/>
      </c>
      <c r="O59" s="36">
        <f>案件入力!O59</f>
        <v/>
      </c>
      <c r="P59" s="37">
        <f>案件入力!P59</f>
        <v/>
      </c>
      <c r="Q59" s="35">
        <f>案件入力!Q59</f>
        <v/>
      </c>
      <c r="R59" s="35">
        <f>案件入力!R59</f>
        <v/>
      </c>
      <c r="S59" s="35">
        <f>案件入力!S59</f>
        <v/>
      </c>
    </row>
    <row r="60">
      <c r="A60" s="35">
        <f>案件入力!A60</f>
        <v/>
      </c>
      <c r="B60" s="36">
        <f>案件入力!B60</f>
        <v/>
      </c>
      <c r="C60" s="35">
        <f>案件入力!C60</f>
        <v/>
      </c>
      <c r="D60" s="37">
        <f>案件入力!D60</f>
        <v/>
      </c>
      <c r="E60" s="35">
        <f>案件入力!E60</f>
        <v/>
      </c>
      <c r="F60" s="35">
        <f>案件入力!F60</f>
        <v/>
      </c>
      <c r="G60" s="35">
        <f>案件入力!G60</f>
        <v/>
      </c>
      <c r="H60" s="49">
        <f>案件入力!H60</f>
        <v/>
      </c>
      <c r="I60" s="49">
        <f>案件入力!I60</f>
        <v/>
      </c>
      <c r="J60" s="39">
        <f>案件入力!J60</f>
        <v/>
      </c>
      <c r="K60" s="36">
        <f>案件入力!K60</f>
        <v/>
      </c>
      <c r="L60" s="49">
        <f>案件入力!L60</f>
        <v/>
      </c>
      <c r="M60" s="49">
        <f>案件入力!M60</f>
        <v/>
      </c>
      <c r="N60" s="39">
        <f>案件入力!N60</f>
        <v/>
      </c>
      <c r="O60" s="36">
        <f>案件入力!O60</f>
        <v/>
      </c>
      <c r="P60" s="37">
        <f>案件入力!P60</f>
        <v/>
      </c>
      <c r="Q60" s="35">
        <f>案件入力!Q60</f>
        <v/>
      </c>
      <c r="R60" s="35">
        <f>案件入力!R60</f>
        <v/>
      </c>
      <c r="S60" s="35">
        <f>案件入力!S60</f>
        <v/>
      </c>
    </row>
    <row r="61">
      <c r="A61" s="35">
        <f>案件入力!A61</f>
        <v/>
      </c>
      <c r="B61" s="36">
        <f>案件入力!B61</f>
        <v/>
      </c>
      <c r="C61" s="35">
        <f>案件入力!C61</f>
        <v/>
      </c>
      <c r="D61" s="37">
        <f>案件入力!D61</f>
        <v/>
      </c>
      <c r="E61" s="35">
        <f>案件入力!E61</f>
        <v/>
      </c>
      <c r="F61" s="35">
        <f>案件入力!F61</f>
        <v/>
      </c>
      <c r="G61" s="35">
        <f>案件入力!G61</f>
        <v/>
      </c>
      <c r="H61" s="49">
        <f>案件入力!H61</f>
        <v/>
      </c>
      <c r="I61" s="49">
        <f>案件入力!I61</f>
        <v/>
      </c>
      <c r="J61" s="39">
        <f>案件入力!J61</f>
        <v/>
      </c>
      <c r="K61" s="36">
        <f>案件入力!K61</f>
        <v/>
      </c>
      <c r="L61" s="49">
        <f>案件入力!L61</f>
        <v/>
      </c>
      <c r="M61" s="49">
        <f>案件入力!M61</f>
        <v/>
      </c>
      <c r="N61" s="39">
        <f>案件入力!N61</f>
        <v/>
      </c>
      <c r="O61" s="36">
        <f>案件入力!O61</f>
        <v/>
      </c>
      <c r="P61" s="37">
        <f>案件入力!P61</f>
        <v/>
      </c>
      <c r="Q61" s="35">
        <f>案件入力!Q61</f>
        <v/>
      </c>
      <c r="R61" s="35">
        <f>案件入力!R61</f>
        <v/>
      </c>
      <c r="S61" s="35">
        <f>案件入力!S61</f>
        <v/>
      </c>
    </row>
    <row r="62">
      <c r="A62" s="35">
        <f>案件入力!A62</f>
        <v/>
      </c>
      <c r="B62" s="36">
        <f>案件入力!B62</f>
        <v/>
      </c>
      <c r="C62" s="35">
        <f>案件入力!C62</f>
        <v/>
      </c>
      <c r="D62" s="37">
        <f>案件入力!D62</f>
        <v/>
      </c>
      <c r="E62" s="35">
        <f>案件入力!E62</f>
        <v/>
      </c>
      <c r="F62" s="35">
        <f>案件入力!F62</f>
        <v/>
      </c>
      <c r="G62" s="35">
        <f>案件入力!G62</f>
        <v/>
      </c>
      <c r="H62" s="49">
        <f>案件入力!H62</f>
        <v/>
      </c>
      <c r="I62" s="49">
        <f>案件入力!I62</f>
        <v/>
      </c>
      <c r="J62" s="39">
        <f>案件入力!J62</f>
        <v/>
      </c>
      <c r="K62" s="36">
        <f>案件入力!K62</f>
        <v/>
      </c>
      <c r="L62" s="49">
        <f>案件入力!L62</f>
        <v/>
      </c>
      <c r="M62" s="49">
        <f>案件入力!M62</f>
        <v/>
      </c>
      <c r="N62" s="39">
        <f>案件入力!N62</f>
        <v/>
      </c>
      <c r="O62" s="36">
        <f>案件入力!O62</f>
        <v/>
      </c>
      <c r="P62" s="37">
        <f>案件入力!P62</f>
        <v/>
      </c>
      <c r="Q62" s="35">
        <f>案件入力!Q62</f>
        <v/>
      </c>
      <c r="R62" s="35">
        <f>案件入力!R62</f>
        <v/>
      </c>
      <c r="S62" s="35">
        <f>案件入力!S62</f>
        <v/>
      </c>
    </row>
    <row r="63">
      <c r="A63" s="35">
        <f>案件入力!A63</f>
        <v/>
      </c>
      <c r="B63" s="36">
        <f>案件入力!B63</f>
        <v/>
      </c>
      <c r="C63" s="35">
        <f>案件入力!C63</f>
        <v/>
      </c>
      <c r="D63" s="37">
        <f>案件入力!D63</f>
        <v/>
      </c>
      <c r="E63" s="35">
        <f>案件入力!E63</f>
        <v/>
      </c>
      <c r="F63" s="35">
        <f>案件入力!F63</f>
        <v/>
      </c>
      <c r="G63" s="35">
        <f>案件入力!G63</f>
        <v/>
      </c>
      <c r="H63" s="49">
        <f>案件入力!H63</f>
        <v/>
      </c>
      <c r="I63" s="49">
        <f>案件入力!I63</f>
        <v/>
      </c>
      <c r="J63" s="39">
        <f>案件入力!J63</f>
        <v/>
      </c>
      <c r="K63" s="36">
        <f>案件入力!K63</f>
        <v/>
      </c>
      <c r="L63" s="49">
        <f>案件入力!L63</f>
        <v/>
      </c>
      <c r="M63" s="49">
        <f>案件入力!M63</f>
        <v/>
      </c>
      <c r="N63" s="39">
        <f>案件入力!N63</f>
        <v/>
      </c>
      <c r="O63" s="36">
        <f>案件入力!O63</f>
        <v/>
      </c>
      <c r="P63" s="37">
        <f>案件入力!P63</f>
        <v/>
      </c>
      <c r="Q63" s="35">
        <f>案件入力!Q63</f>
        <v/>
      </c>
      <c r="R63" s="35">
        <f>案件入力!R63</f>
        <v/>
      </c>
      <c r="S63" s="35">
        <f>案件入力!S63</f>
        <v/>
      </c>
    </row>
    <row r="64">
      <c r="A64" s="35">
        <f>案件入力!A64</f>
        <v/>
      </c>
      <c r="B64" s="36">
        <f>案件入力!B64</f>
        <v/>
      </c>
      <c r="C64" s="35">
        <f>案件入力!C64</f>
        <v/>
      </c>
      <c r="D64" s="37">
        <f>案件入力!D64</f>
        <v/>
      </c>
      <c r="E64" s="35">
        <f>案件入力!E64</f>
        <v/>
      </c>
      <c r="F64" s="35">
        <f>案件入力!F64</f>
        <v/>
      </c>
      <c r="G64" s="35">
        <f>案件入力!G64</f>
        <v/>
      </c>
      <c r="H64" s="49">
        <f>案件入力!H64</f>
        <v/>
      </c>
      <c r="I64" s="49">
        <f>案件入力!I64</f>
        <v/>
      </c>
      <c r="J64" s="39">
        <f>案件入力!J64</f>
        <v/>
      </c>
      <c r="K64" s="36">
        <f>案件入力!K64</f>
        <v/>
      </c>
      <c r="L64" s="49">
        <f>案件入力!L64</f>
        <v/>
      </c>
      <c r="M64" s="49">
        <f>案件入力!M64</f>
        <v/>
      </c>
      <c r="N64" s="39">
        <f>案件入力!N64</f>
        <v/>
      </c>
      <c r="O64" s="36">
        <f>案件入力!O64</f>
        <v/>
      </c>
      <c r="P64" s="37">
        <f>案件入力!P64</f>
        <v/>
      </c>
      <c r="Q64" s="35">
        <f>案件入力!Q64</f>
        <v/>
      </c>
      <c r="R64" s="35">
        <f>案件入力!R64</f>
        <v/>
      </c>
      <c r="S64" s="35">
        <f>案件入力!S64</f>
        <v/>
      </c>
    </row>
    <row r="65">
      <c r="A65" s="35">
        <f>案件入力!A65</f>
        <v/>
      </c>
      <c r="B65" s="36">
        <f>案件入力!B65</f>
        <v/>
      </c>
      <c r="C65" s="35">
        <f>案件入力!C65</f>
        <v/>
      </c>
      <c r="D65" s="37">
        <f>案件入力!D65</f>
        <v/>
      </c>
      <c r="E65" s="35">
        <f>案件入力!E65</f>
        <v/>
      </c>
      <c r="F65" s="35">
        <f>案件入力!F65</f>
        <v/>
      </c>
      <c r="G65" s="35">
        <f>案件入力!G65</f>
        <v/>
      </c>
      <c r="H65" s="49">
        <f>案件入力!H65</f>
        <v/>
      </c>
      <c r="I65" s="49">
        <f>案件入力!I65</f>
        <v/>
      </c>
      <c r="J65" s="39">
        <f>案件入力!J65</f>
        <v/>
      </c>
      <c r="K65" s="36">
        <f>案件入力!K65</f>
        <v/>
      </c>
      <c r="L65" s="49">
        <f>案件入力!L65</f>
        <v/>
      </c>
      <c r="M65" s="49">
        <f>案件入力!M65</f>
        <v/>
      </c>
      <c r="N65" s="39">
        <f>案件入力!N65</f>
        <v/>
      </c>
      <c r="O65" s="36">
        <f>案件入力!O65</f>
        <v/>
      </c>
      <c r="P65" s="37">
        <f>案件入力!P65</f>
        <v/>
      </c>
      <c r="Q65" s="35">
        <f>案件入力!Q65</f>
        <v/>
      </c>
      <c r="R65" s="35">
        <f>案件入力!R65</f>
        <v/>
      </c>
      <c r="S65" s="35">
        <f>案件入力!S65</f>
        <v/>
      </c>
    </row>
    <row r="66">
      <c r="A66" s="35">
        <f>案件入力!A66</f>
        <v/>
      </c>
      <c r="B66" s="36">
        <f>案件入力!B66</f>
        <v/>
      </c>
      <c r="C66" s="35">
        <f>案件入力!C66</f>
        <v/>
      </c>
      <c r="D66" s="37">
        <f>案件入力!D66</f>
        <v/>
      </c>
      <c r="E66" s="35">
        <f>案件入力!E66</f>
        <v/>
      </c>
      <c r="F66" s="35">
        <f>案件入力!F66</f>
        <v/>
      </c>
      <c r="G66" s="35">
        <f>案件入力!G66</f>
        <v/>
      </c>
      <c r="H66" s="49">
        <f>案件入力!H66</f>
        <v/>
      </c>
      <c r="I66" s="49">
        <f>案件入力!I66</f>
        <v/>
      </c>
      <c r="J66" s="39">
        <f>案件入力!J66</f>
        <v/>
      </c>
      <c r="K66" s="36">
        <f>案件入力!K66</f>
        <v/>
      </c>
      <c r="L66" s="49">
        <f>案件入力!L66</f>
        <v/>
      </c>
      <c r="M66" s="49">
        <f>案件入力!M66</f>
        <v/>
      </c>
      <c r="N66" s="39">
        <f>案件入力!N66</f>
        <v/>
      </c>
      <c r="O66" s="36">
        <f>案件入力!O66</f>
        <v/>
      </c>
      <c r="P66" s="37">
        <f>案件入力!P66</f>
        <v/>
      </c>
      <c r="Q66" s="35">
        <f>案件入力!Q66</f>
        <v/>
      </c>
      <c r="R66" s="35">
        <f>案件入力!R66</f>
        <v/>
      </c>
      <c r="S66" s="35">
        <f>案件入力!S66</f>
        <v/>
      </c>
    </row>
    <row r="67">
      <c r="A67" s="35">
        <f>案件入力!A67</f>
        <v/>
      </c>
      <c r="B67" s="36">
        <f>案件入力!B67</f>
        <v/>
      </c>
      <c r="C67" s="35">
        <f>案件入力!C67</f>
        <v/>
      </c>
      <c r="D67" s="37">
        <f>案件入力!D67</f>
        <v/>
      </c>
      <c r="E67" s="35">
        <f>案件入力!E67</f>
        <v/>
      </c>
      <c r="F67" s="35">
        <f>案件入力!F67</f>
        <v/>
      </c>
      <c r="G67" s="35">
        <f>案件入力!G67</f>
        <v/>
      </c>
      <c r="H67" s="49">
        <f>案件入力!H67</f>
        <v/>
      </c>
      <c r="I67" s="49">
        <f>案件入力!I67</f>
        <v/>
      </c>
      <c r="J67" s="39">
        <f>案件入力!J67</f>
        <v/>
      </c>
      <c r="K67" s="36">
        <f>案件入力!K67</f>
        <v/>
      </c>
      <c r="L67" s="49">
        <f>案件入力!L67</f>
        <v/>
      </c>
      <c r="M67" s="49">
        <f>案件入力!M67</f>
        <v/>
      </c>
      <c r="N67" s="39">
        <f>案件入力!N67</f>
        <v/>
      </c>
      <c r="O67" s="36">
        <f>案件入力!O67</f>
        <v/>
      </c>
      <c r="P67" s="37">
        <f>案件入力!P67</f>
        <v/>
      </c>
      <c r="Q67" s="35">
        <f>案件入力!Q67</f>
        <v/>
      </c>
      <c r="R67" s="35">
        <f>案件入力!R67</f>
        <v/>
      </c>
      <c r="S67" s="35">
        <f>案件入力!S67</f>
        <v/>
      </c>
    </row>
    <row r="68">
      <c r="A68" s="35">
        <f>案件入力!A68</f>
        <v/>
      </c>
      <c r="B68" s="36">
        <f>案件入力!B68</f>
        <v/>
      </c>
      <c r="C68" s="35">
        <f>案件入力!C68</f>
        <v/>
      </c>
      <c r="D68" s="37">
        <f>案件入力!D68</f>
        <v/>
      </c>
      <c r="E68" s="35">
        <f>案件入力!E68</f>
        <v/>
      </c>
      <c r="F68" s="35">
        <f>案件入力!F68</f>
        <v/>
      </c>
      <c r="G68" s="35">
        <f>案件入力!G68</f>
        <v/>
      </c>
      <c r="H68" s="49">
        <f>案件入力!H68</f>
        <v/>
      </c>
      <c r="I68" s="49">
        <f>案件入力!I68</f>
        <v/>
      </c>
      <c r="J68" s="39">
        <f>案件入力!J68</f>
        <v/>
      </c>
      <c r="K68" s="36">
        <f>案件入力!K68</f>
        <v/>
      </c>
      <c r="L68" s="49">
        <f>案件入力!L68</f>
        <v/>
      </c>
      <c r="M68" s="49">
        <f>案件入力!M68</f>
        <v/>
      </c>
      <c r="N68" s="39">
        <f>案件入力!N68</f>
        <v/>
      </c>
      <c r="O68" s="36">
        <f>案件入力!O68</f>
        <v/>
      </c>
      <c r="P68" s="37">
        <f>案件入力!P68</f>
        <v/>
      </c>
      <c r="Q68" s="35">
        <f>案件入力!Q68</f>
        <v/>
      </c>
      <c r="R68" s="35">
        <f>案件入力!R68</f>
        <v/>
      </c>
      <c r="S68" s="35">
        <f>案件入力!S68</f>
        <v/>
      </c>
    </row>
    <row r="69">
      <c r="A69" s="35">
        <f>案件入力!A69</f>
        <v/>
      </c>
      <c r="B69" s="36">
        <f>案件入力!B69</f>
        <v/>
      </c>
      <c r="C69" s="35">
        <f>案件入力!C69</f>
        <v/>
      </c>
      <c r="D69" s="37">
        <f>案件入力!D69</f>
        <v/>
      </c>
      <c r="E69" s="35">
        <f>案件入力!E69</f>
        <v/>
      </c>
      <c r="F69" s="35">
        <f>案件入力!F69</f>
        <v/>
      </c>
      <c r="G69" s="35">
        <f>案件入力!G69</f>
        <v/>
      </c>
      <c r="H69" s="49">
        <f>案件入力!H69</f>
        <v/>
      </c>
      <c r="I69" s="49">
        <f>案件入力!I69</f>
        <v/>
      </c>
      <c r="J69" s="39">
        <f>案件入力!J69</f>
        <v/>
      </c>
      <c r="K69" s="36">
        <f>案件入力!K69</f>
        <v/>
      </c>
      <c r="L69" s="49">
        <f>案件入力!L69</f>
        <v/>
      </c>
      <c r="M69" s="49">
        <f>案件入力!M69</f>
        <v/>
      </c>
      <c r="N69" s="39">
        <f>案件入力!N69</f>
        <v/>
      </c>
      <c r="O69" s="36">
        <f>案件入力!O69</f>
        <v/>
      </c>
      <c r="P69" s="37">
        <f>案件入力!P69</f>
        <v/>
      </c>
      <c r="Q69" s="35">
        <f>案件入力!Q69</f>
        <v/>
      </c>
      <c r="R69" s="35">
        <f>案件入力!R69</f>
        <v/>
      </c>
      <c r="S69" s="35">
        <f>案件入力!S69</f>
        <v/>
      </c>
    </row>
    <row r="70">
      <c r="A70" s="35">
        <f>案件入力!A70</f>
        <v/>
      </c>
      <c r="B70" s="36">
        <f>案件入力!B70</f>
        <v/>
      </c>
      <c r="C70" s="35">
        <f>案件入力!C70</f>
        <v/>
      </c>
      <c r="D70" s="37">
        <f>案件入力!D70</f>
        <v/>
      </c>
      <c r="E70" s="35">
        <f>案件入力!E70</f>
        <v/>
      </c>
      <c r="F70" s="35">
        <f>案件入力!F70</f>
        <v/>
      </c>
      <c r="G70" s="35">
        <f>案件入力!G70</f>
        <v/>
      </c>
      <c r="H70" s="49">
        <f>案件入力!H70</f>
        <v/>
      </c>
      <c r="I70" s="49">
        <f>案件入力!I70</f>
        <v/>
      </c>
      <c r="J70" s="39">
        <f>案件入力!J70</f>
        <v/>
      </c>
      <c r="K70" s="36">
        <f>案件入力!K70</f>
        <v/>
      </c>
      <c r="L70" s="49">
        <f>案件入力!L70</f>
        <v/>
      </c>
      <c r="M70" s="49">
        <f>案件入力!M70</f>
        <v/>
      </c>
      <c r="N70" s="39">
        <f>案件入力!N70</f>
        <v/>
      </c>
      <c r="O70" s="36">
        <f>案件入力!O70</f>
        <v/>
      </c>
      <c r="P70" s="37">
        <f>案件入力!P70</f>
        <v/>
      </c>
      <c r="Q70" s="35">
        <f>案件入力!Q70</f>
        <v/>
      </c>
      <c r="R70" s="35">
        <f>案件入力!R70</f>
        <v/>
      </c>
      <c r="S70" s="35">
        <f>案件入力!S70</f>
        <v/>
      </c>
    </row>
    <row r="71">
      <c r="A71" s="35">
        <f>案件入力!A71</f>
        <v/>
      </c>
      <c r="B71" s="36">
        <f>案件入力!B71</f>
        <v/>
      </c>
      <c r="C71" s="35">
        <f>案件入力!C71</f>
        <v/>
      </c>
      <c r="D71" s="37">
        <f>案件入力!D71</f>
        <v/>
      </c>
      <c r="E71" s="35">
        <f>案件入力!E71</f>
        <v/>
      </c>
      <c r="F71" s="35">
        <f>案件入力!F71</f>
        <v/>
      </c>
      <c r="G71" s="35">
        <f>案件入力!G71</f>
        <v/>
      </c>
      <c r="H71" s="49">
        <f>案件入力!H71</f>
        <v/>
      </c>
      <c r="I71" s="49">
        <f>案件入力!I71</f>
        <v/>
      </c>
      <c r="J71" s="39">
        <f>案件入力!J71</f>
        <v/>
      </c>
      <c r="K71" s="36">
        <f>案件入力!K71</f>
        <v/>
      </c>
      <c r="L71" s="49">
        <f>案件入力!L71</f>
        <v/>
      </c>
      <c r="M71" s="49">
        <f>案件入力!M71</f>
        <v/>
      </c>
      <c r="N71" s="39">
        <f>案件入力!N71</f>
        <v/>
      </c>
      <c r="O71" s="36">
        <f>案件入力!O71</f>
        <v/>
      </c>
      <c r="P71" s="37">
        <f>案件入力!P71</f>
        <v/>
      </c>
      <c r="Q71" s="35">
        <f>案件入力!Q71</f>
        <v/>
      </c>
      <c r="R71" s="35">
        <f>案件入力!R71</f>
        <v/>
      </c>
      <c r="S71" s="35">
        <f>案件入力!S71</f>
        <v/>
      </c>
    </row>
    <row r="72">
      <c r="A72" s="35">
        <f>案件入力!A72</f>
        <v/>
      </c>
      <c r="B72" s="36">
        <f>案件入力!B72</f>
        <v/>
      </c>
      <c r="C72" s="35">
        <f>案件入力!C72</f>
        <v/>
      </c>
      <c r="D72" s="37">
        <f>案件入力!D72</f>
        <v/>
      </c>
      <c r="E72" s="35">
        <f>案件入力!E72</f>
        <v/>
      </c>
      <c r="F72" s="35">
        <f>案件入力!F72</f>
        <v/>
      </c>
      <c r="G72" s="35">
        <f>案件入力!G72</f>
        <v/>
      </c>
      <c r="H72" s="49">
        <f>案件入力!H72</f>
        <v/>
      </c>
      <c r="I72" s="49">
        <f>案件入力!I72</f>
        <v/>
      </c>
      <c r="J72" s="39">
        <f>案件入力!J72</f>
        <v/>
      </c>
      <c r="K72" s="36">
        <f>案件入力!K72</f>
        <v/>
      </c>
      <c r="L72" s="49">
        <f>案件入力!L72</f>
        <v/>
      </c>
      <c r="M72" s="49">
        <f>案件入力!M72</f>
        <v/>
      </c>
      <c r="N72" s="39">
        <f>案件入力!N72</f>
        <v/>
      </c>
      <c r="O72" s="36">
        <f>案件入力!O72</f>
        <v/>
      </c>
      <c r="P72" s="37">
        <f>案件入力!P72</f>
        <v/>
      </c>
      <c r="Q72" s="35">
        <f>案件入力!Q72</f>
        <v/>
      </c>
      <c r="R72" s="35">
        <f>案件入力!R72</f>
        <v/>
      </c>
      <c r="S72" s="35">
        <f>案件入力!S72</f>
        <v/>
      </c>
    </row>
    <row r="73">
      <c r="A73" s="35">
        <f>案件入力!A73</f>
        <v/>
      </c>
      <c r="B73" s="36">
        <f>案件入力!B73</f>
        <v/>
      </c>
      <c r="C73" s="35">
        <f>案件入力!C73</f>
        <v/>
      </c>
      <c r="D73" s="37">
        <f>案件入力!D73</f>
        <v/>
      </c>
      <c r="E73" s="35">
        <f>案件入力!E73</f>
        <v/>
      </c>
      <c r="F73" s="35">
        <f>案件入力!F73</f>
        <v/>
      </c>
      <c r="G73" s="35">
        <f>案件入力!G73</f>
        <v/>
      </c>
      <c r="H73" s="49">
        <f>案件入力!H73</f>
        <v/>
      </c>
      <c r="I73" s="49">
        <f>案件入力!I73</f>
        <v/>
      </c>
      <c r="J73" s="39">
        <f>案件入力!J73</f>
        <v/>
      </c>
      <c r="K73" s="36">
        <f>案件入力!K73</f>
        <v/>
      </c>
      <c r="L73" s="49">
        <f>案件入力!L73</f>
        <v/>
      </c>
      <c r="M73" s="49">
        <f>案件入力!M73</f>
        <v/>
      </c>
      <c r="N73" s="39">
        <f>案件入力!N73</f>
        <v/>
      </c>
      <c r="O73" s="36">
        <f>案件入力!O73</f>
        <v/>
      </c>
      <c r="P73" s="37">
        <f>案件入力!P73</f>
        <v/>
      </c>
      <c r="Q73" s="35">
        <f>案件入力!Q73</f>
        <v/>
      </c>
      <c r="R73" s="35">
        <f>案件入力!R73</f>
        <v/>
      </c>
      <c r="S73" s="35">
        <f>案件入力!S73</f>
        <v/>
      </c>
    </row>
    <row r="74">
      <c r="A74" s="35">
        <f>案件入力!A74</f>
        <v/>
      </c>
      <c r="B74" s="36">
        <f>案件入力!B74</f>
        <v/>
      </c>
      <c r="C74" s="35">
        <f>案件入力!C74</f>
        <v/>
      </c>
      <c r="D74" s="37">
        <f>案件入力!D74</f>
        <v/>
      </c>
      <c r="E74" s="35">
        <f>案件入力!E74</f>
        <v/>
      </c>
      <c r="F74" s="35">
        <f>案件入力!F74</f>
        <v/>
      </c>
      <c r="G74" s="35">
        <f>案件入力!G74</f>
        <v/>
      </c>
      <c r="H74" s="49">
        <f>案件入力!H74</f>
        <v/>
      </c>
      <c r="I74" s="49">
        <f>案件入力!I74</f>
        <v/>
      </c>
      <c r="J74" s="39">
        <f>案件入力!J74</f>
        <v/>
      </c>
      <c r="K74" s="36">
        <f>案件入力!K74</f>
        <v/>
      </c>
      <c r="L74" s="49">
        <f>案件入力!L74</f>
        <v/>
      </c>
      <c r="M74" s="49">
        <f>案件入力!M74</f>
        <v/>
      </c>
      <c r="N74" s="39">
        <f>案件入力!N74</f>
        <v/>
      </c>
      <c r="O74" s="36">
        <f>案件入力!O74</f>
        <v/>
      </c>
      <c r="P74" s="37">
        <f>案件入力!P74</f>
        <v/>
      </c>
      <c r="Q74" s="35">
        <f>案件入力!Q74</f>
        <v/>
      </c>
      <c r="R74" s="35">
        <f>案件入力!R74</f>
        <v/>
      </c>
      <c r="S74" s="35">
        <f>案件入力!S74</f>
        <v/>
      </c>
    </row>
    <row r="75">
      <c r="A75" s="35">
        <f>案件入力!A75</f>
        <v/>
      </c>
      <c r="B75" s="36">
        <f>案件入力!B75</f>
        <v/>
      </c>
      <c r="C75" s="35">
        <f>案件入力!C75</f>
        <v/>
      </c>
      <c r="D75" s="37">
        <f>案件入力!D75</f>
        <v/>
      </c>
      <c r="E75" s="35">
        <f>案件入力!E75</f>
        <v/>
      </c>
      <c r="F75" s="35">
        <f>案件入力!F75</f>
        <v/>
      </c>
      <c r="G75" s="35">
        <f>案件入力!G75</f>
        <v/>
      </c>
      <c r="H75" s="49">
        <f>案件入力!H75</f>
        <v/>
      </c>
      <c r="I75" s="49">
        <f>案件入力!I75</f>
        <v/>
      </c>
      <c r="J75" s="39">
        <f>案件入力!J75</f>
        <v/>
      </c>
      <c r="K75" s="36">
        <f>案件入力!K75</f>
        <v/>
      </c>
      <c r="L75" s="49">
        <f>案件入力!L75</f>
        <v/>
      </c>
      <c r="M75" s="49">
        <f>案件入力!M75</f>
        <v/>
      </c>
      <c r="N75" s="39">
        <f>案件入力!N75</f>
        <v/>
      </c>
      <c r="O75" s="36">
        <f>案件入力!O75</f>
        <v/>
      </c>
      <c r="P75" s="37">
        <f>案件入力!P75</f>
        <v/>
      </c>
      <c r="Q75" s="35">
        <f>案件入力!Q75</f>
        <v/>
      </c>
      <c r="R75" s="35">
        <f>案件入力!R75</f>
        <v/>
      </c>
      <c r="S75" s="35">
        <f>案件入力!S75</f>
        <v/>
      </c>
    </row>
    <row r="76">
      <c r="A76" s="35">
        <f>案件入力!A76</f>
        <v/>
      </c>
      <c r="B76" s="36">
        <f>案件入力!B76</f>
        <v/>
      </c>
      <c r="C76" s="35">
        <f>案件入力!C76</f>
        <v/>
      </c>
      <c r="D76" s="37">
        <f>案件入力!D76</f>
        <v/>
      </c>
      <c r="E76" s="35">
        <f>案件入力!E76</f>
        <v/>
      </c>
      <c r="F76" s="35">
        <f>案件入力!F76</f>
        <v/>
      </c>
      <c r="G76" s="35">
        <f>案件入力!G76</f>
        <v/>
      </c>
      <c r="H76" s="49">
        <f>案件入力!H76</f>
        <v/>
      </c>
      <c r="I76" s="49">
        <f>案件入力!I76</f>
        <v/>
      </c>
      <c r="J76" s="39">
        <f>案件入力!J76</f>
        <v/>
      </c>
      <c r="K76" s="36">
        <f>案件入力!K76</f>
        <v/>
      </c>
      <c r="L76" s="49">
        <f>案件入力!L76</f>
        <v/>
      </c>
      <c r="M76" s="49">
        <f>案件入力!M76</f>
        <v/>
      </c>
      <c r="N76" s="39">
        <f>案件入力!N76</f>
        <v/>
      </c>
      <c r="O76" s="36">
        <f>案件入力!O76</f>
        <v/>
      </c>
      <c r="P76" s="37">
        <f>案件入力!P76</f>
        <v/>
      </c>
      <c r="Q76" s="35">
        <f>案件入力!Q76</f>
        <v/>
      </c>
      <c r="R76" s="35">
        <f>案件入力!R76</f>
        <v/>
      </c>
      <c r="S76" s="35">
        <f>案件入力!S76</f>
        <v/>
      </c>
    </row>
    <row r="77">
      <c r="A77" s="35">
        <f>案件入力!A77</f>
        <v/>
      </c>
      <c r="B77" s="36">
        <f>案件入力!B77</f>
        <v/>
      </c>
      <c r="C77" s="35">
        <f>案件入力!C77</f>
        <v/>
      </c>
      <c r="D77" s="37">
        <f>案件入力!D77</f>
        <v/>
      </c>
      <c r="E77" s="35">
        <f>案件入力!E77</f>
        <v/>
      </c>
      <c r="F77" s="35">
        <f>案件入力!F77</f>
        <v/>
      </c>
      <c r="G77" s="35">
        <f>案件入力!G77</f>
        <v/>
      </c>
      <c r="H77" s="49">
        <f>案件入力!H77</f>
        <v/>
      </c>
      <c r="I77" s="49">
        <f>案件入力!I77</f>
        <v/>
      </c>
      <c r="J77" s="39">
        <f>案件入力!J77</f>
        <v/>
      </c>
      <c r="K77" s="36">
        <f>案件入力!K77</f>
        <v/>
      </c>
      <c r="L77" s="49">
        <f>案件入力!L77</f>
        <v/>
      </c>
      <c r="M77" s="49">
        <f>案件入力!M77</f>
        <v/>
      </c>
      <c r="N77" s="39">
        <f>案件入力!N77</f>
        <v/>
      </c>
      <c r="O77" s="36">
        <f>案件入力!O77</f>
        <v/>
      </c>
      <c r="P77" s="37">
        <f>案件入力!P77</f>
        <v/>
      </c>
      <c r="Q77" s="35">
        <f>案件入力!Q77</f>
        <v/>
      </c>
      <c r="R77" s="35">
        <f>案件入力!R77</f>
        <v/>
      </c>
      <c r="S77" s="35">
        <f>案件入力!S77</f>
        <v/>
      </c>
    </row>
    <row r="78">
      <c r="A78" s="35">
        <f>案件入力!A78</f>
        <v/>
      </c>
      <c r="B78" s="36">
        <f>案件入力!B78</f>
        <v/>
      </c>
      <c r="C78" s="35">
        <f>案件入力!C78</f>
        <v/>
      </c>
      <c r="D78" s="37">
        <f>案件入力!D78</f>
        <v/>
      </c>
      <c r="E78" s="35">
        <f>案件入力!E78</f>
        <v/>
      </c>
      <c r="F78" s="35">
        <f>案件入力!F78</f>
        <v/>
      </c>
      <c r="G78" s="35">
        <f>案件入力!G78</f>
        <v/>
      </c>
      <c r="H78" s="49">
        <f>案件入力!H78</f>
        <v/>
      </c>
      <c r="I78" s="49">
        <f>案件入力!I78</f>
        <v/>
      </c>
      <c r="J78" s="39">
        <f>案件入力!J78</f>
        <v/>
      </c>
      <c r="K78" s="36">
        <f>案件入力!K78</f>
        <v/>
      </c>
      <c r="L78" s="49">
        <f>案件入力!L78</f>
        <v/>
      </c>
      <c r="M78" s="49">
        <f>案件入力!M78</f>
        <v/>
      </c>
      <c r="N78" s="39">
        <f>案件入力!N78</f>
        <v/>
      </c>
      <c r="O78" s="36">
        <f>案件入力!O78</f>
        <v/>
      </c>
      <c r="P78" s="37">
        <f>案件入力!P78</f>
        <v/>
      </c>
      <c r="Q78" s="35">
        <f>案件入力!Q78</f>
        <v/>
      </c>
      <c r="R78" s="35">
        <f>案件入力!R78</f>
        <v/>
      </c>
      <c r="S78" s="35">
        <f>案件入力!S78</f>
        <v/>
      </c>
    </row>
    <row r="79">
      <c r="A79" s="35">
        <f>案件入力!A79</f>
        <v/>
      </c>
      <c r="B79" s="36">
        <f>案件入力!B79</f>
        <v/>
      </c>
      <c r="C79" s="35">
        <f>案件入力!C79</f>
        <v/>
      </c>
      <c r="D79" s="37">
        <f>案件入力!D79</f>
        <v/>
      </c>
      <c r="E79" s="35">
        <f>案件入力!E79</f>
        <v/>
      </c>
      <c r="F79" s="35">
        <f>案件入力!F79</f>
        <v/>
      </c>
      <c r="G79" s="35">
        <f>案件入力!G79</f>
        <v/>
      </c>
      <c r="H79" s="49">
        <f>案件入力!H79</f>
        <v/>
      </c>
      <c r="I79" s="49">
        <f>案件入力!I79</f>
        <v/>
      </c>
      <c r="J79" s="39">
        <f>案件入力!J79</f>
        <v/>
      </c>
      <c r="K79" s="36">
        <f>案件入力!K79</f>
        <v/>
      </c>
      <c r="L79" s="49">
        <f>案件入力!L79</f>
        <v/>
      </c>
      <c r="M79" s="49">
        <f>案件入力!M79</f>
        <v/>
      </c>
      <c r="N79" s="39">
        <f>案件入力!N79</f>
        <v/>
      </c>
      <c r="O79" s="36">
        <f>案件入力!O79</f>
        <v/>
      </c>
      <c r="P79" s="37">
        <f>案件入力!P79</f>
        <v/>
      </c>
      <c r="Q79" s="35">
        <f>案件入力!Q79</f>
        <v/>
      </c>
      <c r="R79" s="35">
        <f>案件入力!R79</f>
        <v/>
      </c>
      <c r="S79" s="35">
        <f>案件入力!S79</f>
        <v/>
      </c>
    </row>
    <row r="80">
      <c r="A80" s="35">
        <f>案件入力!A80</f>
        <v/>
      </c>
      <c r="B80" s="36">
        <f>案件入力!B80</f>
        <v/>
      </c>
      <c r="C80" s="35">
        <f>案件入力!C80</f>
        <v/>
      </c>
      <c r="D80" s="37">
        <f>案件入力!D80</f>
        <v/>
      </c>
      <c r="E80" s="35">
        <f>案件入力!E80</f>
        <v/>
      </c>
      <c r="F80" s="35">
        <f>案件入力!F80</f>
        <v/>
      </c>
      <c r="G80" s="35">
        <f>案件入力!G80</f>
        <v/>
      </c>
      <c r="H80" s="49">
        <f>案件入力!H80</f>
        <v/>
      </c>
      <c r="I80" s="49">
        <f>案件入力!I80</f>
        <v/>
      </c>
      <c r="J80" s="39">
        <f>案件入力!J80</f>
        <v/>
      </c>
      <c r="K80" s="36">
        <f>案件入力!K80</f>
        <v/>
      </c>
      <c r="L80" s="49">
        <f>案件入力!L80</f>
        <v/>
      </c>
      <c r="M80" s="49">
        <f>案件入力!M80</f>
        <v/>
      </c>
      <c r="N80" s="39">
        <f>案件入力!N80</f>
        <v/>
      </c>
      <c r="O80" s="36">
        <f>案件入力!O80</f>
        <v/>
      </c>
      <c r="P80" s="37">
        <f>案件入力!P80</f>
        <v/>
      </c>
      <c r="Q80" s="35">
        <f>案件入力!Q80</f>
        <v/>
      </c>
      <c r="R80" s="35">
        <f>案件入力!R80</f>
        <v/>
      </c>
      <c r="S80" s="35">
        <f>案件入力!S80</f>
        <v/>
      </c>
    </row>
    <row r="81">
      <c r="A81" s="35">
        <f>案件入力!A81</f>
        <v/>
      </c>
      <c r="B81" s="36">
        <f>案件入力!B81</f>
        <v/>
      </c>
      <c r="C81" s="35">
        <f>案件入力!C81</f>
        <v/>
      </c>
      <c r="D81" s="37">
        <f>案件入力!D81</f>
        <v/>
      </c>
      <c r="E81" s="35">
        <f>案件入力!E81</f>
        <v/>
      </c>
      <c r="F81" s="35">
        <f>案件入力!F81</f>
        <v/>
      </c>
      <c r="G81" s="35">
        <f>案件入力!G81</f>
        <v/>
      </c>
      <c r="H81" s="49">
        <f>案件入力!H81</f>
        <v/>
      </c>
      <c r="I81" s="49">
        <f>案件入力!I81</f>
        <v/>
      </c>
      <c r="J81" s="39">
        <f>案件入力!J81</f>
        <v/>
      </c>
      <c r="K81" s="36">
        <f>案件入力!K81</f>
        <v/>
      </c>
      <c r="L81" s="49">
        <f>案件入力!L81</f>
        <v/>
      </c>
      <c r="M81" s="49">
        <f>案件入力!M81</f>
        <v/>
      </c>
      <c r="N81" s="39">
        <f>案件入力!N81</f>
        <v/>
      </c>
      <c r="O81" s="36">
        <f>案件入力!O81</f>
        <v/>
      </c>
      <c r="P81" s="37">
        <f>案件入力!P81</f>
        <v/>
      </c>
      <c r="Q81" s="35">
        <f>案件入力!Q81</f>
        <v/>
      </c>
      <c r="R81" s="35">
        <f>案件入力!R81</f>
        <v/>
      </c>
      <c r="S81" s="35">
        <f>案件入力!S81</f>
        <v/>
      </c>
    </row>
    <row r="82">
      <c r="A82" s="35">
        <f>案件入力!A82</f>
        <v/>
      </c>
      <c r="B82" s="36">
        <f>案件入力!B82</f>
        <v/>
      </c>
      <c r="C82" s="35">
        <f>案件入力!C82</f>
        <v/>
      </c>
      <c r="D82" s="37">
        <f>案件入力!D82</f>
        <v/>
      </c>
      <c r="E82" s="35">
        <f>案件入力!E82</f>
        <v/>
      </c>
      <c r="F82" s="35">
        <f>案件入力!F82</f>
        <v/>
      </c>
      <c r="G82" s="35">
        <f>案件入力!G82</f>
        <v/>
      </c>
      <c r="H82" s="49">
        <f>案件入力!H82</f>
        <v/>
      </c>
      <c r="I82" s="49">
        <f>案件入力!I82</f>
        <v/>
      </c>
      <c r="J82" s="39">
        <f>案件入力!J82</f>
        <v/>
      </c>
      <c r="K82" s="36">
        <f>案件入力!K82</f>
        <v/>
      </c>
      <c r="L82" s="49">
        <f>案件入力!L82</f>
        <v/>
      </c>
      <c r="M82" s="49">
        <f>案件入力!M82</f>
        <v/>
      </c>
      <c r="N82" s="39">
        <f>案件入力!N82</f>
        <v/>
      </c>
      <c r="O82" s="36">
        <f>案件入力!O82</f>
        <v/>
      </c>
      <c r="P82" s="37">
        <f>案件入力!P82</f>
        <v/>
      </c>
      <c r="Q82" s="35">
        <f>案件入力!Q82</f>
        <v/>
      </c>
      <c r="R82" s="35">
        <f>案件入力!R82</f>
        <v/>
      </c>
      <c r="S82" s="35">
        <f>案件入力!S82</f>
        <v/>
      </c>
    </row>
    <row r="83">
      <c r="A83" s="35">
        <f>案件入力!A83</f>
        <v/>
      </c>
      <c r="B83" s="36">
        <f>案件入力!B83</f>
        <v/>
      </c>
      <c r="C83" s="35">
        <f>案件入力!C83</f>
        <v/>
      </c>
      <c r="D83" s="37">
        <f>案件入力!D83</f>
        <v/>
      </c>
      <c r="E83" s="35">
        <f>案件入力!E83</f>
        <v/>
      </c>
      <c r="F83" s="35">
        <f>案件入力!F83</f>
        <v/>
      </c>
      <c r="G83" s="35">
        <f>案件入力!G83</f>
        <v/>
      </c>
      <c r="H83" s="49">
        <f>案件入力!H83</f>
        <v/>
      </c>
      <c r="I83" s="49">
        <f>案件入力!I83</f>
        <v/>
      </c>
      <c r="J83" s="39">
        <f>案件入力!J83</f>
        <v/>
      </c>
      <c r="K83" s="36">
        <f>案件入力!K83</f>
        <v/>
      </c>
      <c r="L83" s="49">
        <f>案件入力!L83</f>
        <v/>
      </c>
      <c r="M83" s="49">
        <f>案件入力!M83</f>
        <v/>
      </c>
      <c r="N83" s="39">
        <f>案件入力!N83</f>
        <v/>
      </c>
      <c r="O83" s="36">
        <f>案件入力!O83</f>
        <v/>
      </c>
      <c r="P83" s="37">
        <f>案件入力!P83</f>
        <v/>
      </c>
      <c r="Q83" s="35">
        <f>案件入力!Q83</f>
        <v/>
      </c>
      <c r="R83" s="35">
        <f>案件入力!R83</f>
        <v/>
      </c>
      <c r="S83" s="35">
        <f>案件入力!S83</f>
        <v/>
      </c>
    </row>
    <row r="84">
      <c r="A84" s="35">
        <f>案件入力!A84</f>
        <v/>
      </c>
      <c r="B84" s="36">
        <f>案件入力!B84</f>
        <v/>
      </c>
      <c r="C84" s="35">
        <f>案件入力!C84</f>
        <v/>
      </c>
      <c r="D84" s="37">
        <f>案件入力!D84</f>
        <v/>
      </c>
      <c r="E84" s="35">
        <f>案件入力!E84</f>
        <v/>
      </c>
      <c r="F84" s="35">
        <f>案件入力!F84</f>
        <v/>
      </c>
      <c r="G84" s="35">
        <f>案件入力!G84</f>
        <v/>
      </c>
      <c r="H84" s="49">
        <f>案件入力!H84</f>
        <v/>
      </c>
      <c r="I84" s="49">
        <f>案件入力!I84</f>
        <v/>
      </c>
      <c r="J84" s="39">
        <f>案件入力!J84</f>
        <v/>
      </c>
      <c r="K84" s="36">
        <f>案件入力!K84</f>
        <v/>
      </c>
      <c r="L84" s="49">
        <f>案件入力!L84</f>
        <v/>
      </c>
      <c r="M84" s="49">
        <f>案件入力!M84</f>
        <v/>
      </c>
      <c r="N84" s="39">
        <f>案件入力!N84</f>
        <v/>
      </c>
      <c r="O84" s="36">
        <f>案件入力!O84</f>
        <v/>
      </c>
      <c r="P84" s="37">
        <f>案件入力!P84</f>
        <v/>
      </c>
      <c r="Q84" s="35">
        <f>案件入力!Q84</f>
        <v/>
      </c>
      <c r="R84" s="35">
        <f>案件入力!R84</f>
        <v/>
      </c>
      <c r="S84" s="35">
        <f>案件入力!S84</f>
        <v/>
      </c>
    </row>
    <row r="85">
      <c r="A85" s="35">
        <f>案件入力!A85</f>
        <v/>
      </c>
      <c r="B85" s="36">
        <f>案件入力!B85</f>
        <v/>
      </c>
      <c r="C85" s="35">
        <f>案件入力!C85</f>
        <v/>
      </c>
      <c r="D85" s="37">
        <f>案件入力!D85</f>
        <v/>
      </c>
      <c r="E85" s="35">
        <f>案件入力!E85</f>
        <v/>
      </c>
      <c r="F85" s="35">
        <f>案件入力!F85</f>
        <v/>
      </c>
      <c r="G85" s="35">
        <f>案件入力!G85</f>
        <v/>
      </c>
      <c r="H85" s="49">
        <f>案件入力!H85</f>
        <v/>
      </c>
      <c r="I85" s="49">
        <f>案件入力!I85</f>
        <v/>
      </c>
      <c r="J85" s="39">
        <f>案件入力!J85</f>
        <v/>
      </c>
      <c r="K85" s="36">
        <f>案件入力!K85</f>
        <v/>
      </c>
      <c r="L85" s="49">
        <f>案件入力!L85</f>
        <v/>
      </c>
      <c r="M85" s="49">
        <f>案件入力!M85</f>
        <v/>
      </c>
      <c r="N85" s="39">
        <f>案件入力!N85</f>
        <v/>
      </c>
      <c r="O85" s="36">
        <f>案件入力!O85</f>
        <v/>
      </c>
      <c r="P85" s="37">
        <f>案件入力!P85</f>
        <v/>
      </c>
      <c r="Q85" s="35">
        <f>案件入力!Q85</f>
        <v/>
      </c>
      <c r="R85" s="35">
        <f>案件入力!R85</f>
        <v/>
      </c>
      <c r="S85" s="35">
        <f>案件入力!S85</f>
        <v/>
      </c>
    </row>
    <row r="86">
      <c r="A86" s="35">
        <f>案件入力!A86</f>
        <v/>
      </c>
      <c r="B86" s="36">
        <f>案件入力!B86</f>
        <v/>
      </c>
      <c r="C86" s="35">
        <f>案件入力!C86</f>
        <v/>
      </c>
      <c r="D86" s="37">
        <f>案件入力!D86</f>
        <v/>
      </c>
      <c r="E86" s="35">
        <f>案件入力!E86</f>
        <v/>
      </c>
      <c r="F86" s="35">
        <f>案件入力!F86</f>
        <v/>
      </c>
      <c r="G86" s="35">
        <f>案件入力!G86</f>
        <v/>
      </c>
      <c r="H86" s="49">
        <f>案件入力!H86</f>
        <v/>
      </c>
      <c r="I86" s="49">
        <f>案件入力!I86</f>
        <v/>
      </c>
      <c r="J86" s="39">
        <f>案件入力!J86</f>
        <v/>
      </c>
      <c r="K86" s="36">
        <f>案件入力!K86</f>
        <v/>
      </c>
      <c r="L86" s="49">
        <f>案件入力!L86</f>
        <v/>
      </c>
      <c r="M86" s="49">
        <f>案件入力!M86</f>
        <v/>
      </c>
      <c r="N86" s="39">
        <f>案件入力!N86</f>
        <v/>
      </c>
      <c r="O86" s="36">
        <f>案件入力!O86</f>
        <v/>
      </c>
      <c r="P86" s="37">
        <f>案件入力!P86</f>
        <v/>
      </c>
      <c r="Q86" s="35">
        <f>案件入力!Q86</f>
        <v/>
      </c>
      <c r="R86" s="35">
        <f>案件入力!R86</f>
        <v/>
      </c>
      <c r="S86" s="35">
        <f>案件入力!S86</f>
        <v/>
      </c>
    </row>
    <row r="87">
      <c r="A87" s="35">
        <f>案件入力!A87</f>
        <v/>
      </c>
      <c r="B87" s="36">
        <f>案件入力!B87</f>
        <v/>
      </c>
      <c r="C87" s="35">
        <f>案件入力!C87</f>
        <v/>
      </c>
      <c r="D87" s="37">
        <f>案件入力!D87</f>
        <v/>
      </c>
      <c r="E87" s="35">
        <f>案件入力!E87</f>
        <v/>
      </c>
      <c r="F87" s="35">
        <f>案件入力!F87</f>
        <v/>
      </c>
      <c r="G87" s="35">
        <f>案件入力!G87</f>
        <v/>
      </c>
      <c r="H87" s="49">
        <f>案件入力!H87</f>
        <v/>
      </c>
      <c r="I87" s="49">
        <f>案件入力!I87</f>
        <v/>
      </c>
      <c r="J87" s="39">
        <f>案件入力!J87</f>
        <v/>
      </c>
      <c r="K87" s="36">
        <f>案件入力!K87</f>
        <v/>
      </c>
      <c r="L87" s="49">
        <f>案件入力!L87</f>
        <v/>
      </c>
      <c r="M87" s="49">
        <f>案件入力!M87</f>
        <v/>
      </c>
      <c r="N87" s="39">
        <f>案件入力!N87</f>
        <v/>
      </c>
      <c r="O87" s="36">
        <f>案件入力!O87</f>
        <v/>
      </c>
      <c r="P87" s="37">
        <f>案件入力!P87</f>
        <v/>
      </c>
      <c r="Q87" s="35">
        <f>案件入力!Q87</f>
        <v/>
      </c>
      <c r="R87" s="35">
        <f>案件入力!R87</f>
        <v/>
      </c>
      <c r="S87" s="35">
        <f>案件入力!S87</f>
        <v/>
      </c>
    </row>
    <row r="88">
      <c r="A88" s="35">
        <f>案件入力!A88</f>
        <v/>
      </c>
      <c r="B88" s="36">
        <f>案件入力!B88</f>
        <v/>
      </c>
      <c r="C88" s="35">
        <f>案件入力!C88</f>
        <v/>
      </c>
      <c r="D88" s="37">
        <f>案件入力!D88</f>
        <v/>
      </c>
      <c r="E88" s="35">
        <f>案件入力!E88</f>
        <v/>
      </c>
      <c r="F88" s="35">
        <f>案件入力!F88</f>
        <v/>
      </c>
      <c r="G88" s="35">
        <f>案件入力!G88</f>
        <v/>
      </c>
      <c r="H88" s="49">
        <f>案件入力!H88</f>
        <v/>
      </c>
      <c r="I88" s="49">
        <f>案件入力!I88</f>
        <v/>
      </c>
      <c r="J88" s="39">
        <f>案件入力!J88</f>
        <v/>
      </c>
      <c r="K88" s="36">
        <f>案件入力!K88</f>
        <v/>
      </c>
      <c r="L88" s="49">
        <f>案件入力!L88</f>
        <v/>
      </c>
      <c r="M88" s="49">
        <f>案件入力!M88</f>
        <v/>
      </c>
      <c r="N88" s="39">
        <f>案件入力!N88</f>
        <v/>
      </c>
      <c r="O88" s="36">
        <f>案件入力!O88</f>
        <v/>
      </c>
      <c r="P88" s="37">
        <f>案件入力!P88</f>
        <v/>
      </c>
      <c r="Q88" s="35">
        <f>案件入力!Q88</f>
        <v/>
      </c>
      <c r="R88" s="35">
        <f>案件入力!R88</f>
        <v/>
      </c>
      <c r="S88" s="35">
        <f>案件入力!S88</f>
        <v/>
      </c>
    </row>
    <row r="89">
      <c r="A89" s="35">
        <f>案件入力!A89</f>
        <v/>
      </c>
      <c r="B89" s="36">
        <f>案件入力!B89</f>
        <v/>
      </c>
      <c r="C89" s="35">
        <f>案件入力!C89</f>
        <v/>
      </c>
      <c r="D89" s="37">
        <f>案件入力!D89</f>
        <v/>
      </c>
      <c r="E89" s="35">
        <f>案件入力!E89</f>
        <v/>
      </c>
      <c r="F89" s="35">
        <f>案件入力!F89</f>
        <v/>
      </c>
      <c r="G89" s="35">
        <f>案件入力!G89</f>
        <v/>
      </c>
      <c r="H89" s="49">
        <f>案件入力!H89</f>
        <v/>
      </c>
      <c r="I89" s="49">
        <f>案件入力!I89</f>
        <v/>
      </c>
      <c r="J89" s="39">
        <f>案件入力!J89</f>
        <v/>
      </c>
      <c r="K89" s="36">
        <f>案件入力!K89</f>
        <v/>
      </c>
      <c r="L89" s="49">
        <f>案件入力!L89</f>
        <v/>
      </c>
      <c r="M89" s="49">
        <f>案件入力!M89</f>
        <v/>
      </c>
      <c r="N89" s="39">
        <f>案件入力!N89</f>
        <v/>
      </c>
      <c r="O89" s="36">
        <f>案件入力!O89</f>
        <v/>
      </c>
      <c r="P89" s="37">
        <f>案件入力!P89</f>
        <v/>
      </c>
      <c r="Q89" s="35">
        <f>案件入力!Q89</f>
        <v/>
      </c>
      <c r="R89" s="35">
        <f>案件入力!R89</f>
        <v/>
      </c>
      <c r="S89" s="35">
        <f>案件入力!S89</f>
        <v/>
      </c>
    </row>
    <row r="90">
      <c r="A90" s="35">
        <f>案件入力!A90</f>
        <v/>
      </c>
      <c r="B90" s="36">
        <f>案件入力!B90</f>
        <v/>
      </c>
      <c r="C90" s="35">
        <f>案件入力!C90</f>
        <v/>
      </c>
      <c r="D90" s="37">
        <f>案件入力!D90</f>
        <v/>
      </c>
      <c r="E90" s="35">
        <f>案件入力!E90</f>
        <v/>
      </c>
      <c r="F90" s="35">
        <f>案件入力!F90</f>
        <v/>
      </c>
      <c r="G90" s="35">
        <f>案件入力!G90</f>
        <v/>
      </c>
      <c r="H90" s="49">
        <f>案件入力!H90</f>
        <v/>
      </c>
      <c r="I90" s="49">
        <f>案件入力!I90</f>
        <v/>
      </c>
      <c r="J90" s="39">
        <f>案件入力!J90</f>
        <v/>
      </c>
      <c r="K90" s="36">
        <f>案件入力!K90</f>
        <v/>
      </c>
      <c r="L90" s="49">
        <f>案件入力!L90</f>
        <v/>
      </c>
      <c r="M90" s="49">
        <f>案件入力!M90</f>
        <v/>
      </c>
      <c r="N90" s="39">
        <f>案件入力!N90</f>
        <v/>
      </c>
      <c r="O90" s="36">
        <f>案件入力!O90</f>
        <v/>
      </c>
      <c r="P90" s="37">
        <f>案件入力!P90</f>
        <v/>
      </c>
      <c r="Q90" s="35">
        <f>案件入力!Q90</f>
        <v/>
      </c>
      <c r="R90" s="35">
        <f>案件入力!R90</f>
        <v/>
      </c>
      <c r="S90" s="35">
        <f>案件入力!S90</f>
        <v/>
      </c>
    </row>
    <row r="91">
      <c r="A91" s="35">
        <f>案件入力!A91</f>
        <v/>
      </c>
      <c r="B91" s="36">
        <f>案件入力!B91</f>
        <v/>
      </c>
      <c r="C91" s="35">
        <f>案件入力!C91</f>
        <v/>
      </c>
      <c r="D91" s="37">
        <f>案件入力!D91</f>
        <v/>
      </c>
      <c r="E91" s="35">
        <f>案件入力!E91</f>
        <v/>
      </c>
      <c r="F91" s="35">
        <f>案件入力!F91</f>
        <v/>
      </c>
      <c r="G91" s="35">
        <f>案件入力!G91</f>
        <v/>
      </c>
      <c r="H91" s="49">
        <f>案件入力!H91</f>
        <v/>
      </c>
      <c r="I91" s="49">
        <f>案件入力!I91</f>
        <v/>
      </c>
      <c r="J91" s="39">
        <f>案件入力!J91</f>
        <v/>
      </c>
      <c r="K91" s="36">
        <f>案件入力!K91</f>
        <v/>
      </c>
      <c r="L91" s="49">
        <f>案件入力!L91</f>
        <v/>
      </c>
      <c r="M91" s="49">
        <f>案件入力!M91</f>
        <v/>
      </c>
      <c r="N91" s="39">
        <f>案件入力!N91</f>
        <v/>
      </c>
      <c r="O91" s="36">
        <f>案件入力!O91</f>
        <v/>
      </c>
      <c r="P91" s="37">
        <f>案件入力!P91</f>
        <v/>
      </c>
      <c r="Q91" s="35">
        <f>案件入力!Q91</f>
        <v/>
      </c>
      <c r="R91" s="35">
        <f>案件入力!R91</f>
        <v/>
      </c>
      <c r="S91" s="35">
        <f>案件入力!S91</f>
        <v/>
      </c>
    </row>
    <row r="92">
      <c r="A92" s="35">
        <f>案件入力!A92</f>
        <v/>
      </c>
      <c r="B92" s="36">
        <f>案件入力!B92</f>
        <v/>
      </c>
      <c r="C92" s="35">
        <f>案件入力!C92</f>
        <v/>
      </c>
      <c r="D92" s="37">
        <f>案件入力!D92</f>
        <v/>
      </c>
      <c r="E92" s="35">
        <f>案件入力!E92</f>
        <v/>
      </c>
      <c r="F92" s="35">
        <f>案件入力!F92</f>
        <v/>
      </c>
      <c r="G92" s="35">
        <f>案件入力!G92</f>
        <v/>
      </c>
      <c r="H92" s="49">
        <f>案件入力!H92</f>
        <v/>
      </c>
      <c r="I92" s="49">
        <f>案件入力!I92</f>
        <v/>
      </c>
      <c r="J92" s="39">
        <f>案件入力!J92</f>
        <v/>
      </c>
      <c r="K92" s="36">
        <f>案件入力!K92</f>
        <v/>
      </c>
      <c r="L92" s="49">
        <f>案件入力!L92</f>
        <v/>
      </c>
      <c r="M92" s="49">
        <f>案件入力!M92</f>
        <v/>
      </c>
      <c r="N92" s="39">
        <f>案件入力!N92</f>
        <v/>
      </c>
      <c r="O92" s="36">
        <f>案件入力!O92</f>
        <v/>
      </c>
      <c r="P92" s="37">
        <f>案件入力!P92</f>
        <v/>
      </c>
      <c r="Q92" s="35">
        <f>案件入力!Q92</f>
        <v/>
      </c>
      <c r="R92" s="35">
        <f>案件入力!R92</f>
        <v/>
      </c>
      <c r="S92" s="35">
        <f>案件入力!S92</f>
        <v/>
      </c>
    </row>
    <row r="93">
      <c r="A93" s="35">
        <f>案件入力!A93</f>
        <v/>
      </c>
      <c r="B93" s="36">
        <f>案件入力!B93</f>
        <v/>
      </c>
      <c r="C93" s="35">
        <f>案件入力!C93</f>
        <v/>
      </c>
      <c r="D93" s="37">
        <f>案件入力!D93</f>
        <v/>
      </c>
      <c r="E93" s="35">
        <f>案件入力!E93</f>
        <v/>
      </c>
      <c r="F93" s="35">
        <f>案件入力!F93</f>
        <v/>
      </c>
      <c r="G93" s="35">
        <f>案件入力!G93</f>
        <v/>
      </c>
      <c r="H93" s="49">
        <f>案件入力!H93</f>
        <v/>
      </c>
      <c r="I93" s="49">
        <f>案件入力!I93</f>
        <v/>
      </c>
      <c r="J93" s="39">
        <f>案件入力!J93</f>
        <v/>
      </c>
      <c r="K93" s="36">
        <f>案件入力!K93</f>
        <v/>
      </c>
      <c r="L93" s="49">
        <f>案件入力!L93</f>
        <v/>
      </c>
      <c r="M93" s="49">
        <f>案件入力!M93</f>
        <v/>
      </c>
      <c r="N93" s="39">
        <f>案件入力!N93</f>
        <v/>
      </c>
      <c r="O93" s="36">
        <f>案件入力!O93</f>
        <v/>
      </c>
      <c r="P93" s="37">
        <f>案件入力!P93</f>
        <v/>
      </c>
      <c r="Q93" s="35">
        <f>案件入力!Q93</f>
        <v/>
      </c>
      <c r="R93" s="35">
        <f>案件入力!R93</f>
        <v/>
      </c>
      <c r="S93" s="35">
        <f>案件入力!S93</f>
        <v/>
      </c>
    </row>
    <row r="94">
      <c r="A94" s="35">
        <f>案件入力!A94</f>
        <v/>
      </c>
      <c r="B94" s="36">
        <f>案件入力!B94</f>
        <v/>
      </c>
      <c r="C94" s="35">
        <f>案件入力!C94</f>
        <v/>
      </c>
      <c r="D94" s="37">
        <f>案件入力!D94</f>
        <v/>
      </c>
      <c r="E94" s="35">
        <f>案件入力!E94</f>
        <v/>
      </c>
      <c r="F94" s="35">
        <f>案件入力!F94</f>
        <v/>
      </c>
      <c r="G94" s="35">
        <f>案件入力!G94</f>
        <v/>
      </c>
      <c r="H94" s="49">
        <f>案件入力!H94</f>
        <v/>
      </c>
      <c r="I94" s="49">
        <f>案件入力!I94</f>
        <v/>
      </c>
      <c r="J94" s="39">
        <f>案件入力!J94</f>
        <v/>
      </c>
      <c r="K94" s="36">
        <f>案件入力!K94</f>
        <v/>
      </c>
      <c r="L94" s="49">
        <f>案件入力!L94</f>
        <v/>
      </c>
      <c r="M94" s="49">
        <f>案件入力!M94</f>
        <v/>
      </c>
      <c r="N94" s="39">
        <f>案件入力!N94</f>
        <v/>
      </c>
      <c r="O94" s="36">
        <f>案件入力!O94</f>
        <v/>
      </c>
      <c r="P94" s="37">
        <f>案件入力!P94</f>
        <v/>
      </c>
      <c r="Q94" s="35">
        <f>案件入力!Q94</f>
        <v/>
      </c>
      <c r="R94" s="35">
        <f>案件入力!R94</f>
        <v/>
      </c>
      <c r="S94" s="35">
        <f>案件入力!S94</f>
        <v/>
      </c>
    </row>
    <row r="95">
      <c r="A95" s="35">
        <f>案件入力!A95</f>
        <v/>
      </c>
      <c r="B95" s="36">
        <f>案件入力!B95</f>
        <v/>
      </c>
      <c r="C95" s="35">
        <f>案件入力!C95</f>
        <v/>
      </c>
      <c r="D95" s="37">
        <f>案件入力!D95</f>
        <v/>
      </c>
      <c r="E95" s="35">
        <f>案件入力!E95</f>
        <v/>
      </c>
      <c r="F95" s="35">
        <f>案件入力!F95</f>
        <v/>
      </c>
      <c r="G95" s="35">
        <f>案件入力!G95</f>
        <v/>
      </c>
      <c r="H95" s="49">
        <f>案件入力!H95</f>
        <v/>
      </c>
      <c r="I95" s="49">
        <f>案件入力!I95</f>
        <v/>
      </c>
      <c r="J95" s="39">
        <f>案件入力!J95</f>
        <v/>
      </c>
      <c r="K95" s="36">
        <f>案件入力!K95</f>
        <v/>
      </c>
      <c r="L95" s="49">
        <f>案件入力!L95</f>
        <v/>
      </c>
      <c r="M95" s="49">
        <f>案件入力!M95</f>
        <v/>
      </c>
      <c r="N95" s="39">
        <f>案件入力!N95</f>
        <v/>
      </c>
      <c r="O95" s="36">
        <f>案件入力!O95</f>
        <v/>
      </c>
      <c r="P95" s="37">
        <f>案件入力!P95</f>
        <v/>
      </c>
      <c r="Q95" s="35">
        <f>案件入力!Q95</f>
        <v/>
      </c>
      <c r="R95" s="35">
        <f>案件入力!R95</f>
        <v/>
      </c>
      <c r="S95" s="35">
        <f>案件入力!S95</f>
        <v/>
      </c>
    </row>
    <row r="96">
      <c r="A96" s="35">
        <f>案件入力!A96</f>
        <v/>
      </c>
      <c r="B96" s="36">
        <f>案件入力!B96</f>
        <v/>
      </c>
      <c r="C96" s="35">
        <f>案件入力!C96</f>
        <v/>
      </c>
      <c r="D96" s="37">
        <f>案件入力!D96</f>
        <v/>
      </c>
      <c r="E96" s="35">
        <f>案件入力!E96</f>
        <v/>
      </c>
      <c r="F96" s="35">
        <f>案件入力!F96</f>
        <v/>
      </c>
      <c r="G96" s="35">
        <f>案件入力!G96</f>
        <v/>
      </c>
      <c r="H96" s="49">
        <f>案件入力!H96</f>
        <v/>
      </c>
      <c r="I96" s="49">
        <f>案件入力!I96</f>
        <v/>
      </c>
      <c r="J96" s="39">
        <f>案件入力!J96</f>
        <v/>
      </c>
      <c r="K96" s="36">
        <f>案件入力!K96</f>
        <v/>
      </c>
      <c r="L96" s="49">
        <f>案件入力!L96</f>
        <v/>
      </c>
      <c r="M96" s="49">
        <f>案件入力!M96</f>
        <v/>
      </c>
      <c r="N96" s="39">
        <f>案件入力!N96</f>
        <v/>
      </c>
      <c r="O96" s="36">
        <f>案件入力!O96</f>
        <v/>
      </c>
      <c r="P96" s="37">
        <f>案件入力!P96</f>
        <v/>
      </c>
      <c r="Q96" s="35">
        <f>案件入力!Q96</f>
        <v/>
      </c>
      <c r="R96" s="35">
        <f>案件入力!R96</f>
        <v/>
      </c>
      <c r="S96" s="35">
        <f>案件入力!S96</f>
        <v/>
      </c>
    </row>
    <row r="97">
      <c r="A97" s="35">
        <f>案件入力!A97</f>
        <v/>
      </c>
      <c r="B97" s="36">
        <f>案件入力!B97</f>
        <v/>
      </c>
      <c r="C97" s="35">
        <f>案件入力!C97</f>
        <v/>
      </c>
      <c r="D97" s="37">
        <f>案件入力!D97</f>
        <v/>
      </c>
      <c r="E97" s="35">
        <f>案件入力!E97</f>
        <v/>
      </c>
      <c r="F97" s="35">
        <f>案件入力!F97</f>
        <v/>
      </c>
      <c r="G97" s="35">
        <f>案件入力!G97</f>
        <v/>
      </c>
      <c r="H97" s="49">
        <f>案件入力!H97</f>
        <v/>
      </c>
      <c r="I97" s="49">
        <f>案件入力!I97</f>
        <v/>
      </c>
      <c r="J97" s="39">
        <f>案件入力!J97</f>
        <v/>
      </c>
      <c r="K97" s="36">
        <f>案件入力!K97</f>
        <v/>
      </c>
      <c r="L97" s="49">
        <f>案件入力!L97</f>
        <v/>
      </c>
      <c r="M97" s="49">
        <f>案件入力!M97</f>
        <v/>
      </c>
      <c r="N97" s="39">
        <f>案件入力!N97</f>
        <v/>
      </c>
      <c r="O97" s="36">
        <f>案件入力!O97</f>
        <v/>
      </c>
      <c r="P97" s="37">
        <f>案件入力!P97</f>
        <v/>
      </c>
      <c r="Q97" s="35">
        <f>案件入力!Q97</f>
        <v/>
      </c>
      <c r="R97" s="35">
        <f>案件入力!R97</f>
        <v/>
      </c>
      <c r="S97" s="35">
        <f>案件入力!S97</f>
        <v/>
      </c>
    </row>
    <row r="98">
      <c r="A98" s="35">
        <f>案件入力!A98</f>
        <v/>
      </c>
      <c r="B98" s="36">
        <f>案件入力!B98</f>
        <v/>
      </c>
      <c r="C98" s="35">
        <f>案件入力!C98</f>
        <v/>
      </c>
      <c r="D98" s="37">
        <f>案件入力!D98</f>
        <v/>
      </c>
      <c r="E98" s="35">
        <f>案件入力!E98</f>
        <v/>
      </c>
      <c r="F98" s="35">
        <f>案件入力!F98</f>
        <v/>
      </c>
      <c r="G98" s="35">
        <f>案件入力!G98</f>
        <v/>
      </c>
      <c r="H98" s="49">
        <f>案件入力!H98</f>
        <v/>
      </c>
      <c r="I98" s="49">
        <f>案件入力!I98</f>
        <v/>
      </c>
      <c r="J98" s="39">
        <f>案件入力!J98</f>
        <v/>
      </c>
      <c r="K98" s="36">
        <f>案件入力!K98</f>
        <v/>
      </c>
      <c r="L98" s="49">
        <f>案件入力!L98</f>
        <v/>
      </c>
      <c r="M98" s="49">
        <f>案件入力!M98</f>
        <v/>
      </c>
      <c r="N98" s="39">
        <f>案件入力!N98</f>
        <v/>
      </c>
      <c r="O98" s="36">
        <f>案件入力!O98</f>
        <v/>
      </c>
      <c r="P98" s="37">
        <f>案件入力!P98</f>
        <v/>
      </c>
      <c r="Q98" s="35">
        <f>案件入力!Q98</f>
        <v/>
      </c>
      <c r="R98" s="35">
        <f>案件入力!R98</f>
        <v/>
      </c>
      <c r="S98" s="35">
        <f>案件入力!S98</f>
        <v/>
      </c>
    </row>
    <row r="99">
      <c r="A99" s="35">
        <f>案件入力!A99</f>
        <v/>
      </c>
      <c r="B99" s="36">
        <f>案件入力!B99</f>
        <v/>
      </c>
      <c r="C99" s="35">
        <f>案件入力!C99</f>
        <v/>
      </c>
      <c r="D99" s="37">
        <f>案件入力!D99</f>
        <v/>
      </c>
      <c r="E99" s="35">
        <f>案件入力!E99</f>
        <v/>
      </c>
      <c r="F99" s="35">
        <f>案件入力!F99</f>
        <v/>
      </c>
      <c r="G99" s="35">
        <f>案件入力!G99</f>
        <v/>
      </c>
      <c r="H99" s="49">
        <f>案件入力!H99</f>
        <v/>
      </c>
      <c r="I99" s="49">
        <f>案件入力!I99</f>
        <v/>
      </c>
      <c r="J99" s="39">
        <f>案件入力!J99</f>
        <v/>
      </c>
      <c r="K99" s="36">
        <f>案件入力!K99</f>
        <v/>
      </c>
      <c r="L99" s="49">
        <f>案件入力!L99</f>
        <v/>
      </c>
      <c r="M99" s="49">
        <f>案件入力!M99</f>
        <v/>
      </c>
      <c r="N99" s="39">
        <f>案件入力!N99</f>
        <v/>
      </c>
      <c r="O99" s="36">
        <f>案件入力!O99</f>
        <v/>
      </c>
      <c r="P99" s="37">
        <f>案件入力!P99</f>
        <v/>
      </c>
      <c r="Q99" s="35">
        <f>案件入力!Q99</f>
        <v/>
      </c>
      <c r="R99" s="35">
        <f>案件入力!R99</f>
        <v/>
      </c>
      <c r="S99" s="35">
        <f>案件入力!S99</f>
        <v/>
      </c>
    </row>
    <row r="100">
      <c r="A100" s="35">
        <f>案件入力!A100</f>
        <v/>
      </c>
      <c r="B100" s="36">
        <f>案件入力!B100</f>
        <v/>
      </c>
      <c r="C100" s="35">
        <f>案件入力!C100</f>
        <v/>
      </c>
      <c r="D100" s="37">
        <f>案件入力!D100</f>
        <v/>
      </c>
      <c r="E100" s="35">
        <f>案件入力!E100</f>
        <v/>
      </c>
      <c r="F100" s="35">
        <f>案件入力!F100</f>
        <v/>
      </c>
      <c r="G100" s="35">
        <f>案件入力!G100</f>
        <v/>
      </c>
      <c r="H100" s="49">
        <f>案件入力!H100</f>
        <v/>
      </c>
      <c r="I100" s="49">
        <f>案件入力!I100</f>
        <v/>
      </c>
      <c r="J100" s="39">
        <f>案件入力!J100</f>
        <v/>
      </c>
      <c r="K100" s="36">
        <f>案件入力!K100</f>
        <v/>
      </c>
      <c r="L100" s="49">
        <f>案件入力!L100</f>
        <v/>
      </c>
      <c r="M100" s="49">
        <f>案件入力!M100</f>
        <v/>
      </c>
      <c r="N100" s="39">
        <f>案件入力!N100</f>
        <v/>
      </c>
      <c r="O100" s="36">
        <f>案件入力!O100</f>
        <v/>
      </c>
      <c r="P100" s="37">
        <f>案件入力!P100</f>
        <v/>
      </c>
      <c r="Q100" s="35">
        <f>案件入力!Q100</f>
        <v/>
      </c>
      <c r="R100" s="35">
        <f>案件入力!R100</f>
        <v/>
      </c>
      <c r="S100" s="35">
        <f>案件入力!S100</f>
        <v/>
      </c>
    </row>
    <row r="101">
      <c r="A101" s="35">
        <f>案件入力!A101</f>
        <v/>
      </c>
      <c r="B101" s="36">
        <f>案件入力!B101</f>
        <v/>
      </c>
      <c r="C101" s="35">
        <f>案件入力!C101</f>
        <v/>
      </c>
      <c r="D101" s="37">
        <f>案件入力!D101</f>
        <v/>
      </c>
      <c r="E101" s="35">
        <f>案件入力!E101</f>
        <v/>
      </c>
      <c r="F101" s="35">
        <f>案件入力!F101</f>
        <v/>
      </c>
      <c r="G101" s="35">
        <f>案件入力!G101</f>
        <v/>
      </c>
      <c r="H101" s="49">
        <f>案件入力!H101</f>
        <v/>
      </c>
      <c r="I101" s="49">
        <f>案件入力!I101</f>
        <v/>
      </c>
      <c r="J101" s="39">
        <f>案件入力!J101</f>
        <v/>
      </c>
      <c r="K101" s="36">
        <f>案件入力!K101</f>
        <v/>
      </c>
      <c r="L101" s="49">
        <f>案件入力!L101</f>
        <v/>
      </c>
      <c r="M101" s="49">
        <f>案件入力!M101</f>
        <v/>
      </c>
      <c r="N101" s="39">
        <f>案件入力!N101</f>
        <v/>
      </c>
      <c r="O101" s="36">
        <f>案件入力!O101</f>
        <v/>
      </c>
      <c r="P101" s="37">
        <f>案件入力!P101</f>
        <v/>
      </c>
      <c r="Q101" s="35">
        <f>案件入力!Q101</f>
        <v/>
      </c>
      <c r="R101" s="35">
        <f>案件入力!R101</f>
        <v/>
      </c>
      <c r="S101" s="35">
        <f>案件入力!S101</f>
        <v/>
      </c>
    </row>
    <row r="102">
      <c r="A102" s="35">
        <f>案件入力!A102</f>
        <v/>
      </c>
      <c r="B102" s="36">
        <f>案件入力!B102</f>
        <v/>
      </c>
      <c r="C102" s="35">
        <f>案件入力!C102</f>
        <v/>
      </c>
      <c r="D102" s="37">
        <f>案件入力!D102</f>
        <v/>
      </c>
      <c r="E102" s="35">
        <f>案件入力!E102</f>
        <v/>
      </c>
      <c r="F102" s="35">
        <f>案件入力!F102</f>
        <v/>
      </c>
      <c r="G102" s="35">
        <f>案件入力!G102</f>
        <v/>
      </c>
      <c r="H102" s="49">
        <f>案件入力!H102</f>
        <v/>
      </c>
      <c r="I102" s="49">
        <f>案件入力!I102</f>
        <v/>
      </c>
      <c r="J102" s="39">
        <f>案件入力!J102</f>
        <v/>
      </c>
      <c r="K102" s="36">
        <f>案件入力!K102</f>
        <v/>
      </c>
      <c r="L102" s="49">
        <f>案件入力!L102</f>
        <v/>
      </c>
      <c r="M102" s="49">
        <f>案件入力!M102</f>
        <v/>
      </c>
      <c r="N102" s="39">
        <f>案件入力!N102</f>
        <v/>
      </c>
      <c r="O102" s="36">
        <f>案件入力!O102</f>
        <v/>
      </c>
      <c r="P102" s="37">
        <f>案件入力!P102</f>
        <v/>
      </c>
      <c r="Q102" s="35">
        <f>案件入力!Q102</f>
        <v/>
      </c>
      <c r="R102" s="35">
        <f>案件入力!R102</f>
        <v/>
      </c>
      <c r="S102" s="35">
        <f>案件入力!S102</f>
        <v/>
      </c>
    </row>
    <row r="103">
      <c r="A103" s="35">
        <f>案件入力!A103</f>
        <v/>
      </c>
      <c r="B103" s="36">
        <f>案件入力!B103</f>
        <v/>
      </c>
      <c r="C103" s="35">
        <f>案件入力!C103</f>
        <v/>
      </c>
      <c r="D103" s="37">
        <f>案件入力!D103</f>
        <v/>
      </c>
      <c r="E103" s="35">
        <f>案件入力!E103</f>
        <v/>
      </c>
      <c r="F103" s="35">
        <f>案件入力!F103</f>
        <v/>
      </c>
      <c r="G103" s="35">
        <f>案件入力!G103</f>
        <v/>
      </c>
      <c r="H103" s="49">
        <f>案件入力!H103</f>
        <v/>
      </c>
      <c r="I103" s="49">
        <f>案件入力!I103</f>
        <v/>
      </c>
      <c r="J103" s="39">
        <f>案件入力!J103</f>
        <v/>
      </c>
      <c r="K103" s="36">
        <f>案件入力!K103</f>
        <v/>
      </c>
      <c r="L103" s="49">
        <f>案件入力!L103</f>
        <v/>
      </c>
      <c r="M103" s="49">
        <f>案件入力!M103</f>
        <v/>
      </c>
      <c r="N103" s="39">
        <f>案件入力!N103</f>
        <v/>
      </c>
      <c r="O103" s="36">
        <f>案件入力!O103</f>
        <v/>
      </c>
      <c r="P103" s="37">
        <f>案件入力!P103</f>
        <v/>
      </c>
      <c r="Q103" s="35">
        <f>案件入力!Q103</f>
        <v/>
      </c>
      <c r="R103" s="35">
        <f>案件入力!R103</f>
        <v/>
      </c>
      <c r="S103" s="35">
        <f>案件入力!S103</f>
        <v/>
      </c>
    </row>
    <row r="104">
      <c r="A104" s="35">
        <f>案件入力!A104</f>
        <v/>
      </c>
      <c r="B104" s="36">
        <f>案件入力!B104</f>
        <v/>
      </c>
      <c r="C104" s="35">
        <f>案件入力!C104</f>
        <v/>
      </c>
      <c r="D104" s="37">
        <f>案件入力!D104</f>
        <v/>
      </c>
      <c r="E104" s="35">
        <f>案件入力!E104</f>
        <v/>
      </c>
      <c r="F104" s="35">
        <f>案件入力!F104</f>
        <v/>
      </c>
      <c r="G104" s="35">
        <f>案件入力!G104</f>
        <v/>
      </c>
      <c r="H104" s="49">
        <f>案件入力!H104</f>
        <v/>
      </c>
      <c r="I104" s="49">
        <f>案件入力!I104</f>
        <v/>
      </c>
      <c r="J104" s="39">
        <f>案件入力!J104</f>
        <v/>
      </c>
      <c r="K104" s="36">
        <f>案件入力!K104</f>
        <v/>
      </c>
      <c r="L104" s="49">
        <f>案件入力!L104</f>
        <v/>
      </c>
      <c r="M104" s="49">
        <f>案件入力!M104</f>
        <v/>
      </c>
      <c r="N104" s="39">
        <f>案件入力!N104</f>
        <v/>
      </c>
      <c r="O104" s="36">
        <f>案件入力!O104</f>
        <v/>
      </c>
      <c r="P104" s="37">
        <f>案件入力!P104</f>
        <v/>
      </c>
      <c r="Q104" s="35">
        <f>案件入力!Q104</f>
        <v/>
      </c>
      <c r="R104" s="35">
        <f>案件入力!R104</f>
        <v/>
      </c>
      <c r="S104" s="35">
        <f>案件入力!S104</f>
        <v/>
      </c>
    </row>
    <row r="105">
      <c r="A105" s="35">
        <f>案件入力!A105</f>
        <v/>
      </c>
      <c r="B105" s="36">
        <f>案件入力!B105</f>
        <v/>
      </c>
      <c r="C105" s="35">
        <f>案件入力!C105</f>
        <v/>
      </c>
      <c r="D105" s="37">
        <f>案件入力!D105</f>
        <v/>
      </c>
      <c r="E105" s="35">
        <f>案件入力!E105</f>
        <v/>
      </c>
      <c r="F105" s="35">
        <f>案件入力!F105</f>
        <v/>
      </c>
      <c r="G105" s="35">
        <f>案件入力!G105</f>
        <v/>
      </c>
      <c r="H105" s="49">
        <f>案件入力!H105</f>
        <v/>
      </c>
      <c r="I105" s="49">
        <f>案件入力!I105</f>
        <v/>
      </c>
      <c r="J105" s="39">
        <f>案件入力!J105</f>
        <v/>
      </c>
      <c r="K105" s="36">
        <f>案件入力!K105</f>
        <v/>
      </c>
      <c r="L105" s="49">
        <f>案件入力!L105</f>
        <v/>
      </c>
      <c r="M105" s="49">
        <f>案件入力!M105</f>
        <v/>
      </c>
      <c r="N105" s="39">
        <f>案件入力!N105</f>
        <v/>
      </c>
      <c r="O105" s="36">
        <f>案件入力!O105</f>
        <v/>
      </c>
      <c r="P105" s="37">
        <f>案件入力!P105</f>
        <v/>
      </c>
      <c r="Q105" s="35">
        <f>案件入力!Q105</f>
        <v/>
      </c>
      <c r="R105" s="35">
        <f>案件入力!R105</f>
        <v/>
      </c>
      <c r="S105" s="35">
        <f>案件入力!S105</f>
        <v/>
      </c>
    </row>
    <row r="106">
      <c r="A106" s="35">
        <f>案件入力!A106</f>
        <v/>
      </c>
      <c r="B106" s="36">
        <f>案件入力!B106</f>
        <v/>
      </c>
      <c r="C106" s="35">
        <f>案件入力!C106</f>
        <v/>
      </c>
      <c r="D106" s="37">
        <f>案件入力!D106</f>
        <v/>
      </c>
      <c r="E106" s="35">
        <f>案件入力!E106</f>
        <v/>
      </c>
      <c r="F106" s="35">
        <f>案件入力!F106</f>
        <v/>
      </c>
      <c r="G106" s="35">
        <f>案件入力!G106</f>
        <v/>
      </c>
      <c r="H106" s="49">
        <f>案件入力!H106</f>
        <v/>
      </c>
      <c r="I106" s="49">
        <f>案件入力!I106</f>
        <v/>
      </c>
      <c r="J106" s="39">
        <f>案件入力!J106</f>
        <v/>
      </c>
      <c r="K106" s="36">
        <f>案件入力!K106</f>
        <v/>
      </c>
      <c r="L106" s="49">
        <f>案件入力!L106</f>
        <v/>
      </c>
      <c r="M106" s="49">
        <f>案件入力!M106</f>
        <v/>
      </c>
      <c r="N106" s="39">
        <f>案件入力!N106</f>
        <v/>
      </c>
      <c r="O106" s="36">
        <f>案件入力!O106</f>
        <v/>
      </c>
      <c r="P106" s="37">
        <f>案件入力!P106</f>
        <v/>
      </c>
      <c r="Q106" s="35">
        <f>案件入力!Q106</f>
        <v/>
      </c>
      <c r="R106" s="35">
        <f>案件入力!R106</f>
        <v/>
      </c>
      <c r="S106" s="35">
        <f>案件入力!S106</f>
        <v/>
      </c>
    </row>
    <row r="107">
      <c r="A107" s="35">
        <f>案件入力!A107</f>
        <v/>
      </c>
      <c r="B107" s="36">
        <f>案件入力!B107</f>
        <v/>
      </c>
      <c r="C107" s="35">
        <f>案件入力!C107</f>
        <v/>
      </c>
      <c r="D107" s="37">
        <f>案件入力!D107</f>
        <v/>
      </c>
      <c r="E107" s="35">
        <f>案件入力!E107</f>
        <v/>
      </c>
      <c r="F107" s="35">
        <f>案件入力!F107</f>
        <v/>
      </c>
      <c r="G107" s="35">
        <f>案件入力!G107</f>
        <v/>
      </c>
      <c r="H107" s="49">
        <f>案件入力!H107</f>
        <v/>
      </c>
      <c r="I107" s="49">
        <f>案件入力!I107</f>
        <v/>
      </c>
      <c r="J107" s="39">
        <f>案件入力!J107</f>
        <v/>
      </c>
      <c r="K107" s="36">
        <f>案件入力!K107</f>
        <v/>
      </c>
      <c r="L107" s="49">
        <f>案件入力!L107</f>
        <v/>
      </c>
      <c r="M107" s="49">
        <f>案件入力!M107</f>
        <v/>
      </c>
      <c r="N107" s="39">
        <f>案件入力!N107</f>
        <v/>
      </c>
      <c r="O107" s="36">
        <f>案件入力!O107</f>
        <v/>
      </c>
      <c r="P107" s="37">
        <f>案件入力!P107</f>
        <v/>
      </c>
      <c r="Q107" s="35">
        <f>案件入力!Q107</f>
        <v/>
      </c>
      <c r="R107" s="35">
        <f>案件入力!R107</f>
        <v/>
      </c>
      <c r="S107" s="35">
        <f>案件入力!S107</f>
        <v/>
      </c>
    </row>
    <row r="108">
      <c r="A108" s="35">
        <f>案件入力!A108</f>
        <v/>
      </c>
      <c r="B108" s="36">
        <f>案件入力!B108</f>
        <v/>
      </c>
      <c r="C108" s="35">
        <f>案件入力!C108</f>
        <v/>
      </c>
      <c r="D108" s="37">
        <f>案件入力!D108</f>
        <v/>
      </c>
      <c r="E108" s="35">
        <f>案件入力!E108</f>
        <v/>
      </c>
      <c r="F108" s="35">
        <f>案件入力!F108</f>
        <v/>
      </c>
      <c r="G108" s="35">
        <f>案件入力!G108</f>
        <v/>
      </c>
      <c r="H108" s="49">
        <f>案件入力!H108</f>
        <v/>
      </c>
      <c r="I108" s="49">
        <f>案件入力!I108</f>
        <v/>
      </c>
      <c r="J108" s="39">
        <f>案件入力!J108</f>
        <v/>
      </c>
      <c r="K108" s="36">
        <f>案件入力!K108</f>
        <v/>
      </c>
      <c r="L108" s="49">
        <f>案件入力!L108</f>
        <v/>
      </c>
      <c r="M108" s="49">
        <f>案件入力!M108</f>
        <v/>
      </c>
      <c r="N108" s="39">
        <f>案件入力!N108</f>
        <v/>
      </c>
      <c r="O108" s="36">
        <f>案件入力!O108</f>
        <v/>
      </c>
      <c r="P108" s="37">
        <f>案件入力!P108</f>
        <v/>
      </c>
      <c r="Q108" s="35">
        <f>案件入力!Q108</f>
        <v/>
      </c>
      <c r="R108" s="35">
        <f>案件入力!R108</f>
        <v/>
      </c>
      <c r="S108" s="35">
        <f>案件入力!S108</f>
        <v/>
      </c>
    </row>
    <row r="109">
      <c r="A109" s="35">
        <f>案件入力!A109</f>
        <v/>
      </c>
      <c r="B109" s="36">
        <f>案件入力!B109</f>
        <v/>
      </c>
      <c r="C109" s="35">
        <f>案件入力!C109</f>
        <v/>
      </c>
      <c r="D109" s="37">
        <f>案件入力!D109</f>
        <v/>
      </c>
      <c r="E109" s="35">
        <f>案件入力!E109</f>
        <v/>
      </c>
      <c r="F109" s="35">
        <f>案件入力!F109</f>
        <v/>
      </c>
      <c r="G109" s="35">
        <f>案件入力!G109</f>
        <v/>
      </c>
      <c r="H109" s="49">
        <f>案件入力!H109</f>
        <v/>
      </c>
      <c r="I109" s="49">
        <f>案件入力!I109</f>
        <v/>
      </c>
      <c r="J109" s="39">
        <f>案件入力!J109</f>
        <v/>
      </c>
      <c r="K109" s="36">
        <f>案件入力!K109</f>
        <v/>
      </c>
      <c r="L109" s="49">
        <f>案件入力!L109</f>
        <v/>
      </c>
      <c r="M109" s="49">
        <f>案件入力!M109</f>
        <v/>
      </c>
      <c r="N109" s="39">
        <f>案件入力!N109</f>
        <v/>
      </c>
      <c r="O109" s="36">
        <f>案件入力!O109</f>
        <v/>
      </c>
      <c r="P109" s="37">
        <f>案件入力!P109</f>
        <v/>
      </c>
      <c r="Q109" s="35">
        <f>案件入力!Q109</f>
        <v/>
      </c>
      <c r="R109" s="35">
        <f>案件入力!R109</f>
        <v/>
      </c>
      <c r="S109" s="35">
        <f>案件入力!S109</f>
        <v/>
      </c>
    </row>
    <row r="110">
      <c r="A110" s="35">
        <f>案件入力!A110</f>
        <v/>
      </c>
      <c r="B110" s="36">
        <f>案件入力!B110</f>
        <v/>
      </c>
      <c r="C110" s="35">
        <f>案件入力!C110</f>
        <v/>
      </c>
      <c r="D110" s="37">
        <f>案件入力!D110</f>
        <v/>
      </c>
      <c r="E110" s="35">
        <f>案件入力!E110</f>
        <v/>
      </c>
      <c r="F110" s="35">
        <f>案件入力!F110</f>
        <v/>
      </c>
      <c r="G110" s="35">
        <f>案件入力!G110</f>
        <v/>
      </c>
      <c r="H110" s="49">
        <f>案件入力!H110</f>
        <v/>
      </c>
      <c r="I110" s="49">
        <f>案件入力!I110</f>
        <v/>
      </c>
      <c r="J110" s="39">
        <f>案件入力!J110</f>
        <v/>
      </c>
      <c r="K110" s="36">
        <f>案件入力!K110</f>
        <v/>
      </c>
      <c r="L110" s="49">
        <f>案件入力!L110</f>
        <v/>
      </c>
      <c r="M110" s="49">
        <f>案件入力!M110</f>
        <v/>
      </c>
      <c r="N110" s="39">
        <f>案件入力!N110</f>
        <v/>
      </c>
      <c r="O110" s="36">
        <f>案件入力!O110</f>
        <v/>
      </c>
      <c r="P110" s="37">
        <f>案件入力!P110</f>
        <v/>
      </c>
      <c r="Q110" s="35">
        <f>案件入力!Q110</f>
        <v/>
      </c>
      <c r="R110" s="35">
        <f>案件入力!R110</f>
        <v/>
      </c>
      <c r="S110" s="35">
        <f>案件入力!S110</f>
        <v/>
      </c>
    </row>
    <row r="111">
      <c r="A111" s="35">
        <f>案件入力!A111</f>
        <v/>
      </c>
      <c r="B111" s="36">
        <f>案件入力!B111</f>
        <v/>
      </c>
      <c r="C111" s="35">
        <f>案件入力!C111</f>
        <v/>
      </c>
      <c r="D111" s="37">
        <f>案件入力!D111</f>
        <v/>
      </c>
      <c r="E111" s="35">
        <f>案件入力!E111</f>
        <v/>
      </c>
      <c r="F111" s="35">
        <f>案件入力!F111</f>
        <v/>
      </c>
      <c r="G111" s="35">
        <f>案件入力!G111</f>
        <v/>
      </c>
      <c r="H111" s="49">
        <f>案件入力!H111</f>
        <v/>
      </c>
      <c r="I111" s="49">
        <f>案件入力!I111</f>
        <v/>
      </c>
      <c r="J111" s="39">
        <f>案件入力!J111</f>
        <v/>
      </c>
      <c r="K111" s="36">
        <f>案件入力!K111</f>
        <v/>
      </c>
      <c r="L111" s="49">
        <f>案件入力!L111</f>
        <v/>
      </c>
      <c r="M111" s="49">
        <f>案件入力!M111</f>
        <v/>
      </c>
      <c r="N111" s="39">
        <f>案件入力!N111</f>
        <v/>
      </c>
      <c r="O111" s="36">
        <f>案件入力!O111</f>
        <v/>
      </c>
      <c r="P111" s="37">
        <f>案件入力!P111</f>
        <v/>
      </c>
      <c r="Q111" s="35">
        <f>案件入力!Q111</f>
        <v/>
      </c>
      <c r="R111" s="35">
        <f>案件入力!R111</f>
        <v/>
      </c>
      <c r="S111" s="35">
        <f>案件入力!S111</f>
        <v/>
      </c>
    </row>
    <row r="112">
      <c r="A112" s="35">
        <f>案件入力!A112</f>
        <v/>
      </c>
      <c r="B112" s="36">
        <f>案件入力!B112</f>
        <v/>
      </c>
      <c r="C112" s="35">
        <f>案件入力!C112</f>
        <v/>
      </c>
      <c r="D112" s="37">
        <f>案件入力!D112</f>
        <v/>
      </c>
      <c r="E112" s="35">
        <f>案件入力!E112</f>
        <v/>
      </c>
      <c r="F112" s="35">
        <f>案件入力!F112</f>
        <v/>
      </c>
      <c r="G112" s="35">
        <f>案件入力!G112</f>
        <v/>
      </c>
      <c r="H112" s="49">
        <f>案件入力!H112</f>
        <v/>
      </c>
      <c r="I112" s="49">
        <f>案件入力!I112</f>
        <v/>
      </c>
      <c r="J112" s="39">
        <f>案件入力!J112</f>
        <v/>
      </c>
      <c r="K112" s="36">
        <f>案件入力!K112</f>
        <v/>
      </c>
      <c r="L112" s="49">
        <f>案件入力!L112</f>
        <v/>
      </c>
      <c r="M112" s="49">
        <f>案件入力!M112</f>
        <v/>
      </c>
      <c r="N112" s="39">
        <f>案件入力!N112</f>
        <v/>
      </c>
      <c r="O112" s="36">
        <f>案件入力!O112</f>
        <v/>
      </c>
      <c r="P112" s="37">
        <f>案件入力!P112</f>
        <v/>
      </c>
      <c r="Q112" s="35">
        <f>案件入力!Q112</f>
        <v/>
      </c>
      <c r="R112" s="35">
        <f>案件入力!R112</f>
        <v/>
      </c>
      <c r="S112" s="35">
        <f>案件入力!S112</f>
        <v/>
      </c>
    </row>
    <row r="113">
      <c r="A113" s="35">
        <f>案件入力!A113</f>
        <v/>
      </c>
      <c r="B113" s="36">
        <f>案件入力!B113</f>
        <v/>
      </c>
      <c r="C113" s="35">
        <f>案件入力!C113</f>
        <v/>
      </c>
      <c r="D113" s="37">
        <f>案件入力!D113</f>
        <v/>
      </c>
      <c r="E113" s="35">
        <f>案件入力!E113</f>
        <v/>
      </c>
      <c r="F113" s="35">
        <f>案件入力!F113</f>
        <v/>
      </c>
      <c r="G113" s="35">
        <f>案件入力!G113</f>
        <v/>
      </c>
      <c r="H113" s="49">
        <f>案件入力!H113</f>
        <v/>
      </c>
      <c r="I113" s="49">
        <f>案件入力!I113</f>
        <v/>
      </c>
      <c r="J113" s="39">
        <f>案件入力!J113</f>
        <v/>
      </c>
      <c r="K113" s="36">
        <f>案件入力!K113</f>
        <v/>
      </c>
      <c r="L113" s="49">
        <f>案件入力!L113</f>
        <v/>
      </c>
      <c r="M113" s="49">
        <f>案件入力!M113</f>
        <v/>
      </c>
      <c r="N113" s="39">
        <f>案件入力!N113</f>
        <v/>
      </c>
      <c r="O113" s="36">
        <f>案件入力!O113</f>
        <v/>
      </c>
      <c r="P113" s="37">
        <f>案件入力!P113</f>
        <v/>
      </c>
      <c r="Q113" s="35">
        <f>案件入力!Q113</f>
        <v/>
      </c>
      <c r="R113" s="35">
        <f>案件入力!R113</f>
        <v/>
      </c>
      <c r="S113" s="35">
        <f>案件入力!S113</f>
        <v/>
      </c>
    </row>
    <row r="114">
      <c r="A114" s="35">
        <f>案件入力!A114</f>
        <v/>
      </c>
      <c r="B114" s="36">
        <f>案件入力!B114</f>
        <v/>
      </c>
      <c r="C114" s="35">
        <f>案件入力!C114</f>
        <v/>
      </c>
      <c r="D114" s="37">
        <f>案件入力!D114</f>
        <v/>
      </c>
      <c r="E114" s="35">
        <f>案件入力!E114</f>
        <v/>
      </c>
      <c r="F114" s="35">
        <f>案件入力!F114</f>
        <v/>
      </c>
      <c r="G114" s="35">
        <f>案件入力!G114</f>
        <v/>
      </c>
      <c r="H114" s="49">
        <f>案件入力!H114</f>
        <v/>
      </c>
      <c r="I114" s="49">
        <f>案件入力!I114</f>
        <v/>
      </c>
      <c r="J114" s="39">
        <f>案件入力!J114</f>
        <v/>
      </c>
      <c r="K114" s="36">
        <f>案件入力!K114</f>
        <v/>
      </c>
      <c r="L114" s="49">
        <f>案件入力!L114</f>
        <v/>
      </c>
      <c r="M114" s="49">
        <f>案件入力!M114</f>
        <v/>
      </c>
      <c r="N114" s="39">
        <f>案件入力!N114</f>
        <v/>
      </c>
      <c r="O114" s="36">
        <f>案件入力!O114</f>
        <v/>
      </c>
      <c r="P114" s="37">
        <f>案件入力!P114</f>
        <v/>
      </c>
      <c r="Q114" s="35">
        <f>案件入力!Q114</f>
        <v/>
      </c>
      <c r="R114" s="35">
        <f>案件入力!R114</f>
        <v/>
      </c>
      <c r="S114" s="35">
        <f>案件入力!S114</f>
        <v/>
      </c>
    </row>
    <row r="115">
      <c r="A115" s="35">
        <f>案件入力!A115</f>
        <v/>
      </c>
      <c r="B115" s="36">
        <f>案件入力!B115</f>
        <v/>
      </c>
      <c r="C115" s="35">
        <f>案件入力!C115</f>
        <v/>
      </c>
      <c r="D115" s="37">
        <f>案件入力!D115</f>
        <v/>
      </c>
      <c r="E115" s="35">
        <f>案件入力!E115</f>
        <v/>
      </c>
      <c r="F115" s="35">
        <f>案件入力!F115</f>
        <v/>
      </c>
      <c r="G115" s="35">
        <f>案件入力!G115</f>
        <v/>
      </c>
      <c r="H115" s="49">
        <f>案件入力!H115</f>
        <v/>
      </c>
      <c r="I115" s="49">
        <f>案件入力!I115</f>
        <v/>
      </c>
      <c r="J115" s="39">
        <f>案件入力!J115</f>
        <v/>
      </c>
      <c r="K115" s="36">
        <f>案件入力!K115</f>
        <v/>
      </c>
      <c r="L115" s="49">
        <f>案件入力!L115</f>
        <v/>
      </c>
      <c r="M115" s="49">
        <f>案件入力!M115</f>
        <v/>
      </c>
      <c r="N115" s="39">
        <f>案件入力!N115</f>
        <v/>
      </c>
      <c r="O115" s="36">
        <f>案件入力!O115</f>
        <v/>
      </c>
      <c r="P115" s="37">
        <f>案件入力!P115</f>
        <v/>
      </c>
      <c r="Q115" s="35">
        <f>案件入力!Q115</f>
        <v/>
      </c>
      <c r="R115" s="35">
        <f>案件入力!R115</f>
        <v/>
      </c>
      <c r="S115" s="35">
        <f>案件入力!S115</f>
        <v/>
      </c>
    </row>
    <row r="116">
      <c r="A116" s="35">
        <f>案件入力!A116</f>
        <v/>
      </c>
      <c r="B116" s="36">
        <f>案件入力!B116</f>
        <v/>
      </c>
      <c r="C116" s="35">
        <f>案件入力!C116</f>
        <v/>
      </c>
      <c r="D116" s="37">
        <f>案件入力!D116</f>
        <v/>
      </c>
      <c r="E116" s="35">
        <f>案件入力!E116</f>
        <v/>
      </c>
      <c r="F116" s="35">
        <f>案件入力!F116</f>
        <v/>
      </c>
      <c r="G116" s="35">
        <f>案件入力!G116</f>
        <v/>
      </c>
      <c r="H116" s="49">
        <f>案件入力!H116</f>
        <v/>
      </c>
      <c r="I116" s="49">
        <f>案件入力!I116</f>
        <v/>
      </c>
      <c r="J116" s="39">
        <f>案件入力!J116</f>
        <v/>
      </c>
      <c r="K116" s="36">
        <f>案件入力!K116</f>
        <v/>
      </c>
      <c r="L116" s="49">
        <f>案件入力!L116</f>
        <v/>
      </c>
      <c r="M116" s="49">
        <f>案件入力!M116</f>
        <v/>
      </c>
      <c r="N116" s="39">
        <f>案件入力!N116</f>
        <v/>
      </c>
      <c r="O116" s="36">
        <f>案件入力!O116</f>
        <v/>
      </c>
      <c r="P116" s="37">
        <f>案件入力!P116</f>
        <v/>
      </c>
      <c r="Q116" s="35">
        <f>案件入力!Q116</f>
        <v/>
      </c>
      <c r="R116" s="35">
        <f>案件入力!R116</f>
        <v/>
      </c>
      <c r="S116" s="35">
        <f>案件入力!S116</f>
        <v/>
      </c>
    </row>
    <row r="117">
      <c r="A117" s="35">
        <f>案件入力!A117</f>
        <v/>
      </c>
      <c r="B117" s="36">
        <f>案件入力!B117</f>
        <v/>
      </c>
      <c r="C117" s="35">
        <f>案件入力!C117</f>
        <v/>
      </c>
      <c r="D117" s="37">
        <f>案件入力!D117</f>
        <v/>
      </c>
      <c r="E117" s="35">
        <f>案件入力!E117</f>
        <v/>
      </c>
      <c r="F117" s="35">
        <f>案件入力!F117</f>
        <v/>
      </c>
      <c r="G117" s="35">
        <f>案件入力!G117</f>
        <v/>
      </c>
      <c r="H117" s="49">
        <f>案件入力!H117</f>
        <v/>
      </c>
      <c r="I117" s="49">
        <f>案件入力!I117</f>
        <v/>
      </c>
      <c r="J117" s="39">
        <f>案件入力!J117</f>
        <v/>
      </c>
      <c r="K117" s="36">
        <f>案件入力!K117</f>
        <v/>
      </c>
      <c r="L117" s="49">
        <f>案件入力!L117</f>
        <v/>
      </c>
      <c r="M117" s="49">
        <f>案件入力!M117</f>
        <v/>
      </c>
      <c r="N117" s="39">
        <f>案件入力!N117</f>
        <v/>
      </c>
      <c r="O117" s="36">
        <f>案件入力!O117</f>
        <v/>
      </c>
      <c r="P117" s="37">
        <f>案件入力!P117</f>
        <v/>
      </c>
      <c r="Q117" s="35">
        <f>案件入力!Q117</f>
        <v/>
      </c>
      <c r="R117" s="35">
        <f>案件入力!R117</f>
        <v/>
      </c>
      <c r="S117" s="35">
        <f>案件入力!S117</f>
        <v/>
      </c>
    </row>
    <row r="118">
      <c r="A118" s="35">
        <f>案件入力!A118</f>
        <v/>
      </c>
      <c r="B118" s="36">
        <f>案件入力!B118</f>
        <v/>
      </c>
      <c r="C118" s="35">
        <f>案件入力!C118</f>
        <v/>
      </c>
      <c r="D118" s="37">
        <f>案件入力!D118</f>
        <v/>
      </c>
      <c r="E118" s="35">
        <f>案件入力!E118</f>
        <v/>
      </c>
      <c r="F118" s="35">
        <f>案件入力!F118</f>
        <v/>
      </c>
      <c r="G118" s="35">
        <f>案件入力!G118</f>
        <v/>
      </c>
      <c r="H118" s="49">
        <f>案件入力!H118</f>
        <v/>
      </c>
      <c r="I118" s="49">
        <f>案件入力!I118</f>
        <v/>
      </c>
      <c r="J118" s="39">
        <f>案件入力!J118</f>
        <v/>
      </c>
      <c r="K118" s="36">
        <f>案件入力!K118</f>
        <v/>
      </c>
      <c r="L118" s="49">
        <f>案件入力!L118</f>
        <v/>
      </c>
      <c r="M118" s="49">
        <f>案件入力!M118</f>
        <v/>
      </c>
      <c r="N118" s="39">
        <f>案件入力!N118</f>
        <v/>
      </c>
      <c r="O118" s="36">
        <f>案件入力!O118</f>
        <v/>
      </c>
      <c r="P118" s="37">
        <f>案件入力!P118</f>
        <v/>
      </c>
      <c r="Q118" s="35">
        <f>案件入力!Q118</f>
        <v/>
      </c>
      <c r="R118" s="35">
        <f>案件入力!R118</f>
        <v/>
      </c>
      <c r="S118" s="35">
        <f>案件入力!S118</f>
        <v/>
      </c>
    </row>
    <row r="119">
      <c r="A119" s="35">
        <f>案件入力!A119</f>
        <v/>
      </c>
      <c r="B119" s="36">
        <f>案件入力!B119</f>
        <v/>
      </c>
      <c r="C119" s="35">
        <f>案件入力!C119</f>
        <v/>
      </c>
      <c r="D119" s="37">
        <f>案件入力!D119</f>
        <v/>
      </c>
      <c r="E119" s="35">
        <f>案件入力!E119</f>
        <v/>
      </c>
      <c r="F119" s="35">
        <f>案件入力!F119</f>
        <v/>
      </c>
      <c r="G119" s="35">
        <f>案件入力!G119</f>
        <v/>
      </c>
      <c r="H119" s="49">
        <f>案件入力!H119</f>
        <v/>
      </c>
      <c r="I119" s="49">
        <f>案件入力!I119</f>
        <v/>
      </c>
      <c r="J119" s="39">
        <f>案件入力!J119</f>
        <v/>
      </c>
      <c r="K119" s="36">
        <f>案件入力!K119</f>
        <v/>
      </c>
      <c r="L119" s="49">
        <f>案件入力!L119</f>
        <v/>
      </c>
      <c r="M119" s="49">
        <f>案件入力!M119</f>
        <v/>
      </c>
      <c r="N119" s="39">
        <f>案件入力!N119</f>
        <v/>
      </c>
      <c r="O119" s="36">
        <f>案件入力!O119</f>
        <v/>
      </c>
      <c r="P119" s="37">
        <f>案件入力!P119</f>
        <v/>
      </c>
      <c r="Q119" s="35">
        <f>案件入力!Q119</f>
        <v/>
      </c>
      <c r="R119" s="35">
        <f>案件入力!R119</f>
        <v/>
      </c>
      <c r="S119" s="35">
        <f>案件入力!S119</f>
        <v/>
      </c>
    </row>
    <row r="120">
      <c r="A120" s="35">
        <f>案件入力!A120</f>
        <v/>
      </c>
      <c r="B120" s="36">
        <f>案件入力!B120</f>
        <v/>
      </c>
      <c r="C120" s="35">
        <f>案件入力!C120</f>
        <v/>
      </c>
      <c r="D120" s="37">
        <f>案件入力!D120</f>
        <v/>
      </c>
      <c r="E120" s="35">
        <f>案件入力!E120</f>
        <v/>
      </c>
      <c r="F120" s="35">
        <f>案件入力!F120</f>
        <v/>
      </c>
      <c r="G120" s="35">
        <f>案件入力!G120</f>
        <v/>
      </c>
      <c r="H120" s="49">
        <f>案件入力!H120</f>
        <v/>
      </c>
      <c r="I120" s="49">
        <f>案件入力!I120</f>
        <v/>
      </c>
      <c r="J120" s="39">
        <f>案件入力!J120</f>
        <v/>
      </c>
      <c r="K120" s="36">
        <f>案件入力!K120</f>
        <v/>
      </c>
      <c r="L120" s="49">
        <f>案件入力!L120</f>
        <v/>
      </c>
      <c r="M120" s="49">
        <f>案件入力!M120</f>
        <v/>
      </c>
      <c r="N120" s="39">
        <f>案件入力!N120</f>
        <v/>
      </c>
      <c r="O120" s="36">
        <f>案件入力!O120</f>
        <v/>
      </c>
      <c r="P120" s="37">
        <f>案件入力!P120</f>
        <v/>
      </c>
      <c r="Q120" s="35">
        <f>案件入力!Q120</f>
        <v/>
      </c>
      <c r="R120" s="35">
        <f>案件入力!R120</f>
        <v/>
      </c>
      <c r="S120" s="35">
        <f>案件入力!S120</f>
        <v/>
      </c>
    </row>
    <row r="121">
      <c r="A121" s="35">
        <f>案件入力!A121</f>
        <v/>
      </c>
      <c r="B121" s="36">
        <f>案件入力!B121</f>
        <v/>
      </c>
      <c r="C121" s="35">
        <f>案件入力!C121</f>
        <v/>
      </c>
      <c r="D121" s="37">
        <f>案件入力!D121</f>
        <v/>
      </c>
      <c r="E121" s="35">
        <f>案件入力!E121</f>
        <v/>
      </c>
      <c r="F121" s="35">
        <f>案件入力!F121</f>
        <v/>
      </c>
      <c r="G121" s="35">
        <f>案件入力!G121</f>
        <v/>
      </c>
      <c r="H121" s="49">
        <f>案件入力!H121</f>
        <v/>
      </c>
      <c r="I121" s="49">
        <f>案件入力!I121</f>
        <v/>
      </c>
      <c r="J121" s="39">
        <f>案件入力!J121</f>
        <v/>
      </c>
      <c r="K121" s="36">
        <f>案件入力!K121</f>
        <v/>
      </c>
      <c r="L121" s="49">
        <f>案件入力!L121</f>
        <v/>
      </c>
      <c r="M121" s="49">
        <f>案件入力!M121</f>
        <v/>
      </c>
      <c r="N121" s="39">
        <f>案件入力!N121</f>
        <v/>
      </c>
      <c r="O121" s="36">
        <f>案件入力!O121</f>
        <v/>
      </c>
      <c r="P121" s="37">
        <f>案件入力!P121</f>
        <v/>
      </c>
      <c r="Q121" s="35">
        <f>案件入力!Q121</f>
        <v/>
      </c>
      <c r="R121" s="35">
        <f>案件入力!R121</f>
        <v/>
      </c>
      <c r="S121" s="35">
        <f>案件入力!S121</f>
        <v/>
      </c>
    </row>
    <row r="122">
      <c r="A122" s="35">
        <f>案件入力!A122</f>
        <v/>
      </c>
      <c r="B122" s="36">
        <f>案件入力!B122</f>
        <v/>
      </c>
      <c r="C122" s="35">
        <f>案件入力!C122</f>
        <v/>
      </c>
      <c r="D122" s="37">
        <f>案件入力!D122</f>
        <v/>
      </c>
      <c r="E122" s="35">
        <f>案件入力!E122</f>
        <v/>
      </c>
      <c r="F122" s="35">
        <f>案件入力!F122</f>
        <v/>
      </c>
      <c r="G122" s="35">
        <f>案件入力!G122</f>
        <v/>
      </c>
      <c r="H122" s="49">
        <f>案件入力!H122</f>
        <v/>
      </c>
      <c r="I122" s="49">
        <f>案件入力!I122</f>
        <v/>
      </c>
      <c r="J122" s="39">
        <f>案件入力!J122</f>
        <v/>
      </c>
      <c r="K122" s="36">
        <f>案件入力!K122</f>
        <v/>
      </c>
      <c r="L122" s="49">
        <f>案件入力!L122</f>
        <v/>
      </c>
      <c r="M122" s="49">
        <f>案件入力!M122</f>
        <v/>
      </c>
      <c r="N122" s="39">
        <f>案件入力!N122</f>
        <v/>
      </c>
      <c r="O122" s="36">
        <f>案件入力!O122</f>
        <v/>
      </c>
      <c r="P122" s="37">
        <f>案件入力!P122</f>
        <v/>
      </c>
      <c r="Q122" s="35">
        <f>案件入力!Q122</f>
        <v/>
      </c>
      <c r="R122" s="35">
        <f>案件入力!R122</f>
        <v/>
      </c>
      <c r="S122" s="35">
        <f>案件入力!S122</f>
        <v/>
      </c>
    </row>
    <row r="123">
      <c r="A123" s="35">
        <f>案件入力!A123</f>
        <v/>
      </c>
      <c r="B123" s="36">
        <f>案件入力!B123</f>
        <v/>
      </c>
      <c r="C123" s="35">
        <f>案件入力!C123</f>
        <v/>
      </c>
      <c r="D123" s="37">
        <f>案件入力!D123</f>
        <v/>
      </c>
      <c r="E123" s="35">
        <f>案件入力!E123</f>
        <v/>
      </c>
      <c r="F123" s="35">
        <f>案件入力!F123</f>
        <v/>
      </c>
      <c r="G123" s="35">
        <f>案件入力!G123</f>
        <v/>
      </c>
      <c r="H123" s="49">
        <f>案件入力!H123</f>
        <v/>
      </c>
      <c r="I123" s="49">
        <f>案件入力!I123</f>
        <v/>
      </c>
      <c r="J123" s="39">
        <f>案件入力!J123</f>
        <v/>
      </c>
      <c r="K123" s="36">
        <f>案件入力!K123</f>
        <v/>
      </c>
      <c r="L123" s="49">
        <f>案件入力!L123</f>
        <v/>
      </c>
      <c r="M123" s="49">
        <f>案件入力!M123</f>
        <v/>
      </c>
      <c r="N123" s="39">
        <f>案件入力!N123</f>
        <v/>
      </c>
      <c r="O123" s="36">
        <f>案件入力!O123</f>
        <v/>
      </c>
      <c r="P123" s="37">
        <f>案件入力!P123</f>
        <v/>
      </c>
      <c r="Q123" s="35">
        <f>案件入力!Q123</f>
        <v/>
      </c>
      <c r="R123" s="35">
        <f>案件入力!R123</f>
        <v/>
      </c>
      <c r="S123" s="35">
        <f>案件入力!S123</f>
        <v/>
      </c>
    </row>
    <row r="124">
      <c r="A124" s="35">
        <f>案件入力!A124</f>
        <v/>
      </c>
      <c r="B124" s="36">
        <f>案件入力!B124</f>
        <v/>
      </c>
      <c r="C124" s="35">
        <f>案件入力!C124</f>
        <v/>
      </c>
      <c r="D124" s="37">
        <f>案件入力!D124</f>
        <v/>
      </c>
      <c r="E124" s="35">
        <f>案件入力!E124</f>
        <v/>
      </c>
      <c r="F124" s="35">
        <f>案件入力!F124</f>
        <v/>
      </c>
      <c r="G124" s="35">
        <f>案件入力!G124</f>
        <v/>
      </c>
      <c r="H124" s="49">
        <f>案件入力!H124</f>
        <v/>
      </c>
      <c r="I124" s="49">
        <f>案件入力!I124</f>
        <v/>
      </c>
      <c r="J124" s="39">
        <f>案件入力!J124</f>
        <v/>
      </c>
      <c r="K124" s="36">
        <f>案件入力!K124</f>
        <v/>
      </c>
      <c r="L124" s="49">
        <f>案件入力!L124</f>
        <v/>
      </c>
      <c r="M124" s="49">
        <f>案件入力!M124</f>
        <v/>
      </c>
      <c r="N124" s="39">
        <f>案件入力!N124</f>
        <v/>
      </c>
      <c r="O124" s="36">
        <f>案件入力!O124</f>
        <v/>
      </c>
      <c r="P124" s="37">
        <f>案件入力!P124</f>
        <v/>
      </c>
      <c r="Q124" s="35">
        <f>案件入力!Q124</f>
        <v/>
      </c>
      <c r="R124" s="35">
        <f>案件入力!R124</f>
        <v/>
      </c>
      <c r="S124" s="35">
        <f>案件入力!S124</f>
        <v/>
      </c>
    </row>
    <row r="125">
      <c r="A125" s="35">
        <f>案件入力!A125</f>
        <v/>
      </c>
      <c r="B125" s="36">
        <f>案件入力!B125</f>
        <v/>
      </c>
      <c r="C125" s="35">
        <f>案件入力!C125</f>
        <v/>
      </c>
      <c r="D125" s="37">
        <f>案件入力!D125</f>
        <v/>
      </c>
      <c r="E125" s="35">
        <f>案件入力!E125</f>
        <v/>
      </c>
      <c r="F125" s="35">
        <f>案件入力!F125</f>
        <v/>
      </c>
      <c r="G125" s="35">
        <f>案件入力!G125</f>
        <v/>
      </c>
      <c r="H125" s="49">
        <f>案件入力!H125</f>
        <v/>
      </c>
      <c r="I125" s="49">
        <f>案件入力!I125</f>
        <v/>
      </c>
      <c r="J125" s="39">
        <f>案件入力!J125</f>
        <v/>
      </c>
      <c r="K125" s="36">
        <f>案件入力!K125</f>
        <v/>
      </c>
      <c r="L125" s="49">
        <f>案件入力!L125</f>
        <v/>
      </c>
      <c r="M125" s="49">
        <f>案件入力!M125</f>
        <v/>
      </c>
      <c r="N125" s="39">
        <f>案件入力!N125</f>
        <v/>
      </c>
      <c r="O125" s="36">
        <f>案件入力!O125</f>
        <v/>
      </c>
      <c r="P125" s="37">
        <f>案件入力!P125</f>
        <v/>
      </c>
      <c r="Q125" s="35">
        <f>案件入力!Q125</f>
        <v/>
      </c>
      <c r="R125" s="35">
        <f>案件入力!R125</f>
        <v/>
      </c>
      <c r="S125" s="35">
        <f>案件入力!S125</f>
        <v/>
      </c>
    </row>
    <row r="126">
      <c r="A126" s="35">
        <f>案件入力!A126</f>
        <v/>
      </c>
      <c r="B126" s="36">
        <f>案件入力!B126</f>
        <v/>
      </c>
      <c r="C126" s="35">
        <f>案件入力!C126</f>
        <v/>
      </c>
      <c r="D126" s="37">
        <f>案件入力!D126</f>
        <v/>
      </c>
      <c r="E126" s="35">
        <f>案件入力!E126</f>
        <v/>
      </c>
      <c r="F126" s="35">
        <f>案件入力!F126</f>
        <v/>
      </c>
      <c r="G126" s="35">
        <f>案件入力!G126</f>
        <v/>
      </c>
      <c r="H126" s="49">
        <f>案件入力!H126</f>
        <v/>
      </c>
      <c r="I126" s="49">
        <f>案件入力!I126</f>
        <v/>
      </c>
      <c r="J126" s="39">
        <f>案件入力!J126</f>
        <v/>
      </c>
      <c r="K126" s="36">
        <f>案件入力!K126</f>
        <v/>
      </c>
      <c r="L126" s="49">
        <f>案件入力!L126</f>
        <v/>
      </c>
      <c r="M126" s="49">
        <f>案件入力!M126</f>
        <v/>
      </c>
      <c r="N126" s="39">
        <f>案件入力!N126</f>
        <v/>
      </c>
      <c r="O126" s="36">
        <f>案件入力!O126</f>
        <v/>
      </c>
      <c r="P126" s="37">
        <f>案件入力!P126</f>
        <v/>
      </c>
      <c r="Q126" s="35">
        <f>案件入力!Q126</f>
        <v/>
      </c>
      <c r="R126" s="35">
        <f>案件入力!R126</f>
        <v/>
      </c>
      <c r="S126" s="35">
        <f>案件入力!S126</f>
        <v/>
      </c>
    </row>
    <row r="127">
      <c r="A127" s="35">
        <f>案件入力!A127</f>
        <v/>
      </c>
      <c r="B127" s="36">
        <f>案件入力!B127</f>
        <v/>
      </c>
      <c r="C127" s="35">
        <f>案件入力!C127</f>
        <v/>
      </c>
      <c r="D127" s="37">
        <f>案件入力!D127</f>
        <v/>
      </c>
      <c r="E127" s="35">
        <f>案件入力!E127</f>
        <v/>
      </c>
      <c r="F127" s="35">
        <f>案件入力!F127</f>
        <v/>
      </c>
      <c r="G127" s="35">
        <f>案件入力!G127</f>
        <v/>
      </c>
      <c r="H127" s="49">
        <f>案件入力!H127</f>
        <v/>
      </c>
      <c r="I127" s="49">
        <f>案件入力!I127</f>
        <v/>
      </c>
      <c r="J127" s="39">
        <f>案件入力!J127</f>
        <v/>
      </c>
      <c r="K127" s="36">
        <f>案件入力!K127</f>
        <v/>
      </c>
      <c r="L127" s="49">
        <f>案件入力!L127</f>
        <v/>
      </c>
      <c r="M127" s="49">
        <f>案件入力!M127</f>
        <v/>
      </c>
      <c r="N127" s="39">
        <f>案件入力!N127</f>
        <v/>
      </c>
      <c r="O127" s="36">
        <f>案件入力!O127</f>
        <v/>
      </c>
      <c r="P127" s="37">
        <f>案件入力!P127</f>
        <v/>
      </c>
      <c r="Q127" s="35">
        <f>案件入力!Q127</f>
        <v/>
      </c>
      <c r="R127" s="35">
        <f>案件入力!R127</f>
        <v/>
      </c>
      <c r="S127" s="35">
        <f>案件入力!S127</f>
        <v/>
      </c>
    </row>
    <row r="128">
      <c r="A128" s="35">
        <f>案件入力!A128</f>
        <v/>
      </c>
      <c r="B128" s="36">
        <f>案件入力!B128</f>
        <v/>
      </c>
      <c r="C128" s="35">
        <f>案件入力!C128</f>
        <v/>
      </c>
      <c r="D128" s="37">
        <f>案件入力!D128</f>
        <v/>
      </c>
      <c r="E128" s="35">
        <f>案件入力!E128</f>
        <v/>
      </c>
      <c r="F128" s="35">
        <f>案件入力!F128</f>
        <v/>
      </c>
      <c r="G128" s="35">
        <f>案件入力!G128</f>
        <v/>
      </c>
      <c r="H128" s="49">
        <f>案件入力!H128</f>
        <v/>
      </c>
      <c r="I128" s="49">
        <f>案件入力!I128</f>
        <v/>
      </c>
      <c r="J128" s="39">
        <f>案件入力!J128</f>
        <v/>
      </c>
      <c r="K128" s="36">
        <f>案件入力!K128</f>
        <v/>
      </c>
      <c r="L128" s="49">
        <f>案件入力!L128</f>
        <v/>
      </c>
      <c r="M128" s="49">
        <f>案件入力!M128</f>
        <v/>
      </c>
      <c r="N128" s="39">
        <f>案件入力!N128</f>
        <v/>
      </c>
      <c r="O128" s="36">
        <f>案件入力!O128</f>
        <v/>
      </c>
      <c r="P128" s="37">
        <f>案件入力!P128</f>
        <v/>
      </c>
      <c r="Q128" s="35">
        <f>案件入力!Q128</f>
        <v/>
      </c>
      <c r="R128" s="35">
        <f>案件入力!R128</f>
        <v/>
      </c>
      <c r="S128" s="35">
        <f>案件入力!S128</f>
        <v/>
      </c>
    </row>
    <row r="129">
      <c r="A129" s="35">
        <f>案件入力!A129</f>
        <v/>
      </c>
      <c r="B129" s="36">
        <f>案件入力!B129</f>
        <v/>
      </c>
      <c r="C129" s="35">
        <f>案件入力!C129</f>
        <v/>
      </c>
      <c r="D129" s="37">
        <f>案件入力!D129</f>
        <v/>
      </c>
      <c r="E129" s="35">
        <f>案件入力!E129</f>
        <v/>
      </c>
      <c r="F129" s="35">
        <f>案件入力!F129</f>
        <v/>
      </c>
      <c r="G129" s="35">
        <f>案件入力!G129</f>
        <v/>
      </c>
      <c r="H129" s="49">
        <f>案件入力!H129</f>
        <v/>
      </c>
      <c r="I129" s="49">
        <f>案件入力!I129</f>
        <v/>
      </c>
      <c r="J129" s="39">
        <f>案件入力!J129</f>
        <v/>
      </c>
      <c r="K129" s="36">
        <f>案件入力!K129</f>
        <v/>
      </c>
      <c r="L129" s="49">
        <f>案件入力!L129</f>
        <v/>
      </c>
      <c r="M129" s="49">
        <f>案件入力!M129</f>
        <v/>
      </c>
      <c r="N129" s="39">
        <f>案件入力!N129</f>
        <v/>
      </c>
      <c r="O129" s="36">
        <f>案件入力!O129</f>
        <v/>
      </c>
      <c r="P129" s="37">
        <f>案件入力!P129</f>
        <v/>
      </c>
      <c r="Q129" s="35">
        <f>案件入力!Q129</f>
        <v/>
      </c>
      <c r="R129" s="35">
        <f>案件入力!R129</f>
        <v/>
      </c>
      <c r="S129" s="35">
        <f>案件入力!S129</f>
        <v/>
      </c>
    </row>
    <row r="130">
      <c r="A130" s="35">
        <f>案件入力!A130</f>
        <v/>
      </c>
      <c r="B130" s="36">
        <f>案件入力!B130</f>
        <v/>
      </c>
      <c r="C130" s="35">
        <f>案件入力!C130</f>
        <v/>
      </c>
      <c r="D130" s="37">
        <f>案件入力!D130</f>
        <v/>
      </c>
      <c r="E130" s="35">
        <f>案件入力!E130</f>
        <v/>
      </c>
      <c r="F130" s="35">
        <f>案件入力!F130</f>
        <v/>
      </c>
      <c r="G130" s="35">
        <f>案件入力!G130</f>
        <v/>
      </c>
      <c r="H130" s="49">
        <f>案件入力!H130</f>
        <v/>
      </c>
      <c r="I130" s="49">
        <f>案件入力!I130</f>
        <v/>
      </c>
      <c r="J130" s="39">
        <f>案件入力!J130</f>
        <v/>
      </c>
      <c r="K130" s="36">
        <f>案件入力!K130</f>
        <v/>
      </c>
      <c r="L130" s="49">
        <f>案件入力!L130</f>
        <v/>
      </c>
      <c r="M130" s="49">
        <f>案件入力!M130</f>
        <v/>
      </c>
      <c r="N130" s="39">
        <f>案件入力!N130</f>
        <v/>
      </c>
      <c r="O130" s="36">
        <f>案件入力!O130</f>
        <v/>
      </c>
      <c r="P130" s="37">
        <f>案件入力!P130</f>
        <v/>
      </c>
      <c r="Q130" s="35">
        <f>案件入力!Q130</f>
        <v/>
      </c>
      <c r="R130" s="35">
        <f>案件入力!R130</f>
        <v/>
      </c>
      <c r="S130" s="35">
        <f>案件入力!S130</f>
        <v/>
      </c>
    </row>
    <row r="131">
      <c r="A131" s="35">
        <f>案件入力!A131</f>
        <v/>
      </c>
      <c r="B131" s="36">
        <f>案件入力!B131</f>
        <v/>
      </c>
      <c r="C131" s="35">
        <f>案件入力!C131</f>
        <v/>
      </c>
      <c r="D131" s="37">
        <f>案件入力!D131</f>
        <v/>
      </c>
      <c r="E131" s="35">
        <f>案件入力!E131</f>
        <v/>
      </c>
      <c r="F131" s="35">
        <f>案件入力!F131</f>
        <v/>
      </c>
      <c r="G131" s="35">
        <f>案件入力!G131</f>
        <v/>
      </c>
      <c r="H131" s="49">
        <f>案件入力!H131</f>
        <v/>
      </c>
      <c r="I131" s="49">
        <f>案件入力!I131</f>
        <v/>
      </c>
      <c r="J131" s="39">
        <f>案件入力!J131</f>
        <v/>
      </c>
      <c r="K131" s="36">
        <f>案件入力!K131</f>
        <v/>
      </c>
      <c r="L131" s="49">
        <f>案件入力!L131</f>
        <v/>
      </c>
      <c r="M131" s="49">
        <f>案件入力!M131</f>
        <v/>
      </c>
      <c r="N131" s="39">
        <f>案件入力!N131</f>
        <v/>
      </c>
      <c r="O131" s="36">
        <f>案件入力!O131</f>
        <v/>
      </c>
      <c r="P131" s="37">
        <f>案件入力!P131</f>
        <v/>
      </c>
      <c r="Q131" s="35">
        <f>案件入力!Q131</f>
        <v/>
      </c>
      <c r="R131" s="35">
        <f>案件入力!R131</f>
        <v/>
      </c>
      <c r="S131" s="35">
        <f>案件入力!S131</f>
        <v/>
      </c>
    </row>
    <row r="132">
      <c r="A132" s="35">
        <f>案件入力!A132</f>
        <v/>
      </c>
      <c r="B132" s="36">
        <f>案件入力!B132</f>
        <v/>
      </c>
      <c r="C132" s="35">
        <f>案件入力!C132</f>
        <v/>
      </c>
      <c r="D132" s="37">
        <f>案件入力!D132</f>
        <v/>
      </c>
      <c r="E132" s="35">
        <f>案件入力!E132</f>
        <v/>
      </c>
      <c r="F132" s="35">
        <f>案件入力!F132</f>
        <v/>
      </c>
      <c r="G132" s="35">
        <f>案件入力!G132</f>
        <v/>
      </c>
      <c r="H132" s="49">
        <f>案件入力!H132</f>
        <v/>
      </c>
      <c r="I132" s="49">
        <f>案件入力!I132</f>
        <v/>
      </c>
      <c r="J132" s="39">
        <f>案件入力!J132</f>
        <v/>
      </c>
      <c r="K132" s="36">
        <f>案件入力!K132</f>
        <v/>
      </c>
      <c r="L132" s="49">
        <f>案件入力!L132</f>
        <v/>
      </c>
      <c r="M132" s="49">
        <f>案件入力!M132</f>
        <v/>
      </c>
      <c r="N132" s="39">
        <f>案件入力!N132</f>
        <v/>
      </c>
      <c r="O132" s="36">
        <f>案件入力!O132</f>
        <v/>
      </c>
      <c r="P132" s="37">
        <f>案件入力!P132</f>
        <v/>
      </c>
      <c r="Q132" s="35">
        <f>案件入力!Q132</f>
        <v/>
      </c>
      <c r="R132" s="35">
        <f>案件入力!R132</f>
        <v/>
      </c>
      <c r="S132" s="35">
        <f>案件入力!S132</f>
        <v/>
      </c>
    </row>
    <row r="133">
      <c r="A133" s="35">
        <f>案件入力!A133</f>
        <v/>
      </c>
      <c r="B133" s="36">
        <f>案件入力!B133</f>
        <v/>
      </c>
      <c r="C133" s="35">
        <f>案件入力!C133</f>
        <v/>
      </c>
      <c r="D133" s="37">
        <f>案件入力!D133</f>
        <v/>
      </c>
      <c r="E133" s="35">
        <f>案件入力!E133</f>
        <v/>
      </c>
      <c r="F133" s="35">
        <f>案件入力!F133</f>
        <v/>
      </c>
      <c r="G133" s="35">
        <f>案件入力!G133</f>
        <v/>
      </c>
      <c r="H133" s="49">
        <f>案件入力!H133</f>
        <v/>
      </c>
      <c r="I133" s="49">
        <f>案件入力!I133</f>
        <v/>
      </c>
      <c r="J133" s="39">
        <f>案件入力!J133</f>
        <v/>
      </c>
      <c r="K133" s="36">
        <f>案件入力!K133</f>
        <v/>
      </c>
      <c r="L133" s="49">
        <f>案件入力!L133</f>
        <v/>
      </c>
      <c r="M133" s="49">
        <f>案件入力!M133</f>
        <v/>
      </c>
      <c r="N133" s="39">
        <f>案件入力!N133</f>
        <v/>
      </c>
      <c r="O133" s="36">
        <f>案件入力!O133</f>
        <v/>
      </c>
      <c r="P133" s="37">
        <f>案件入力!P133</f>
        <v/>
      </c>
      <c r="Q133" s="35">
        <f>案件入力!Q133</f>
        <v/>
      </c>
      <c r="R133" s="35">
        <f>案件入力!R133</f>
        <v/>
      </c>
      <c r="S133" s="35">
        <f>案件入力!S133</f>
        <v/>
      </c>
    </row>
    <row r="134">
      <c r="A134" s="35">
        <f>案件入力!A134</f>
        <v/>
      </c>
      <c r="B134" s="36">
        <f>案件入力!B134</f>
        <v/>
      </c>
      <c r="C134" s="35">
        <f>案件入力!C134</f>
        <v/>
      </c>
      <c r="D134" s="37">
        <f>案件入力!D134</f>
        <v/>
      </c>
      <c r="E134" s="35">
        <f>案件入力!E134</f>
        <v/>
      </c>
      <c r="F134" s="35">
        <f>案件入力!F134</f>
        <v/>
      </c>
      <c r="G134" s="35">
        <f>案件入力!G134</f>
        <v/>
      </c>
      <c r="H134" s="49">
        <f>案件入力!H134</f>
        <v/>
      </c>
      <c r="I134" s="49">
        <f>案件入力!I134</f>
        <v/>
      </c>
      <c r="J134" s="39">
        <f>案件入力!J134</f>
        <v/>
      </c>
      <c r="K134" s="36">
        <f>案件入力!K134</f>
        <v/>
      </c>
      <c r="L134" s="49">
        <f>案件入力!L134</f>
        <v/>
      </c>
      <c r="M134" s="49">
        <f>案件入力!M134</f>
        <v/>
      </c>
      <c r="N134" s="39">
        <f>案件入力!N134</f>
        <v/>
      </c>
      <c r="O134" s="36">
        <f>案件入力!O134</f>
        <v/>
      </c>
      <c r="P134" s="37">
        <f>案件入力!P134</f>
        <v/>
      </c>
      <c r="Q134" s="35">
        <f>案件入力!Q134</f>
        <v/>
      </c>
      <c r="R134" s="35">
        <f>案件入力!R134</f>
        <v/>
      </c>
      <c r="S134" s="35">
        <f>案件入力!S134</f>
        <v/>
      </c>
    </row>
    <row r="135">
      <c r="A135" s="35">
        <f>案件入力!A135</f>
        <v/>
      </c>
      <c r="B135" s="36">
        <f>案件入力!B135</f>
        <v/>
      </c>
      <c r="C135" s="35">
        <f>案件入力!C135</f>
        <v/>
      </c>
      <c r="D135" s="37">
        <f>案件入力!D135</f>
        <v/>
      </c>
      <c r="E135" s="35">
        <f>案件入力!E135</f>
        <v/>
      </c>
      <c r="F135" s="35">
        <f>案件入力!F135</f>
        <v/>
      </c>
      <c r="G135" s="35">
        <f>案件入力!G135</f>
        <v/>
      </c>
      <c r="H135" s="49">
        <f>案件入力!H135</f>
        <v/>
      </c>
      <c r="I135" s="49">
        <f>案件入力!I135</f>
        <v/>
      </c>
      <c r="J135" s="39">
        <f>案件入力!J135</f>
        <v/>
      </c>
      <c r="K135" s="36">
        <f>案件入力!K135</f>
        <v/>
      </c>
      <c r="L135" s="49">
        <f>案件入力!L135</f>
        <v/>
      </c>
      <c r="M135" s="49">
        <f>案件入力!M135</f>
        <v/>
      </c>
      <c r="N135" s="39">
        <f>案件入力!N135</f>
        <v/>
      </c>
      <c r="O135" s="36">
        <f>案件入力!O135</f>
        <v/>
      </c>
      <c r="P135" s="37">
        <f>案件入力!P135</f>
        <v/>
      </c>
      <c r="Q135" s="35">
        <f>案件入力!Q135</f>
        <v/>
      </c>
      <c r="R135" s="35">
        <f>案件入力!R135</f>
        <v/>
      </c>
      <c r="S135" s="35">
        <f>案件入力!S135</f>
        <v/>
      </c>
    </row>
    <row r="136">
      <c r="A136" s="35">
        <f>案件入力!A136</f>
        <v/>
      </c>
      <c r="B136" s="36">
        <f>案件入力!B136</f>
        <v/>
      </c>
      <c r="C136" s="35">
        <f>案件入力!C136</f>
        <v/>
      </c>
      <c r="D136" s="37">
        <f>案件入力!D136</f>
        <v/>
      </c>
      <c r="E136" s="35">
        <f>案件入力!E136</f>
        <v/>
      </c>
      <c r="F136" s="35">
        <f>案件入力!F136</f>
        <v/>
      </c>
      <c r="G136" s="35">
        <f>案件入力!G136</f>
        <v/>
      </c>
      <c r="H136" s="49">
        <f>案件入力!H136</f>
        <v/>
      </c>
      <c r="I136" s="49">
        <f>案件入力!I136</f>
        <v/>
      </c>
      <c r="J136" s="39">
        <f>案件入力!J136</f>
        <v/>
      </c>
      <c r="K136" s="36">
        <f>案件入力!K136</f>
        <v/>
      </c>
      <c r="L136" s="49">
        <f>案件入力!L136</f>
        <v/>
      </c>
      <c r="M136" s="49">
        <f>案件入力!M136</f>
        <v/>
      </c>
      <c r="N136" s="39">
        <f>案件入力!N136</f>
        <v/>
      </c>
      <c r="O136" s="36">
        <f>案件入力!O136</f>
        <v/>
      </c>
      <c r="P136" s="37">
        <f>案件入力!P136</f>
        <v/>
      </c>
      <c r="Q136" s="35">
        <f>案件入力!Q136</f>
        <v/>
      </c>
      <c r="R136" s="35">
        <f>案件入力!R136</f>
        <v/>
      </c>
      <c r="S136" s="35">
        <f>案件入力!S136</f>
        <v/>
      </c>
    </row>
    <row r="137">
      <c r="A137" s="35">
        <f>案件入力!A137</f>
        <v/>
      </c>
      <c r="B137" s="36">
        <f>案件入力!B137</f>
        <v/>
      </c>
      <c r="C137" s="35">
        <f>案件入力!C137</f>
        <v/>
      </c>
      <c r="D137" s="37">
        <f>案件入力!D137</f>
        <v/>
      </c>
      <c r="E137" s="35">
        <f>案件入力!E137</f>
        <v/>
      </c>
      <c r="F137" s="35">
        <f>案件入力!F137</f>
        <v/>
      </c>
      <c r="G137" s="35">
        <f>案件入力!G137</f>
        <v/>
      </c>
      <c r="H137" s="49">
        <f>案件入力!H137</f>
        <v/>
      </c>
      <c r="I137" s="49">
        <f>案件入力!I137</f>
        <v/>
      </c>
      <c r="J137" s="39">
        <f>案件入力!J137</f>
        <v/>
      </c>
      <c r="K137" s="36">
        <f>案件入力!K137</f>
        <v/>
      </c>
      <c r="L137" s="49">
        <f>案件入力!L137</f>
        <v/>
      </c>
      <c r="M137" s="49">
        <f>案件入力!M137</f>
        <v/>
      </c>
      <c r="N137" s="39">
        <f>案件入力!N137</f>
        <v/>
      </c>
      <c r="O137" s="36">
        <f>案件入力!O137</f>
        <v/>
      </c>
      <c r="P137" s="37">
        <f>案件入力!P137</f>
        <v/>
      </c>
      <c r="Q137" s="35">
        <f>案件入力!Q137</f>
        <v/>
      </c>
      <c r="R137" s="35">
        <f>案件入力!R137</f>
        <v/>
      </c>
      <c r="S137" s="35">
        <f>案件入力!S137</f>
        <v/>
      </c>
    </row>
    <row r="138">
      <c r="A138" s="35">
        <f>案件入力!A138</f>
        <v/>
      </c>
      <c r="B138" s="36">
        <f>案件入力!B138</f>
        <v/>
      </c>
      <c r="C138" s="35">
        <f>案件入力!C138</f>
        <v/>
      </c>
      <c r="D138" s="37">
        <f>案件入力!D138</f>
        <v/>
      </c>
      <c r="E138" s="35">
        <f>案件入力!E138</f>
        <v/>
      </c>
      <c r="F138" s="35">
        <f>案件入力!F138</f>
        <v/>
      </c>
      <c r="G138" s="35">
        <f>案件入力!G138</f>
        <v/>
      </c>
      <c r="H138" s="49">
        <f>案件入力!H138</f>
        <v/>
      </c>
      <c r="I138" s="49">
        <f>案件入力!I138</f>
        <v/>
      </c>
      <c r="J138" s="39">
        <f>案件入力!J138</f>
        <v/>
      </c>
      <c r="K138" s="36">
        <f>案件入力!K138</f>
        <v/>
      </c>
      <c r="L138" s="49">
        <f>案件入力!L138</f>
        <v/>
      </c>
      <c r="M138" s="49">
        <f>案件入力!M138</f>
        <v/>
      </c>
      <c r="N138" s="39">
        <f>案件入力!N138</f>
        <v/>
      </c>
      <c r="O138" s="36">
        <f>案件入力!O138</f>
        <v/>
      </c>
      <c r="P138" s="37">
        <f>案件入力!P138</f>
        <v/>
      </c>
      <c r="Q138" s="35">
        <f>案件入力!Q138</f>
        <v/>
      </c>
      <c r="R138" s="35">
        <f>案件入力!R138</f>
        <v/>
      </c>
      <c r="S138" s="35">
        <f>案件入力!S138</f>
        <v/>
      </c>
    </row>
    <row r="139">
      <c r="A139" s="35">
        <f>案件入力!A139</f>
        <v/>
      </c>
      <c r="B139" s="36">
        <f>案件入力!B139</f>
        <v/>
      </c>
      <c r="C139" s="35">
        <f>案件入力!C139</f>
        <v/>
      </c>
      <c r="D139" s="37">
        <f>案件入力!D139</f>
        <v/>
      </c>
      <c r="E139" s="35">
        <f>案件入力!E139</f>
        <v/>
      </c>
      <c r="F139" s="35">
        <f>案件入力!F139</f>
        <v/>
      </c>
      <c r="G139" s="35">
        <f>案件入力!G139</f>
        <v/>
      </c>
      <c r="H139" s="49">
        <f>案件入力!H139</f>
        <v/>
      </c>
      <c r="I139" s="49">
        <f>案件入力!I139</f>
        <v/>
      </c>
      <c r="J139" s="39">
        <f>案件入力!J139</f>
        <v/>
      </c>
      <c r="K139" s="36">
        <f>案件入力!K139</f>
        <v/>
      </c>
      <c r="L139" s="49">
        <f>案件入力!L139</f>
        <v/>
      </c>
      <c r="M139" s="49">
        <f>案件入力!M139</f>
        <v/>
      </c>
      <c r="N139" s="39">
        <f>案件入力!N139</f>
        <v/>
      </c>
      <c r="O139" s="36">
        <f>案件入力!O139</f>
        <v/>
      </c>
      <c r="P139" s="37">
        <f>案件入力!P139</f>
        <v/>
      </c>
      <c r="Q139" s="35">
        <f>案件入力!Q139</f>
        <v/>
      </c>
      <c r="R139" s="35">
        <f>案件入力!R139</f>
        <v/>
      </c>
      <c r="S139" s="35">
        <f>案件入力!S139</f>
        <v/>
      </c>
    </row>
    <row r="140">
      <c r="A140" s="35">
        <f>案件入力!A140</f>
        <v/>
      </c>
      <c r="B140" s="36">
        <f>案件入力!B140</f>
        <v/>
      </c>
      <c r="C140" s="35">
        <f>案件入力!C140</f>
        <v/>
      </c>
      <c r="D140" s="37">
        <f>案件入力!D140</f>
        <v/>
      </c>
      <c r="E140" s="35">
        <f>案件入力!E140</f>
        <v/>
      </c>
      <c r="F140" s="35">
        <f>案件入力!F140</f>
        <v/>
      </c>
      <c r="G140" s="35">
        <f>案件入力!G140</f>
        <v/>
      </c>
      <c r="H140" s="49">
        <f>案件入力!H140</f>
        <v/>
      </c>
      <c r="I140" s="49">
        <f>案件入力!I140</f>
        <v/>
      </c>
      <c r="J140" s="39">
        <f>案件入力!J140</f>
        <v/>
      </c>
      <c r="K140" s="36">
        <f>案件入力!K140</f>
        <v/>
      </c>
      <c r="L140" s="49">
        <f>案件入力!L140</f>
        <v/>
      </c>
      <c r="M140" s="49">
        <f>案件入力!M140</f>
        <v/>
      </c>
      <c r="N140" s="39">
        <f>案件入力!N140</f>
        <v/>
      </c>
      <c r="O140" s="36">
        <f>案件入力!O140</f>
        <v/>
      </c>
      <c r="P140" s="37">
        <f>案件入力!P140</f>
        <v/>
      </c>
      <c r="Q140" s="35">
        <f>案件入力!Q140</f>
        <v/>
      </c>
      <c r="R140" s="35">
        <f>案件入力!R140</f>
        <v/>
      </c>
      <c r="S140" s="35">
        <f>案件入力!S140</f>
        <v/>
      </c>
    </row>
    <row r="141">
      <c r="A141" s="35">
        <f>案件入力!A141</f>
        <v/>
      </c>
      <c r="B141" s="36">
        <f>案件入力!B141</f>
        <v/>
      </c>
      <c r="C141" s="35">
        <f>案件入力!C141</f>
        <v/>
      </c>
      <c r="D141" s="37">
        <f>案件入力!D141</f>
        <v/>
      </c>
      <c r="E141" s="35">
        <f>案件入力!E141</f>
        <v/>
      </c>
      <c r="F141" s="35">
        <f>案件入力!F141</f>
        <v/>
      </c>
      <c r="G141" s="35">
        <f>案件入力!G141</f>
        <v/>
      </c>
      <c r="H141" s="49">
        <f>案件入力!H141</f>
        <v/>
      </c>
      <c r="I141" s="49">
        <f>案件入力!I141</f>
        <v/>
      </c>
      <c r="J141" s="39">
        <f>案件入力!J141</f>
        <v/>
      </c>
      <c r="K141" s="36">
        <f>案件入力!K141</f>
        <v/>
      </c>
      <c r="L141" s="49">
        <f>案件入力!L141</f>
        <v/>
      </c>
      <c r="M141" s="49">
        <f>案件入力!M141</f>
        <v/>
      </c>
      <c r="N141" s="39">
        <f>案件入力!N141</f>
        <v/>
      </c>
      <c r="O141" s="36">
        <f>案件入力!O141</f>
        <v/>
      </c>
      <c r="P141" s="37">
        <f>案件入力!P141</f>
        <v/>
      </c>
      <c r="Q141" s="35">
        <f>案件入力!Q141</f>
        <v/>
      </c>
      <c r="R141" s="35">
        <f>案件入力!R141</f>
        <v/>
      </c>
      <c r="S141" s="35">
        <f>案件入力!S141</f>
        <v/>
      </c>
    </row>
    <row r="142">
      <c r="A142" s="35">
        <f>案件入力!A142</f>
        <v/>
      </c>
      <c r="B142" s="36">
        <f>案件入力!B142</f>
        <v/>
      </c>
      <c r="C142" s="35">
        <f>案件入力!C142</f>
        <v/>
      </c>
      <c r="D142" s="37">
        <f>案件入力!D142</f>
        <v/>
      </c>
      <c r="E142" s="35">
        <f>案件入力!E142</f>
        <v/>
      </c>
      <c r="F142" s="35">
        <f>案件入力!F142</f>
        <v/>
      </c>
      <c r="G142" s="35">
        <f>案件入力!G142</f>
        <v/>
      </c>
      <c r="H142" s="49">
        <f>案件入力!H142</f>
        <v/>
      </c>
      <c r="I142" s="49">
        <f>案件入力!I142</f>
        <v/>
      </c>
      <c r="J142" s="39">
        <f>案件入力!J142</f>
        <v/>
      </c>
      <c r="K142" s="36">
        <f>案件入力!K142</f>
        <v/>
      </c>
      <c r="L142" s="49">
        <f>案件入力!L142</f>
        <v/>
      </c>
      <c r="M142" s="49">
        <f>案件入力!M142</f>
        <v/>
      </c>
      <c r="N142" s="39">
        <f>案件入力!N142</f>
        <v/>
      </c>
      <c r="O142" s="36">
        <f>案件入力!O142</f>
        <v/>
      </c>
      <c r="P142" s="37">
        <f>案件入力!P142</f>
        <v/>
      </c>
      <c r="Q142" s="35">
        <f>案件入力!Q142</f>
        <v/>
      </c>
      <c r="R142" s="35">
        <f>案件入力!R142</f>
        <v/>
      </c>
      <c r="S142" s="35">
        <f>案件入力!S142</f>
        <v/>
      </c>
    </row>
    <row r="143">
      <c r="A143" s="35">
        <f>案件入力!A143</f>
        <v/>
      </c>
      <c r="B143" s="36">
        <f>案件入力!B143</f>
        <v/>
      </c>
      <c r="C143" s="35">
        <f>案件入力!C143</f>
        <v/>
      </c>
      <c r="D143" s="37">
        <f>案件入力!D143</f>
        <v/>
      </c>
      <c r="E143" s="35">
        <f>案件入力!E143</f>
        <v/>
      </c>
      <c r="F143" s="35">
        <f>案件入力!F143</f>
        <v/>
      </c>
      <c r="G143" s="35">
        <f>案件入力!G143</f>
        <v/>
      </c>
      <c r="H143" s="49">
        <f>案件入力!H143</f>
        <v/>
      </c>
      <c r="I143" s="49">
        <f>案件入力!I143</f>
        <v/>
      </c>
      <c r="J143" s="39">
        <f>案件入力!J143</f>
        <v/>
      </c>
      <c r="K143" s="36">
        <f>案件入力!K143</f>
        <v/>
      </c>
      <c r="L143" s="49">
        <f>案件入力!L143</f>
        <v/>
      </c>
      <c r="M143" s="49">
        <f>案件入力!M143</f>
        <v/>
      </c>
      <c r="N143" s="39">
        <f>案件入力!N143</f>
        <v/>
      </c>
      <c r="O143" s="36">
        <f>案件入力!O143</f>
        <v/>
      </c>
      <c r="P143" s="37">
        <f>案件入力!P143</f>
        <v/>
      </c>
      <c r="Q143" s="35">
        <f>案件入力!Q143</f>
        <v/>
      </c>
      <c r="R143" s="35">
        <f>案件入力!R143</f>
        <v/>
      </c>
      <c r="S143" s="35">
        <f>案件入力!S143</f>
        <v/>
      </c>
    </row>
    <row r="144">
      <c r="A144" s="35">
        <f>案件入力!A144</f>
        <v/>
      </c>
      <c r="B144" s="36">
        <f>案件入力!B144</f>
        <v/>
      </c>
      <c r="C144" s="35">
        <f>案件入力!C144</f>
        <v/>
      </c>
      <c r="D144" s="37">
        <f>案件入力!D144</f>
        <v/>
      </c>
      <c r="E144" s="35">
        <f>案件入力!E144</f>
        <v/>
      </c>
      <c r="F144" s="35">
        <f>案件入力!F144</f>
        <v/>
      </c>
      <c r="G144" s="35">
        <f>案件入力!G144</f>
        <v/>
      </c>
      <c r="H144" s="49">
        <f>案件入力!H144</f>
        <v/>
      </c>
      <c r="I144" s="49">
        <f>案件入力!I144</f>
        <v/>
      </c>
      <c r="J144" s="39">
        <f>案件入力!J144</f>
        <v/>
      </c>
      <c r="K144" s="36">
        <f>案件入力!K144</f>
        <v/>
      </c>
      <c r="L144" s="49">
        <f>案件入力!L144</f>
        <v/>
      </c>
      <c r="M144" s="49">
        <f>案件入力!M144</f>
        <v/>
      </c>
      <c r="N144" s="39">
        <f>案件入力!N144</f>
        <v/>
      </c>
      <c r="O144" s="36">
        <f>案件入力!O144</f>
        <v/>
      </c>
      <c r="P144" s="37">
        <f>案件入力!P144</f>
        <v/>
      </c>
      <c r="Q144" s="35">
        <f>案件入力!Q144</f>
        <v/>
      </c>
      <c r="R144" s="35">
        <f>案件入力!R144</f>
        <v/>
      </c>
      <c r="S144" s="35">
        <f>案件入力!S144</f>
        <v/>
      </c>
    </row>
    <row r="145">
      <c r="A145" s="35">
        <f>案件入力!A145</f>
        <v/>
      </c>
      <c r="B145" s="36">
        <f>案件入力!B145</f>
        <v/>
      </c>
      <c r="C145" s="35">
        <f>案件入力!C145</f>
        <v/>
      </c>
      <c r="D145" s="37">
        <f>案件入力!D145</f>
        <v/>
      </c>
      <c r="E145" s="35">
        <f>案件入力!E145</f>
        <v/>
      </c>
      <c r="F145" s="35">
        <f>案件入力!F145</f>
        <v/>
      </c>
      <c r="G145" s="35">
        <f>案件入力!G145</f>
        <v/>
      </c>
      <c r="H145" s="49">
        <f>案件入力!H145</f>
        <v/>
      </c>
      <c r="I145" s="49">
        <f>案件入力!I145</f>
        <v/>
      </c>
      <c r="J145" s="39">
        <f>案件入力!J145</f>
        <v/>
      </c>
      <c r="K145" s="36">
        <f>案件入力!K145</f>
        <v/>
      </c>
      <c r="L145" s="49">
        <f>案件入力!L145</f>
        <v/>
      </c>
      <c r="M145" s="49">
        <f>案件入力!M145</f>
        <v/>
      </c>
      <c r="N145" s="39">
        <f>案件入力!N145</f>
        <v/>
      </c>
      <c r="O145" s="36">
        <f>案件入力!O145</f>
        <v/>
      </c>
      <c r="P145" s="37">
        <f>案件入力!P145</f>
        <v/>
      </c>
      <c r="Q145" s="35">
        <f>案件入力!Q145</f>
        <v/>
      </c>
      <c r="R145" s="35">
        <f>案件入力!R145</f>
        <v/>
      </c>
      <c r="S145" s="35">
        <f>案件入力!S145</f>
        <v/>
      </c>
    </row>
    <row r="146">
      <c r="A146" s="35">
        <f>案件入力!A146</f>
        <v/>
      </c>
      <c r="B146" s="36">
        <f>案件入力!B146</f>
        <v/>
      </c>
      <c r="C146" s="35">
        <f>案件入力!C146</f>
        <v/>
      </c>
      <c r="D146" s="37">
        <f>案件入力!D146</f>
        <v/>
      </c>
      <c r="E146" s="35">
        <f>案件入力!E146</f>
        <v/>
      </c>
      <c r="F146" s="35">
        <f>案件入力!F146</f>
        <v/>
      </c>
      <c r="G146" s="35">
        <f>案件入力!G146</f>
        <v/>
      </c>
      <c r="H146" s="49">
        <f>案件入力!H146</f>
        <v/>
      </c>
      <c r="I146" s="49">
        <f>案件入力!I146</f>
        <v/>
      </c>
      <c r="J146" s="39">
        <f>案件入力!J146</f>
        <v/>
      </c>
      <c r="K146" s="36">
        <f>案件入力!K146</f>
        <v/>
      </c>
      <c r="L146" s="49">
        <f>案件入力!L146</f>
        <v/>
      </c>
      <c r="M146" s="49">
        <f>案件入力!M146</f>
        <v/>
      </c>
      <c r="N146" s="39">
        <f>案件入力!N146</f>
        <v/>
      </c>
      <c r="O146" s="36">
        <f>案件入力!O146</f>
        <v/>
      </c>
      <c r="P146" s="37">
        <f>案件入力!P146</f>
        <v/>
      </c>
      <c r="Q146" s="35">
        <f>案件入力!Q146</f>
        <v/>
      </c>
      <c r="R146" s="35">
        <f>案件入力!R146</f>
        <v/>
      </c>
      <c r="S146" s="35">
        <f>案件入力!S146</f>
        <v/>
      </c>
    </row>
    <row r="147">
      <c r="A147" s="35">
        <f>案件入力!A147</f>
        <v/>
      </c>
      <c r="B147" s="36">
        <f>案件入力!B147</f>
        <v/>
      </c>
      <c r="C147" s="35">
        <f>案件入力!C147</f>
        <v/>
      </c>
      <c r="D147" s="37">
        <f>案件入力!D147</f>
        <v/>
      </c>
      <c r="E147" s="35">
        <f>案件入力!E147</f>
        <v/>
      </c>
      <c r="F147" s="35">
        <f>案件入力!F147</f>
        <v/>
      </c>
      <c r="G147" s="35">
        <f>案件入力!G147</f>
        <v/>
      </c>
      <c r="H147" s="49">
        <f>案件入力!H147</f>
        <v/>
      </c>
      <c r="I147" s="49">
        <f>案件入力!I147</f>
        <v/>
      </c>
      <c r="J147" s="39">
        <f>案件入力!J147</f>
        <v/>
      </c>
      <c r="K147" s="36">
        <f>案件入力!K147</f>
        <v/>
      </c>
      <c r="L147" s="49">
        <f>案件入力!L147</f>
        <v/>
      </c>
      <c r="M147" s="49">
        <f>案件入力!M147</f>
        <v/>
      </c>
      <c r="N147" s="39">
        <f>案件入力!N147</f>
        <v/>
      </c>
      <c r="O147" s="36">
        <f>案件入力!O147</f>
        <v/>
      </c>
      <c r="P147" s="37">
        <f>案件入力!P147</f>
        <v/>
      </c>
      <c r="Q147" s="35">
        <f>案件入力!Q147</f>
        <v/>
      </c>
      <c r="R147" s="35">
        <f>案件入力!R147</f>
        <v/>
      </c>
      <c r="S147" s="35">
        <f>案件入力!S147</f>
        <v/>
      </c>
    </row>
    <row r="148">
      <c r="A148" s="35">
        <f>案件入力!A148</f>
        <v/>
      </c>
      <c r="B148" s="36">
        <f>案件入力!B148</f>
        <v/>
      </c>
      <c r="C148" s="35">
        <f>案件入力!C148</f>
        <v/>
      </c>
      <c r="D148" s="37">
        <f>案件入力!D148</f>
        <v/>
      </c>
      <c r="E148" s="35">
        <f>案件入力!E148</f>
        <v/>
      </c>
      <c r="F148" s="35">
        <f>案件入力!F148</f>
        <v/>
      </c>
      <c r="G148" s="35">
        <f>案件入力!G148</f>
        <v/>
      </c>
      <c r="H148" s="49">
        <f>案件入力!H148</f>
        <v/>
      </c>
      <c r="I148" s="49">
        <f>案件入力!I148</f>
        <v/>
      </c>
      <c r="J148" s="39">
        <f>案件入力!J148</f>
        <v/>
      </c>
      <c r="K148" s="36">
        <f>案件入力!K148</f>
        <v/>
      </c>
      <c r="L148" s="49">
        <f>案件入力!L148</f>
        <v/>
      </c>
      <c r="M148" s="49">
        <f>案件入力!M148</f>
        <v/>
      </c>
      <c r="N148" s="39">
        <f>案件入力!N148</f>
        <v/>
      </c>
      <c r="O148" s="36">
        <f>案件入力!O148</f>
        <v/>
      </c>
      <c r="P148" s="37">
        <f>案件入力!P148</f>
        <v/>
      </c>
      <c r="Q148" s="35">
        <f>案件入力!Q148</f>
        <v/>
      </c>
      <c r="R148" s="35">
        <f>案件入力!R148</f>
        <v/>
      </c>
      <c r="S148" s="35">
        <f>案件入力!S148</f>
        <v/>
      </c>
    </row>
    <row r="149">
      <c r="A149" s="35">
        <f>案件入力!A149</f>
        <v/>
      </c>
      <c r="B149" s="36">
        <f>案件入力!B149</f>
        <v/>
      </c>
      <c r="C149" s="35">
        <f>案件入力!C149</f>
        <v/>
      </c>
      <c r="D149" s="37">
        <f>案件入力!D149</f>
        <v/>
      </c>
      <c r="E149" s="35">
        <f>案件入力!E149</f>
        <v/>
      </c>
      <c r="F149" s="35">
        <f>案件入力!F149</f>
        <v/>
      </c>
      <c r="G149" s="35">
        <f>案件入力!G149</f>
        <v/>
      </c>
      <c r="H149" s="49">
        <f>案件入力!H149</f>
        <v/>
      </c>
      <c r="I149" s="49">
        <f>案件入力!I149</f>
        <v/>
      </c>
      <c r="J149" s="39">
        <f>案件入力!J149</f>
        <v/>
      </c>
      <c r="K149" s="36">
        <f>案件入力!K149</f>
        <v/>
      </c>
      <c r="L149" s="49">
        <f>案件入力!L149</f>
        <v/>
      </c>
      <c r="M149" s="49">
        <f>案件入力!M149</f>
        <v/>
      </c>
      <c r="N149" s="39">
        <f>案件入力!N149</f>
        <v/>
      </c>
      <c r="O149" s="36">
        <f>案件入力!O149</f>
        <v/>
      </c>
      <c r="P149" s="37">
        <f>案件入力!P149</f>
        <v/>
      </c>
      <c r="Q149" s="35">
        <f>案件入力!Q149</f>
        <v/>
      </c>
      <c r="R149" s="35">
        <f>案件入力!R149</f>
        <v/>
      </c>
      <c r="S149" s="35">
        <f>案件入力!S149</f>
        <v/>
      </c>
    </row>
    <row r="150">
      <c r="A150" s="35">
        <f>案件入力!A150</f>
        <v/>
      </c>
      <c r="B150" s="36">
        <f>案件入力!B150</f>
        <v/>
      </c>
      <c r="C150" s="35">
        <f>案件入力!C150</f>
        <v/>
      </c>
      <c r="D150" s="37">
        <f>案件入力!D150</f>
        <v/>
      </c>
      <c r="E150" s="35">
        <f>案件入力!E150</f>
        <v/>
      </c>
      <c r="F150" s="35">
        <f>案件入力!F150</f>
        <v/>
      </c>
      <c r="G150" s="35">
        <f>案件入力!G150</f>
        <v/>
      </c>
      <c r="H150" s="49">
        <f>案件入力!H150</f>
        <v/>
      </c>
      <c r="I150" s="49">
        <f>案件入力!I150</f>
        <v/>
      </c>
      <c r="J150" s="39">
        <f>案件入力!J150</f>
        <v/>
      </c>
      <c r="K150" s="36">
        <f>案件入力!K150</f>
        <v/>
      </c>
      <c r="L150" s="49">
        <f>案件入力!L150</f>
        <v/>
      </c>
      <c r="M150" s="49">
        <f>案件入力!M150</f>
        <v/>
      </c>
      <c r="N150" s="39">
        <f>案件入力!N150</f>
        <v/>
      </c>
      <c r="O150" s="36">
        <f>案件入力!O150</f>
        <v/>
      </c>
      <c r="P150" s="37">
        <f>案件入力!P150</f>
        <v/>
      </c>
      <c r="Q150" s="35">
        <f>案件入力!Q150</f>
        <v/>
      </c>
      <c r="R150" s="35">
        <f>案件入力!R150</f>
        <v/>
      </c>
      <c r="S150" s="35">
        <f>案件入力!S150</f>
        <v/>
      </c>
    </row>
    <row r="151">
      <c r="A151" s="35">
        <f>案件入力!A151</f>
        <v/>
      </c>
      <c r="B151" s="36">
        <f>案件入力!B151</f>
        <v/>
      </c>
      <c r="C151" s="35">
        <f>案件入力!C151</f>
        <v/>
      </c>
      <c r="D151" s="37">
        <f>案件入力!D151</f>
        <v/>
      </c>
      <c r="E151" s="35">
        <f>案件入力!E151</f>
        <v/>
      </c>
      <c r="F151" s="35">
        <f>案件入力!F151</f>
        <v/>
      </c>
      <c r="G151" s="35">
        <f>案件入力!G151</f>
        <v/>
      </c>
      <c r="H151" s="49">
        <f>案件入力!H151</f>
        <v/>
      </c>
      <c r="I151" s="49">
        <f>案件入力!I151</f>
        <v/>
      </c>
      <c r="J151" s="39">
        <f>案件入力!J151</f>
        <v/>
      </c>
      <c r="K151" s="36">
        <f>案件入力!K151</f>
        <v/>
      </c>
      <c r="L151" s="49">
        <f>案件入力!L151</f>
        <v/>
      </c>
      <c r="M151" s="49">
        <f>案件入力!M151</f>
        <v/>
      </c>
      <c r="N151" s="39">
        <f>案件入力!N151</f>
        <v/>
      </c>
      <c r="O151" s="36">
        <f>案件入力!O151</f>
        <v/>
      </c>
      <c r="P151" s="37">
        <f>案件入力!P151</f>
        <v/>
      </c>
      <c r="Q151" s="35">
        <f>案件入力!Q151</f>
        <v/>
      </c>
      <c r="R151" s="35">
        <f>案件入力!R151</f>
        <v/>
      </c>
      <c r="S151" s="35">
        <f>案件入力!S151</f>
        <v/>
      </c>
    </row>
    <row r="152">
      <c r="A152" s="35">
        <f>案件入力!A152</f>
        <v/>
      </c>
      <c r="B152" s="36">
        <f>案件入力!B152</f>
        <v/>
      </c>
      <c r="C152" s="35">
        <f>案件入力!C152</f>
        <v/>
      </c>
      <c r="D152" s="37">
        <f>案件入力!D152</f>
        <v/>
      </c>
      <c r="E152" s="35">
        <f>案件入力!E152</f>
        <v/>
      </c>
      <c r="F152" s="35">
        <f>案件入力!F152</f>
        <v/>
      </c>
      <c r="G152" s="35">
        <f>案件入力!G152</f>
        <v/>
      </c>
      <c r="H152" s="49">
        <f>案件入力!H152</f>
        <v/>
      </c>
      <c r="I152" s="49">
        <f>案件入力!I152</f>
        <v/>
      </c>
      <c r="J152" s="39">
        <f>案件入力!J152</f>
        <v/>
      </c>
      <c r="K152" s="36">
        <f>案件入力!K152</f>
        <v/>
      </c>
      <c r="L152" s="49">
        <f>案件入力!L152</f>
        <v/>
      </c>
      <c r="M152" s="49">
        <f>案件入力!M152</f>
        <v/>
      </c>
      <c r="N152" s="39">
        <f>案件入力!N152</f>
        <v/>
      </c>
      <c r="O152" s="36">
        <f>案件入力!O152</f>
        <v/>
      </c>
      <c r="P152" s="37">
        <f>案件入力!P152</f>
        <v/>
      </c>
      <c r="Q152" s="35">
        <f>案件入力!Q152</f>
        <v/>
      </c>
      <c r="R152" s="35">
        <f>案件入力!R152</f>
        <v/>
      </c>
      <c r="S152" s="35">
        <f>案件入力!S152</f>
        <v/>
      </c>
    </row>
    <row r="153">
      <c r="A153" s="35">
        <f>案件入力!A153</f>
        <v/>
      </c>
      <c r="B153" s="36">
        <f>案件入力!B153</f>
        <v/>
      </c>
      <c r="C153" s="35">
        <f>案件入力!C153</f>
        <v/>
      </c>
      <c r="D153" s="37">
        <f>案件入力!D153</f>
        <v/>
      </c>
      <c r="E153" s="35">
        <f>案件入力!E153</f>
        <v/>
      </c>
      <c r="F153" s="35">
        <f>案件入力!F153</f>
        <v/>
      </c>
      <c r="G153" s="35">
        <f>案件入力!G153</f>
        <v/>
      </c>
      <c r="H153" s="49">
        <f>案件入力!H153</f>
        <v/>
      </c>
      <c r="I153" s="49">
        <f>案件入力!I153</f>
        <v/>
      </c>
      <c r="J153" s="39">
        <f>案件入力!J153</f>
        <v/>
      </c>
      <c r="K153" s="36">
        <f>案件入力!K153</f>
        <v/>
      </c>
      <c r="L153" s="49">
        <f>案件入力!L153</f>
        <v/>
      </c>
      <c r="M153" s="49">
        <f>案件入力!M153</f>
        <v/>
      </c>
      <c r="N153" s="39">
        <f>案件入力!N153</f>
        <v/>
      </c>
      <c r="O153" s="36">
        <f>案件入力!O153</f>
        <v/>
      </c>
      <c r="P153" s="37">
        <f>案件入力!P153</f>
        <v/>
      </c>
      <c r="Q153" s="35">
        <f>案件入力!Q153</f>
        <v/>
      </c>
      <c r="R153" s="35">
        <f>案件入力!R153</f>
        <v/>
      </c>
      <c r="S153" s="35">
        <f>案件入力!S153</f>
        <v/>
      </c>
    </row>
    <row r="154">
      <c r="A154" s="35">
        <f>案件入力!A154</f>
        <v/>
      </c>
      <c r="B154" s="36">
        <f>案件入力!B154</f>
        <v/>
      </c>
      <c r="C154" s="35">
        <f>案件入力!C154</f>
        <v/>
      </c>
      <c r="D154" s="37">
        <f>案件入力!D154</f>
        <v/>
      </c>
      <c r="E154" s="35">
        <f>案件入力!E154</f>
        <v/>
      </c>
      <c r="F154" s="35">
        <f>案件入力!F154</f>
        <v/>
      </c>
      <c r="G154" s="35">
        <f>案件入力!G154</f>
        <v/>
      </c>
      <c r="H154" s="49">
        <f>案件入力!H154</f>
        <v/>
      </c>
      <c r="I154" s="49">
        <f>案件入力!I154</f>
        <v/>
      </c>
      <c r="J154" s="39">
        <f>案件入力!J154</f>
        <v/>
      </c>
      <c r="K154" s="36">
        <f>案件入力!K154</f>
        <v/>
      </c>
      <c r="L154" s="49">
        <f>案件入力!L154</f>
        <v/>
      </c>
      <c r="M154" s="49">
        <f>案件入力!M154</f>
        <v/>
      </c>
      <c r="N154" s="39">
        <f>案件入力!N154</f>
        <v/>
      </c>
      <c r="O154" s="36">
        <f>案件入力!O154</f>
        <v/>
      </c>
      <c r="P154" s="37">
        <f>案件入力!P154</f>
        <v/>
      </c>
      <c r="Q154" s="35">
        <f>案件入力!Q154</f>
        <v/>
      </c>
      <c r="R154" s="35">
        <f>案件入力!R154</f>
        <v/>
      </c>
      <c r="S154" s="35">
        <f>案件入力!S154</f>
        <v/>
      </c>
    </row>
    <row r="155">
      <c r="A155" s="35">
        <f>案件入力!A155</f>
        <v/>
      </c>
      <c r="B155" s="36">
        <f>案件入力!B155</f>
        <v/>
      </c>
      <c r="C155" s="35">
        <f>案件入力!C155</f>
        <v/>
      </c>
      <c r="D155" s="37">
        <f>案件入力!D155</f>
        <v/>
      </c>
      <c r="E155" s="35">
        <f>案件入力!E155</f>
        <v/>
      </c>
      <c r="F155" s="35">
        <f>案件入力!F155</f>
        <v/>
      </c>
      <c r="G155" s="35">
        <f>案件入力!G155</f>
        <v/>
      </c>
      <c r="H155" s="49">
        <f>案件入力!H155</f>
        <v/>
      </c>
      <c r="I155" s="49">
        <f>案件入力!I155</f>
        <v/>
      </c>
      <c r="J155" s="39">
        <f>案件入力!J155</f>
        <v/>
      </c>
      <c r="K155" s="36">
        <f>案件入力!K155</f>
        <v/>
      </c>
      <c r="L155" s="49">
        <f>案件入力!L155</f>
        <v/>
      </c>
      <c r="M155" s="49">
        <f>案件入力!M155</f>
        <v/>
      </c>
      <c r="N155" s="39">
        <f>案件入力!N155</f>
        <v/>
      </c>
      <c r="O155" s="36">
        <f>案件入力!O155</f>
        <v/>
      </c>
      <c r="P155" s="37">
        <f>案件入力!P155</f>
        <v/>
      </c>
      <c r="Q155" s="35">
        <f>案件入力!Q155</f>
        <v/>
      </c>
      <c r="R155" s="35">
        <f>案件入力!R155</f>
        <v/>
      </c>
      <c r="S155" s="35">
        <f>案件入力!S155</f>
        <v/>
      </c>
    </row>
    <row r="156">
      <c r="A156" s="35">
        <f>案件入力!A156</f>
        <v/>
      </c>
      <c r="B156" s="36">
        <f>案件入力!B156</f>
        <v/>
      </c>
      <c r="C156" s="35">
        <f>案件入力!C156</f>
        <v/>
      </c>
      <c r="D156" s="37">
        <f>案件入力!D156</f>
        <v/>
      </c>
      <c r="E156" s="35">
        <f>案件入力!E156</f>
        <v/>
      </c>
      <c r="F156" s="35">
        <f>案件入力!F156</f>
        <v/>
      </c>
      <c r="G156" s="35">
        <f>案件入力!G156</f>
        <v/>
      </c>
      <c r="H156" s="49">
        <f>案件入力!H156</f>
        <v/>
      </c>
      <c r="I156" s="49">
        <f>案件入力!I156</f>
        <v/>
      </c>
      <c r="J156" s="39">
        <f>案件入力!J156</f>
        <v/>
      </c>
      <c r="K156" s="36">
        <f>案件入力!K156</f>
        <v/>
      </c>
      <c r="L156" s="49">
        <f>案件入力!L156</f>
        <v/>
      </c>
      <c r="M156" s="49">
        <f>案件入力!M156</f>
        <v/>
      </c>
      <c r="N156" s="39">
        <f>案件入力!N156</f>
        <v/>
      </c>
      <c r="O156" s="36">
        <f>案件入力!O156</f>
        <v/>
      </c>
      <c r="P156" s="37">
        <f>案件入力!P156</f>
        <v/>
      </c>
      <c r="Q156" s="35">
        <f>案件入力!Q156</f>
        <v/>
      </c>
      <c r="R156" s="35">
        <f>案件入力!R156</f>
        <v/>
      </c>
      <c r="S156" s="35">
        <f>案件入力!S156</f>
        <v/>
      </c>
    </row>
    <row r="157">
      <c r="A157" s="35">
        <f>案件入力!A157</f>
        <v/>
      </c>
      <c r="B157" s="36">
        <f>案件入力!B157</f>
        <v/>
      </c>
      <c r="C157" s="35">
        <f>案件入力!C157</f>
        <v/>
      </c>
      <c r="D157" s="37">
        <f>案件入力!D157</f>
        <v/>
      </c>
      <c r="E157" s="35">
        <f>案件入力!E157</f>
        <v/>
      </c>
      <c r="F157" s="35">
        <f>案件入力!F157</f>
        <v/>
      </c>
      <c r="G157" s="35">
        <f>案件入力!G157</f>
        <v/>
      </c>
      <c r="H157" s="49">
        <f>案件入力!H157</f>
        <v/>
      </c>
      <c r="I157" s="49">
        <f>案件入力!I157</f>
        <v/>
      </c>
      <c r="J157" s="39">
        <f>案件入力!J157</f>
        <v/>
      </c>
      <c r="K157" s="36">
        <f>案件入力!K157</f>
        <v/>
      </c>
      <c r="L157" s="49">
        <f>案件入力!L157</f>
        <v/>
      </c>
      <c r="M157" s="49">
        <f>案件入力!M157</f>
        <v/>
      </c>
      <c r="N157" s="39">
        <f>案件入力!N157</f>
        <v/>
      </c>
      <c r="O157" s="36">
        <f>案件入力!O157</f>
        <v/>
      </c>
      <c r="P157" s="37">
        <f>案件入力!P157</f>
        <v/>
      </c>
      <c r="Q157" s="35">
        <f>案件入力!Q157</f>
        <v/>
      </c>
      <c r="R157" s="35">
        <f>案件入力!R157</f>
        <v/>
      </c>
      <c r="S157" s="35">
        <f>案件入力!S157</f>
        <v/>
      </c>
    </row>
    <row r="158">
      <c r="A158" s="35">
        <f>案件入力!A158</f>
        <v/>
      </c>
      <c r="B158" s="36">
        <f>案件入力!B158</f>
        <v/>
      </c>
      <c r="C158" s="35">
        <f>案件入力!C158</f>
        <v/>
      </c>
      <c r="D158" s="37">
        <f>案件入力!D158</f>
        <v/>
      </c>
      <c r="E158" s="35">
        <f>案件入力!E158</f>
        <v/>
      </c>
      <c r="F158" s="35">
        <f>案件入力!F158</f>
        <v/>
      </c>
      <c r="G158" s="35">
        <f>案件入力!G158</f>
        <v/>
      </c>
      <c r="H158" s="49">
        <f>案件入力!H158</f>
        <v/>
      </c>
      <c r="I158" s="49">
        <f>案件入力!I158</f>
        <v/>
      </c>
      <c r="J158" s="39">
        <f>案件入力!J158</f>
        <v/>
      </c>
      <c r="K158" s="36">
        <f>案件入力!K158</f>
        <v/>
      </c>
      <c r="L158" s="49">
        <f>案件入力!L158</f>
        <v/>
      </c>
      <c r="M158" s="49">
        <f>案件入力!M158</f>
        <v/>
      </c>
      <c r="N158" s="39">
        <f>案件入力!N158</f>
        <v/>
      </c>
      <c r="O158" s="36">
        <f>案件入力!O158</f>
        <v/>
      </c>
      <c r="P158" s="37">
        <f>案件入力!P158</f>
        <v/>
      </c>
      <c r="Q158" s="35">
        <f>案件入力!Q158</f>
        <v/>
      </c>
      <c r="R158" s="35">
        <f>案件入力!R158</f>
        <v/>
      </c>
      <c r="S158" s="35">
        <f>案件入力!S158</f>
        <v/>
      </c>
    </row>
    <row r="159">
      <c r="A159" s="35">
        <f>案件入力!A159</f>
        <v/>
      </c>
      <c r="B159" s="36">
        <f>案件入力!B159</f>
        <v/>
      </c>
      <c r="C159" s="35">
        <f>案件入力!C159</f>
        <v/>
      </c>
      <c r="D159" s="37">
        <f>案件入力!D159</f>
        <v/>
      </c>
      <c r="E159" s="35">
        <f>案件入力!E159</f>
        <v/>
      </c>
      <c r="F159" s="35">
        <f>案件入力!F159</f>
        <v/>
      </c>
      <c r="G159" s="35">
        <f>案件入力!G159</f>
        <v/>
      </c>
      <c r="H159" s="49">
        <f>案件入力!H159</f>
        <v/>
      </c>
      <c r="I159" s="49">
        <f>案件入力!I159</f>
        <v/>
      </c>
      <c r="J159" s="39">
        <f>案件入力!J159</f>
        <v/>
      </c>
      <c r="K159" s="36">
        <f>案件入力!K159</f>
        <v/>
      </c>
      <c r="L159" s="49">
        <f>案件入力!L159</f>
        <v/>
      </c>
      <c r="M159" s="49">
        <f>案件入力!M159</f>
        <v/>
      </c>
      <c r="N159" s="39">
        <f>案件入力!N159</f>
        <v/>
      </c>
      <c r="O159" s="36">
        <f>案件入力!O159</f>
        <v/>
      </c>
      <c r="P159" s="37">
        <f>案件入力!P159</f>
        <v/>
      </c>
      <c r="Q159" s="35">
        <f>案件入力!Q159</f>
        <v/>
      </c>
      <c r="R159" s="35">
        <f>案件入力!R159</f>
        <v/>
      </c>
      <c r="S159" s="35">
        <f>案件入力!S159</f>
        <v/>
      </c>
    </row>
    <row r="160">
      <c r="A160" s="35">
        <f>案件入力!A160</f>
        <v/>
      </c>
      <c r="B160" s="36">
        <f>案件入力!B160</f>
        <v/>
      </c>
      <c r="C160" s="35">
        <f>案件入力!C160</f>
        <v/>
      </c>
      <c r="D160" s="37">
        <f>案件入力!D160</f>
        <v/>
      </c>
      <c r="E160" s="35">
        <f>案件入力!E160</f>
        <v/>
      </c>
      <c r="F160" s="35">
        <f>案件入力!F160</f>
        <v/>
      </c>
      <c r="G160" s="35">
        <f>案件入力!G160</f>
        <v/>
      </c>
      <c r="H160" s="49">
        <f>案件入力!H160</f>
        <v/>
      </c>
      <c r="I160" s="49">
        <f>案件入力!I160</f>
        <v/>
      </c>
      <c r="J160" s="39">
        <f>案件入力!J160</f>
        <v/>
      </c>
      <c r="K160" s="36">
        <f>案件入力!K160</f>
        <v/>
      </c>
      <c r="L160" s="49">
        <f>案件入力!L160</f>
        <v/>
      </c>
      <c r="M160" s="49">
        <f>案件入力!M160</f>
        <v/>
      </c>
      <c r="N160" s="39">
        <f>案件入力!N160</f>
        <v/>
      </c>
      <c r="O160" s="36">
        <f>案件入力!O160</f>
        <v/>
      </c>
      <c r="P160" s="37">
        <f>案件入力!P160</f>
        <v/>
      </c>
      <c r="Q160" s="35">
        <f>案件入力!Q160</f>
        <v/>
      </c>
      <c r="R160" s="35">
        <f>案件入力!R160</f>
        <v/>
      </c>
      <c r="S160" s="35">
        <f>案件入力!S160</f>
        <v/>
      </c>
    </row>
    <row r="161">
      <c r="A161" s="35">
        <f>案件入力!A161</f>
        <v/>
      </c>
      <c r="B161" s="36">
        <f>案件入力!B161</f>
        <v/>
      </c>
      <c r="C161" s="35">
        <f>案件入力!C161</f>
        <v/>
      </c>
      <c r="D161" s="37">
        <f>案件入力!D161</f>
        <v/>
      </c>
      <c r="E161" s="35">
        <f>案件入力!E161</f>
        <v/>
      </c>
      <c r="F161" s="35">
        <f>案件入力!F161</f>
        <v/>
      </c>
      <c r="G161" s="35">
        <f>案件入力!G161</f>
        <v/>
      </c>
      <c r="H161" s="49">
        <f>案件入力!H161</f>
        <v/>
      </c>
      <c r="I161" s="49">
        <f>案件入力!I161</f>
        <v/>
      </c>
      <c r="J161" s="39">
        <f>案件入力!J161</f>
        <v/>
      </c>
      <c r="K161" s="36">
        <f>案件入力!K161</f>
        <v/>
      </c>
      <c r="L161" s="49">
        <f>案件入力!L161</f>
        <v/>
      </c>
      <c r="M161" s="49">
        <f>案件入力!M161</f>
        <v/>
      </c>
      <c r="N161" s="39">
        <f>案件入力!N161</f>
        <v/>
      </c>
      <c r="O161" s="36">
        <f>案件入力!O161</f>
        <v/>
      </c>
      <c r="P161" s="37">
        <f>案件入力!P161</f>
        <v/>
      </c>
      <c r="Q161" s="35">
        <f>案件入力!Q161</f>
        <v/>
      </c>
      <c r="R161" s="35">
        <f>案件入力!R161</f>
        <v/>
      </c>
      <c r="S161" s="35">
        <f>案件入力!S161</f>
        <v/>
      </c>
    </row>
    <row r="162">
      <c r="A162" s="35">
        <f>案件入力!A162</f>
        <v/>
      </c>
      <c r="B162" s="36">
        <f>案件入力!B162</f>
        <v/>
      </c>
      <c r="C162" s="35">
        <f>案件入力!C162</f>
        <v/>
      </c>
      <c r="D162" s="37">
        <f>案件入力!D162</f>
        <v/>
      </c>
      <c r="E162" s="35">
        <f>案件入力!E162</f>
        <v/>
      </c>
      <c r="F162" s="35">
        <f>案件入力!F162</f>
        <v/>
      </c>
      <c r="G162" s="35">
        <f>案件入力!G162</f>
        <v/>
      </c>
      <c r="H162" s="49">
        <f>案件入力!H162</f>
        <v/>
      </c>
      <c r="I162" s="49">
        <f>案件入力!I162</f>
        <v/>
      </c>
      <c r="J162" s="39">
        <f>案件入力!J162</f>
        <v/>
      </c>
      <c r="K162" s="36">
        <f>案件入力!K162</f>
        <v/>
      </c>
      <c r="L162" s="49">
        <f>案件入力!L162</f>
        <v/>
      </c>
      <c r="M162" s="49">
        <f>案件入力!M162</f>
        <v/>
      </c>
      <c r="N162" s="39">
        <f>案件入力!N162</f>
        <v/>
      </c>
      <c r="O162" s="36">
        <f>案件入力!O162</f>
        <v/>
      </c>
      <c r="P162" s="37">
        <f>案件入力!P162</f>
        <v/>
      </c>
      <c r="Q162" s="35">
        <f>案件入力!Q162</f>
        <v/>
      </c>
      <c r="R162" s="35">
        <f>案件入力!R162</f>
        <v/>
      </c>
      <c r="S162" s="35">
        <f>案件入力!S162</f>
        <v/>
      </c>
    </row>
    <row r="163">
      <c r="A163" s="35">
        <f>案件入力!A163</f>
        <v/>
      </c>
      <c r="B163" s="36">
        <f>案件入力!B163</f>
        <v/>
      </c>
      <c r="C163" s="35">
        <f>案件入力!C163</f>
        <v/>
      </c>
      <c r="D163" s="37">
        <f>案件入力!D163</f>
        <v/>
      </c>
      <c r="E163" s="35">
        <f>案件入力!E163</f>
        <v/>
      </c>
      <c r="F163" s="35">
        <f>案件入力!F163</f>
        <v/>
      </c>
      <c r="G163" s="35">
        <f>案件入力!G163</f>
        <v/>
      </c>
      <c r="H163" s="49">
        <f>案件入力!H163</f>
        <v/>
      </c>
      <c r="I163" s="49">
        <f>案件入力!I163</f>
        <v/>
      </c>
      <c r="J163" s="39">
        <f>案件入力!J163</f>
        <v/>
      </c>
      <c r="K163" s="36">
        <f>案件入力!K163</f>
        <v/>
      </c>
      <c r="L163" s="49">
        <f>案件入力!L163</f>
        <v/>
      </c>
      <c r="M163" s="49">
        <f>案件入力!M163</f>
        <v/>
      </c>
      <c r="N163" s="39">
        <f>案件入力!N163</f>
        <v/>
      </c>
      <c r="O163" s="36">
        <f>案件入力!O163</f>
        <v/>
      </c>
      <c r="P163" s="37">
        <f>案件入力!P163</f>
        <v/>
      </c>
      <c r="Q163" s="35">
        <f>案件入力!Q163</f>
        <v/>
      </c>
      <c r="R163" s="35">
        <f>案件入力!R163</f>
        <v/>
      </c>
      <c r="S163" s="35">
        <f>案件入力!S163</f>
        <v/>
      </c>
    </row>
    <row r="164">
      <c r="A164" s="35">
        <f>案件入力!A164</f>
        <v/>
      </c>
      <c r="B164" s="36">
        <f>案件入力!B164</f>
        <v/>
      </c>
      <c r="C164" s="35">
        <f>案件入力!C164</f>
        <v/>
      </c>
      <c r="D164" s="37">
        <f>案件入力!D164</f>
        <v/>
      </c>
      <c r="E164" s="35">
        <f>案件入力!E164</f>
        <v/>
      </c>
      <c r="F164" s="35">
        <f>案件入力!F164</f>
        <v/>
      </c>
      <c r="G164" s="35">
        <f>案件入力!G164</f>
        <v/>
      </c>
      <c r="H164" s="49">
        <f>案件入力!H164</f>
        <v/>
      </c>
      <c r="I164" s="49">
        <f>案件入力!I164</f>
        <v/>
      </c>
      <c r="J164" s="39">
        <f>案件入力!J164</f>
        <v/>
      </c>
      <c r="K164" s="36">
        <f>案件入力!K164</f>
        <v/>
      </c>
      <c r="L164" s="49">
        <f>案件入力!L164</f>
        <v/>
      </c>
      <c r="M164" s="49">
        <f>案件入力!M164</f>
        <v/>
      </c>
      <c r="N164" s="39">
        <f>案件入力!N164</f>
        <v/>
      </c>
      <c r="O164" s="36">
        <f>案件入力!O164</f>
        <v/>
      </c>
      <c r="P164" s="37">
        <f>案件入力!P164</f>
        <v/>
      </c>
      <c r="Q164" s="35">
        <f>案件入力!Q164</f>
        <v/>
      </c>
      <c r="R164" s="35">
        <f>案件入力!R164</f>
        <v/>
      </c>
      <c r="S164" s="35">
        <f>案件入力!S164</f>
        <v/>
      </c>
    </row>
    <row r="165">
      <c r="A165" s="35">
        <f>案件入力!A165</f>
        <v/>
      </c>
      <c r="B165" s="36">
        <f>案件入力!B165</f>
        <v/>
      </c>
      <c r="C165" s="35">
        <f>案件入力!C165</f>
        <v/>
      </c>
      <c r="D165" s="37">
        <f>案件入力!D165</f>
        <v/>
      </c>
      <c r="E165" s="35">
        <f>案件入力!E165</f>
        <v/>
      </c>
      <c r="F165" s="35">
        <f>案件入力!F165</f>
        <v/>
      </c>
      <c r="G165" s="35">
        <f>案件入力!G165</f>
        <v/>
      </c>
      <c r="H165" s="49">
        <f>案件入力!H165</f>
        <v/>
      </c>
      <c r="I165" s="49">
        <f>案件入力!I165</f>
        <v/>
      </c>
      <c r="J165" s="39">
        <f>案件入力!J165</f>
        <v/>
      </c>
      <c r="K165" s="36">
        <f>案件入力!K165</f>
        <v/>
      </c>
      <c r="L165" s="49">
        <f>案件入力!L165</f>
        <v/>
      </c>
      <c r="M165" s="49">
        <f>案件入力!M165</f>
        <v/>
      </c>
      <c r="N165" s="39">
        <f>案件入力!N165</f>
        <v/>
      </c>
      <c r="O165" s="36">
        <f>案件入力!O165</f>
        <v/>
      </c>
      <c r="P165" s="37">
        <f>案件入力!P165</f>
        <v/>
      </c>
      <c r="Q165" s="35">
        <f>案件入力!Q165</f>
        <v/>
      </c>
      <c r="R165" s="35">
        <f>案件入力!R165</f>
        <v/>
      </c>
      <c r="S165" s="35">
        <f>案件入力!S165</f>
        <v/>
      </c>
    </row>
    <row r="166">
      <c r="A166" s="35">
        <f>案件入力!A166</f>
        <v/>
      </c>
      <c r="B166" s="36">
        <f>案件入力!B166</f>
        <v/>
      </c>
      <c r="C166" s="35">
        <f>案件入力!C166</f>
        <v/>
      </c>
      <c r="D166" s="37">
        <f>案件入力!D166</f>
        <v/>
      </c>
      <c r="E166" s="35">
        <f>案件入力!E166</f>
        <v/>
      </c>
      <c r="F166" s="35">
        <f>案件入力!F166</f>
        <v/>
      </c>
      <c r="G166" s="35">
        <f>案件入力!G166</f>
        <v/>
      </c>
      <c r="H166" s="49">
        <f>案件入力!H166</f>
        <v/>
      </c>
      <c r="I166" s="49">
        <f>案件入力!I166</f>
        <v/>
      </c>
      <c r="J166" s="39">
        <f>案件入力!J166</f>
        <v/>
      </c>
      <c r="K166" s="36">
        <f>案件入力!K166</f>
        <v/>
      </c>
      <c r="L166" s="49">
        <f>案件入力!L166</f>
        <v/>
      </c>
      <c r="M166" s="49">
        <f>案件入力!M166</f>
        <v/>
      </c>
      <c r="N166" s="39">
        <f>案件入力!N166</f>
        <v/>
      </c>
      <c r="O166" s="36">
        <f>案件入力!O166</f>
        <v/>
      </c>
      <c r="P166" s="37">
        <f>案件入力!P166</f>
        <v/>
      </c>
      <c r="Q166" s="35">
        <f>案件入力!Q166</f>
        <v/>
      </c>
      <c r="R166" s="35">
        <f>案件入力!R166</f>
        <v/>
      </c>
      <c r="S166" s="35">
        <f>案件入力!S166</f>
        <v/>
      </c>
    </row>
    <row r="167">
      <c r="A167" s="35">
        <f>案件入力!A167</f>
        <v/>
      </c>
      <c r="B167" s="36">
        <f>案件入力!B167</f>
        <v/>
      </c>
      <c r="C167" s="35">
        <f>案件入力!C167</f>
        <v/>
      </c>
      <c r="D167" s="37">
        <f>案件入力!D167</f>
        <v/>
      </c>
      <c r="E167" s="35">
        <f>案件入力!E167</f>
        <v/>
      </c>
      <c r="F167" s="35">
        <f>案件入力!F167</f>
        <v/>
      </c>
      <c r="G167" s="35">
        <f>案件入力!G167</f>
        <v/>
      </c>
      <c r="H167" s="49">
        <f>案件入力!H167</f>
        <v/>
      </c>
      <c r="I167" s="49">
        <f>案件入力!I167</f>
        <v/>
      </c>
      <c r="J167" s="39">
        <f>案件入力!J167</f>
        <v/>
      </c>
      <c r="K167" s="36">
        <f>案件入力!K167</f>
        <v/>
      </c>
      <c r="L167" s="49">
        <f>案件入力!L167</f>
        <v/>
      </c>
      <c r="M167" s="49">
        <f>案件入力!M167</f>
        <v/>
      </c>
      <c r="N167" s="39">
        <f>案件入力!N167</f>
        <v/>
      </c>
      <c r="O167" s="36">
        <f>案件入力!O167</f>
        <v/>
      </c>
      <c r="P167" s="37">
        <f>案件入力!P167</f>
        <v/>
      </c>
      <c r="Q167" s="35">
        <f>案件入力!Q167</f>
        <v/>
      </c>
      <c r="R167" s="35">
        <f>案件入力!R167</f>
        <v/>
      </c>
      <c r="S167" s="35">
        <f>案件入力!S167</f>
        <v/>
      </c>
    </row>
    <row r="168">
      <c r="A168" s="35">
        <f>案件入力!A168</f>
        <v/>
      </c>
      <c r="B168" s="36">
        <f>案件入力!B168</f>
        <v/>
      </c>
      <c r="C168" s="35">
        <f>案件入力!C168</f>
        <v/>
      </c>
      <c r="D168" s="37">
        <f>案件入力!D168</f>
        <v/>
      </c>
      <c r="E168" s="35">
        <f>案件入力!E168</f>
        <v/>
      </c>
      <c r="F168" s="35">
        <f>案件入力!F168</f>
        <v/>
      </c>
      <c r="G168" s="35">
        <f>案件入力!G168</f>
        <v/>
      </c>
      <c r="H168" s="49">
        <f>案件入力!H168</f>
        <v/>
      </c>
      <c r="I168" s="49">
        <f>案件入力!I168</f>
        <v/>
      </c>
      <c r="J168" s="39">
        <f>案件入力!J168</f>
        <v/>
      </c>
      <c r="K168" s="36">
        <f>案件入力!K168</f>
        <v/>
      </c>
      <c r="L168" s="49">
        <f>案件入力!L168</f>
        <v/>
      </c>
      <c r="M168" s="49">
        <f>案件入力!M168</f>
        <v/>
      </c>
      <c r="N168" s="39">
        <f>案件入力!N168</f>
        <v/>
      </c>
      <c r="O168" s="36">
        <f>案件入力!O168</f>
        <v/>
      </c>
      <c r="P168" s="37">
        <f>案件入力!P168</f>
        <v/>
      </c>
      <c r="Q168" s="35">
        <f>案件入力!Q168</f>
        <v/>
      </c>
      <c r="R168" s="35">
        <f>案件入力!R168</f>
        <v/>
      </c>
      <c r="S168" s="35">
        <f>案件入力!S168</f>
        <v/>
      </c>
    </row>
    <row r="169">
      <c r="A169" s="35">
        <f>案件入力!A169</f>
        <v/>
      </c>
      <c r="B169" s="36">
        <f>案件入力!B169</f>
        <v/>
      </c>
      <c r="C169" s="35">
        <f>案件入力!C169</f>
        <v/>
      </c>
      <c r="D169" s="37">
        <f>案件入力!D169</f>
        <v/>
      </c>
      <c r="E169" s="35">
        <f>案件入力!E169</f>
        <v/>
      </c>
      <c r="F169" s="35">
        <f>案件入力!F169</f>
        <v/>
      </c>
      <c r="G169" s="35">
        <f>案件入力!G169</f>
        <v/>
      </c>
      <c r="H169" s="49">
        <f>案件入力!H169</f>
        <v/>
      </c>
      <c r="I169" s="49">
        <f>案件入力!I169</f>
        <v/>
      </c>
      <c r="J169" s="39">
        <f>案件入力!J169</f>
        <v/>
      </c>
      <c r="K169" s="36">
        <f>案件入力!K169</f>
        <v/>
      </c>
      <c r="L169" s="49">
        <f>案件入力!L169</f>
        <v/>
      </c>
      <c r="M169" s="49">
        <f>案件入力!M169</f>
        <v/>
      </c>
      <c r="N169" s="39">
        <f>案件入力!N169</f>
        <v/>
      </c>
      <c r="O169" s="36">
        <f>案件入力!O169</f>
        <v/>
      </c>
      <c r="P169" s="37">
        <f>案件入力!P169</f>
        <v/>
      </c>
      <c r="Q169" s="35">
        <f>案件入力!Q169</f>
        <v/>
      </c>
      <c r="R169" s="35">
        <f>案件入力!R169</f>
        <v/>
      </c>
      <c r="S169" s="35">
        <f>案件入力!S169</f>
        <v/>
      </c>
    </row>
    <row r="170">
      <c r="A170" s="35">
        <f>案件入力!A170</f>
        <v/>
      </c>
      <c r="B170" s="36">
        <f>案件入力!B170</f>
        <v/>
      </c>
      <c r="C170" s="35">
        <f>案件入力!C170</f>
        <v/>
      </c>
      <c r="D170" s="37">
        <f>案件入力!D170</f>
        <v/>
      </c>
      <c r="E170" s="35">
        <f>案件入力!E170</f>
        <v/>
      </c>
      <c r="F170" s="35">
        <f>案件入力!F170</f>
        <v/>
      </c>
      <c r="G170" s="35">
        <f>案件入力!G170</f>
        <v/>
      </c>
      <c r="H170" s="49">
        <f>案件入力!H170</f>
        <v/>
      </c>
      <c r="I170" s="49">
        <f>案件入力!I170</f>
        <v/>
      </c>
      <c r="J170" s="39">
        <f>案件入力!J170</f>
        <v/>
      </c>
      <c r="K170" s="36">
        <f>案件入力!K170</f>
        <v/>
      </c>
      <c r="L170" s="49">
        <f>案件入力!L170</f>
        <v/>
      </c>
      <c r="M170" s="49">
        <f>案件入力!M170</f>
        <v/>
      </c>
      <c r="N170" s="39">
        <f>案件入力!N170</f>
        <v/>
      </c>
      <c r="O170" s="36">
        <f>案件入力!O170</f>
        <v/>
      </c>
      <c r="P170" s="37">
        <f>案件入力!P170</f>
        <v/>
      </c>
      <c r="Q170" s="35">
        <f>案件入力!Q170</f>
        <v/>
      </c>
      <c r="R170" s="35">
        <f>案件入力!R170</f>
        <v/>
      </c>
      <c r="S170" s="35">
        <f>案件入力!S170</f>
        <v/>
      </c>
    </row>
    <row r="171">
      <c r="A171" s="35">
        <f>案件入力!A171</f>
        <v/>
      </c>
      <c r="B171" s="36">
        <f>案件入力!B171</f>
        <v/>
      </c>
      <c r="C171" s="35">
        <f>案件入力!C171</f>
        <v/>
      </c>
      <c r="D171" s="37">
        <f>案件入力!D171</f>
        <v/>
      </c>
      <c r="E171" s="35">
        <f>案件入力!E171</f>
        <v/>
      </c>
      <c r="F171" s="35">
        <f>案件入力!F171</f>
        <v/>
      </c>
      <c r="G171" s="35">
        <f>案件入力!G171</f>
        <v/>
      </c>
      <c r="H171" s="49">
        <f>案件入力!H171</f>
        <v/>
      </c>
      <c r="I171" s="49">
        <f>案件入力!I171</f>
        <v/>
      </c>
      <c r="J171" s="39">
        <f>案件入力!J171</f>
        <v/>
      </c>
      <c r="K171" s="36">
        <f>案件入力!K171</f>
        <v/>
      </c>
      <c r="L171" s="49">
        <f>案件入力!L171</f>
        <v/>
      </c>
      <c r="M171" s="49">
        <f>案件入力!M171</f>
        <v/>
      </c>
      <c r="N171" s="39">
        <f>案件入力!N171</f>
        <v/>
      </c>
      <c r="O171" s="36">
        <f>案件入力!O171</f>
        <v/>
      </c>
      <c r="P171" s="37">
        <f>案件入力!P171</f>
        <v/>
      </c>
      <c r="Q171" s="35">
        <f>案件入力!Q171</f>
        <v/>
      </c>
      <c r="R171" s="35">
        <f>案件入力!R171</f>
        <v/>
      </c>
      <c r="S171" s="35">
        <f>案件入力!S171</f>
        <v/>
      </c>
    </row>
    <row r="172">
      <c r="A172" s="35">
        <f>案件入力!A172</f>
        <v/>
      </c>
      <c r="B172" s="36">
        <f>案件入力!B172</f>
        <v/>
      </c>
      <c r="C172" s="35">
        <f>案件入力!C172</f>
        <v/>
      </c>
      <c r="D172" s="37">
        <f>案件入力!D172</f>
        <v/>
      </c>
      <c r="E172" s="35">
        <f>案件入力!E172</f>
        <v/>
      </c>
      <c r="F172" s="35">
        <f>案件入力!F172</f>
        <v/>
      </c>
      <c r="G172" s="35">
        <f>案件入力!G172</f>
        <v/>
      </c>
      <c r="H172" s="49">
        <f>案件入力!H172</f>
        <v/>
      </c>
      <c r="I172" s="49">
        <f>案件入力!I172</f>
        <v/>
      </c>
      <c r="J172" s="39">
        <f>案件入力!J172</f>
        <v/>
      </c>
      <c r="K172" s="36">
        <f>案件入力!K172</f>
        <v/>
      </c>
      <c r="L172" s="49">
        <f>案件入力!L172</f>
        <v/>
      </c>
      <c r="M172" s="49">
        <f>案件入力!M172</f>
        <v/>
      </c>
      <c r="N172" s="39">
        <f>案件入力!N172</f>
        <v/>
      </c>
      <c r="O172" s="36">
        <f>案件入力!O172</f>
        <v/>
      </c>
      <c r="P172" s="37">
        <f>案件入力!P172</f>
        <v/>
      </c>
      <c r="Q172" s="35">
        <f>案件入力!Q172</f>
        <v/>
      </c>
      <c r="R172" s="35">
        <f>案件入力!R172</f>
        <v/>
      </c>
      <c r="S172" s="35">
        <f>案件入力!S172</f>
        <v/>
      </c>
    </row>
    <row r="173">
      <c r="A173" s="35">
        <f>案件入力!A173</f>
        <v/>
      </c>
      <c r="B173" s="36">
        <f>案件入力!B173</f>
        <v/>
      </c>
      <c r="C173" s="35">
        <f>案件入力!C173</f>
        <v/>
      </c>
      <c r="D173" s="37">
        <f>案件入力!D173</f>
        <v/>
      </c>
      <c r="E173" s="35">
        <f>案件入力!E173</f>
        <v/>
      </c>
      <c r="F173" s="35">
        <f>案件入力!F173</f>
        <v/>
      </c>
      <c r="G173" s="35">
        <f>案件入力!G173</f>
        <v/>
      </c>
      <c r="H173" s="49">
        <f>案件入力!H173</f>
        <v/>
      </c>
      <c r="I173" s="49">
        <f>案件入力!I173</f>
        <v/>
      </c>
      <c r="J173" s="39">
        <f>案件入力!J173</f>
        <v/>
      </c>
      <c r="K173" s="36">
        <f>案件入力!K173</f>
        <v/>
      </c>
      <c r="L173" s="49">
        <f>案件入力!L173</f>
        <v/>
      </c>
      <c r="M173" s="49">
        <f>案件入力!M173</f>
        <v/>
      </c>
      <c r="N173" s="39">
        <f>案件入力!N173</f>
        <v/>
      </c>
      <c r="O173" s="36">
        <f>案件入力!O173</f>
        <v/>
      </c>
      <c r="P173" s="37">
        <f>案件入力!P173</f>
        <v/>
      </c>
      <c r="Q173" s="35">
        <f>案件入力!Q173</f>
        <v/>
      </c>
      <c r="R173" s="35">
        <f>案件入力!R173</f>
        <v/>
      </c>
      <c r="S173" s="35">
        <f>案件入力!S173</f>
        <v/>
      </c>
    </row>
    <row r="174">
      <c r="A174" s="35">
        <f>案件入力!A174</f>
        <v/>
      </c>
      <c r="B174" s="36">
        <f>案件入力!B174</f>
        <v/>
      </c>
      <c r="C174" s="35">
        <f>案件入力!C174</f>
        <v/>
      </c>
      <c r="D174" s="37">
        <f>案件入力!D174</f>
        <v/>
      </c>
      <c r="E174" s="35">
        <f>案件入力!E174</f>
        <v/>
      </c>
      <c r="F174" s="35">
        <f>案件入力!F174</f>
        <v/>
      </c>
      <c r="G174" s="35">
        <f>案件入力!G174</f>
        <v/>
      </c>
      <c r="H174" s="49">
        <f>案件入力!H174</f>
        <v/>
      </c>
      <c r="I174" s="49">
        <f>案件入力!I174</f>
        <v/>
      </c>
      <c r="J174" s="39">
        <f>案件入力!J174</f>
        <v/>
      </c>
      <c r="K174" s="36">
        <f>案件入力!K174</f>
        <v/>
      </c>
      <c r="L174" s="49">
        <f>案件入力!L174</f>
        <v/>
      </c>
      <c r="M174" s="49">
        <f>案件入力!M174</f>
        <v/>
      </c>
      <c r="N174" s="39">
        <f>案件入力!N174</f>
        <v/>
      </c>
      <c r="O174" s="36">
        <f>案件入力!O174</f>
        <v/>
      </c>
      <c r="P174" s="37">
        <f>案件入力!P174</f>
        <v/>
      </c>
      <c r="Q174" s="35">
        <f>案件入力!Q174</f>
        <v/>
      </c>
      <c r="R174" s="35">
        <f>案件入力!R174</f>
        <v/>
      </c>
      <c r="S174" s="35">
        <f>案件入力!S174</f>
        <v/>
      </c>
    </row>
    <row r="175">
      <c r="A175" s="35">
        <f>案件入力!A175</f>
        <v/>
      </c>
      <c r="B175" s="36">
        <f>案件入力!B175</f>
        <v/>
      </c>
      <c r="C175" s="35">
        <f>案件入力!C175</f>
        <v/>
      </c>
      <c r="D175" s="37">
        <f>案件入力!D175</f>
        <v/>
      </c>
      <c r="E175" s="35">
        <f>案件入力!E175</f>
        <v/>
      </c>
      <c r="F175" s="35">
        <f>案件入力!F175</f>
        <v/>
      </c>
      <c r="G175" s="35">
        <f>案件入力!G175</f>
        <v/>
      </c>
      <c r="H175" s="49">
        <f>案件入力!H175</f>
        <v/>
      </c>
      <c r="I175" s="49">
        <f>案件入力!I175</f>
        <v/>
      </c>
      <c r="J175" s="39">
        <f>案件入力!J175</f>
        <v/>
      </c>
      <c r="K175" s="36">
        <f>案件入力!K175</f>
        <v/>
      </c>
      <c r="L175" s="49">
        <f>案件入力!L175</f>
        <v/>
      </c>
      <c r="M175" s="49">
        <f>案件入力!M175</f>
        <v/>
      </c>
      <c r="N175" s="39">
        <f>案件入力!N175</f>
        <v/>
      </c>
      <c r="O175" s="36">
        <f>案件入力!O175</f>
        <v/>
      </c>
      <c r="P175" s="37">
        <f>案件入力!P175</f>
        <v/>
      </c>
      <c r="Q175" s="35">
        <f>案件入力!Q175</f>
        <v/>
      </c>
      <c r="R175" s="35">
        <f>案件入力!R175</f>
        <v/>
      </c>
      <c r="S175" s="35">
        <f>案件入力!S175</f>
        <v/>
      </c>
    </row>
    <row r="176">
      <c r="A176" s="35">
        <f>案件入力!A176</f>
        <v/>
      </c>
      <c r="B176" s="36">
        <f>案件入力!B176</f>
        <v/>
      </c>
      <c r="C176" s="35">
        <f>案件入力!C176</f>
        <v/>
      </c>
      <c r="D176" s="37">
        <f>案件入力!D176</f>
        <v/>
      </c>
      <c r="E176" s="35">
        <f>案件入力!E176</f>
        <v/>
      </c>
      <c r="F176" s="35">
        <f>案件入力!F176</f>
        <v/>
      </c>
      <c r="G176" s="35">
        <f>案件入力!G176</f>
        <v/>
      </c>
      <c r="H176" s="49">
        <f>案件入力!H176</f>
        <v/>
      </c>
      <c r="I176" s="49">
        <f>案件入力!I176</f>
        <v/>
      </c>
      <c r="J176" s="39">
        <f>案件入力!J176</f>
        <v/>
      </c>
      <c r="K176" s="36">
        <f>案件入力!K176</f>
        <v/>
      </c>
      <c r="L176" s="49">
        <f>案件入力!L176</f>
        <v/>
      </c>
      <c r="M176" s="49">
        <f>案件入力!M176</f>
        <v/>
      </c>
      <c r="N176" s="39">
        <f>案件入力!N176</f>
        <v/>
      </c>
      <c r="O176" s="36">
        <f>案件入力!O176</f>
        <v/>
      </c>
      <c r="P176" s="37">
        <f>案件入力!P176</f>
        <v/>
      </c>
      <c r="Q176" s="35">
        <f>案件入力!Q176</f>
        <v/>
      </c>
      <c r="R176" s="35">
        <f>案件入力!R176</f>
        <v/>
      </c>
      <c r="S176" s="35">
        <f>案件入力!S176</f>
        <v/>
      </c>
    </row>
    <row r="177">
      <c r="A177" s="35">
        <f>案件入力!A177</f>
        <v/>
      </c>
      <c r="B177" s="36">
        <f>案件入力!B177</f>
        <v/>
      </c>
      <c r="C177" s="35">
        <f>案件入力!C177</f>
        <v/>
      </c>
      <c r="D177" s="37">
        <f>案件入力!D177</f>
        <v/>
      </c>
      <c r="E177" s="35">
        <f>案件入力!E177</f>
        <v/>
      </c>
      <c r="F177" s="35">
        <f>案件入力!F177</f>
        <v/>
      </c>
      <c r="G177" s="35">
        <f>案件入力!G177</f>
        <v/>
      </c>
      <c r="H177" s="49">
        <f>案件入力!H177</f>
        <v/>
      </c>
      <c r="I177" s="49">
        <f>案件入力!I177</f>
        <v/>
      </c>
      <c r="J177" s="39">
        <f>案件入力!J177</f>
        <v/>
      </c>
      <c r="K177" s="36">
        <f>案件入力!K177</f>
        <v/>
      </c>
      <c r="L177" s="49">
        <f>案件入力!L177</f>
        <v/>
      </c>
      <c r="M177" s="49">
        <f>案件入力!M177</f>
        <v/>
      </c>
      <c r="N177" s="39">
        <f>案件入力!N177</f>
        <v/>
      </c>
      <c r="O177" s="36">
        <f>案件入力!O177</f>
        <v/>
      </c>
      <c r="P177" s="37">
        <f>案件入力!P177</f>
        <v/>
      </c>
      <c r="Q177" s="35">
        <f>案件入力!Q177</f>
        <v/>
      </c>
      <c r="R177" s="35">
        <f>案件入力!R177</f>
        <v/>
      </c>
      <c r="S177" s="35">
        <f>案件入力!S177</f>
        <v/>
      </c>
    </row>
    <row r="178">
      <c r="A178" s="35">
        <f>案件入力!A178</f>
        <v/>
      </c>
      <c r="B178" s="36">
        <f>案件入力!B178</f>
        <v/>
      </c>
      <c r="C178" s="35">
        <f>案件入力!C178</f>
        <v/>
      </c>
      <c r="D178" s="37">
        <f>案件入力!D178</f>
        <v/>
      </c>
      <c r="E178" s="35">
        <f>案件入力!E178</f>
        <v/>
      </c>
      <c r="F178" s="35">
        <f>案件入力!F178</f>
        <v/>
      </c>
      <c r="G178" s="35">
        <f>案件入力!G178</f>
        <v/>
      </c>
      <c r="H178" s="49">
        <f>案件入力!H178</f>
        <v/>
      </c>
      <c r="I178" s="49">
        <f>案件入力!I178</f>
        <v/>
      </c>
      <c r="J178" s="39">
        <f>案件入力!J178</f>
        <v/>
      </c>
      <c r="K178" s="36">
        <f>案件入力!K178</f>
        <v/>
      </c>
      <c r="L178" s="49">
        <f>案件入力!L178</f>
        <v/>
      </c>
      <c r="M178" s="49">
        <f>案件入力!M178</f>
        <v/>
      </c>
      <c r="N178" s="39">
        <f>案件入力!N178</f>
        <v/>
      </c>
      <c r="O178" s="36">
        <f>案件入力!O178</f>
        <v/>
      </c>
      <c r="P178" s="37">
        <f>案件入力!P178</f>
        <v/>
      </c>
      <c r="Q178" s="35">
        <f>案件入力!Q178</f>
        <v/>
      </c>
      <c r="R178" s="35">
        <f>案件入力!R178</f>
        <v/>
      </c>
      <c r="S178" s="35">
        <f>案件入力!S178</f>
        <v/>
      </c>
    </row>
    <row r="179">
      <c r="A179" s="35">
        <f>案件入力!A179</f>
        <v/>
      </c>
      <c r="B179" s="36">
        <f>案件入力!B179</f>
        <v/>
      </c>
      <c r="C179" s="35">
        <f>案件入力!C179</f>
        <v/>
      </c>
      <c r="D179" s="37">
        <f>案件入力!D179</f>
        <v/>
      </c>
      <c r="E179" s="35">
        <f>案件入力!E179</f>
        <v/>
      </c>
      <c r="F179" s="35">
        <f>案件入力!F179</f>
        <v/>
      </c>
      <c r="G179" s="35">
        <f>案件入力!G179</f>
        <v/>
      </c>
      <c r="H179" s="49">
        <f>案件入力!H179</f>
        <v/>
      </c>
      <c r="I179" s="49">
        <f>案件入力!I179</f>
        <v/>
      </c>
      <c r="J179" s="39">
        <f>案件入力!J179</f>
        <v/>
      </c>
      <c r="K179" s="36">
        <f>案件入力!K179</f>
        <v/>
      </c>
      <c r="L179" s="49">
        <f>案件入力!L179</f>
        <v/>
      </c>
      <c r="M179" s="49">
        <f>案件入力!M179</f>
        <v/>
      </c>
      <c r="N179" s="39">
        <f>案件入力!N179</f>
        <v/>
      </c>
      <c r="O179" s="36">
        <f>案件入力!O179</f>
        <v/>
      </c>
      <c r="P179" s="37">
        <f>案件入力!P179</f>
        <v/>
      </c>
      <c r="Q179" s="35">
        <f>案件入力!Q179</f>
        <v/>
      </c>
      <c r="R179" s="35">
        <f>案件入力!R179</f>
        <v/>
      </c>
      <c r="S179" s="35">
        <f>案件入力!S179</f>
        <v/>
      </c>
    </row>
    <row r="180">
      <c r="A180" s="35">
        <f>案件入力!A180</f>
        <v/>
      </c>
      <c r="B180" s="36">
        <f>案件入力!B180</f>
        <v/>
      </c>
      <c r="C180" s="35">
        <f>案件入力!C180</f>
        <v/>
      </c>
      <c r="D180" s="37">
        <f>案件入力!D180</f>
        <v/>
      </c>
      <c r="E180" s="35">
        <f>案件入力!E180</f>
        <v/>
      </c>
      <c r="F180" s="35">
        <f>案件入力!F180</f>
        <v/>
      </c>
      <c r="G180" s="35">
        <f>案件入力!G180</f>
        <v/>
      </c>
      <c r="H180" s="49">
        <f>案件入力!H180</f>
        <v/>
      </c>
      <c r="I180" s="49">
        <f>案件入力!I180</f>
        <v/>
      </c>
      <c r="J180" s="39">
        <f>案件入力!J180</f>
        <v/>
      </c>
      <c r="K180" s="36">
        <f>案件入力!K180</f>
        <v/>
      </c>
      <c r="L180" s="49">
        <f>案件入力!L180</f>
        <v/>
      </c>
      <c r="M180" s="49">
        <f>案件入力!M180</f>
        <v/>
      </c>
      <c r="N180" s="39">
        <f>案件入力!N180</f>
        <v/>
      </c>
      <c r="O180" s="36">
        <f>案件入力!O180</f>
        <v/>
      </c>
      <c r="P180" s="37">
        <f>案件入力!P180</f>
        <v/>
      </c>
      <c r="Q180" s="35">
        <f>案件入力!Q180</f>
        <v/>
      </c>
      <c r="R180" s="35">
        <f>案件入力!R180</f>
        <v/>
      </c>
      <c r="S180" s="35">
        <f>案件入力!S180</f>
        <v/>
      </c>
    </row>
    <row r="181">
      <c r="A181" s="35">
        <f>案件入力!A181</f>
        <v/>
      </c>
      <c r="B181" s="36">
        <f>案件入力!B181</f>
        <v/>
      </c>
      <c r="C181" s="35">
        <f>案件入力!C181</f>
        <v/>
      </c>
      <c r="D181" s="37">
        <f>案件入力!D181</f>
        <v/>
      </c>
      <c r="E181" s="35">
        <f>案件入力!E181</f>
        <v/>
      </c>
      <c r="F181" s="35">
        <f>案件入力!F181</f>
        <v/>
      </c>
      <c r="G181" s="35">
        <f>案件入力!G181</f>
        <v/>
      </c>
      <c r="H181" s="49">
        <f>案件入力!H181</f>
        <v/>
      </c>
      <c r="I181" s="49">
        <f>案件入力!I181</f>
        <v/>
      </c>
      <c r="J181" s="39">
        <f>案件入力!J181</f>
        <v/>
      </c>
      <c r="K181" s="36">
        <f>案件入力!K181</f>
        <v/>
      </c>
      <c r="L181" s="49">
        <f>案件入力!L181</f>
        <v/>
      </c>
      <c r="M181" s="49">
        <f>案件入力!M181</f>
        <v/>
      </c>
      <c r="N181" s="39">
        <f>案件入力!N181</f>
        <v/>
      </c>
      <c r="O181" s="36">
        <f>案件入力!O181</f>
        <v/>
      </c>
      <c r="P181" s="37">
        <f>案件入力!P181</f>
        <v/>
      </c>
      <c r="Q181" s="35">
        <f>案件入力!Q181</f>
        <v/>
      </c>
      <c r="R181" s="35">
        <f>案件入力!R181</f>
        <v/>
      </c>
      <c r="S181" s="35">
        <f>案件入力!S181</f>
        <v/>
      </c>
    </row>
    <row r="182">
      <c r="A182" s="35">
        <f>案件入力!A182</f>
        <v/>
      </c>
      <c r="B182" s="36">
        <f>案件入力!B182</f>
        <v/>
      </c>
      <c r="C182" s="35">
        <f>案件入力!C182</f>
        <v/>
      </c>
      <c r="D182" s="37">
        <f>案件入力!D182</f>
        <v/>
      </c>
      <c r="E182" s="35">
        <f>案件入力!E182</f>
        <v/>
      </c>
      <c r="F182" s="35">
        <f>案件入力!F182</f>
        <v/>
      </c>
      <c r="G182" s="35">
        <f>案件入力!G182</f>
        <v/>
      </c>
      <c r="H182" s="49">
        <f>案件入力!H182</f>
        <v/>
      </c>
      <c r="I182" s="49">
        <f>案件入力!I182</f>
        <v/>
      </c>
      <c r="J182" s="39">
        <f>案件入力!J182</f>
        <v/>
      </c>
      <c r="K182" s="36">
        <f>案件入力!K182</f>
        <v/>
      </c>
      <c r="L182" s="49">
        <f>案件入力!L182</f>
        <v/>
      </c>
      <c r="M182" s="49">
        <f>案件入力!M182</f>
        <v/>
      </c>
      <c r="N182" s="39">
        <f>案件入力!N182</f>
        <v/>
      </c>
      <c r="O182" s="36">
        <f>案件入力!O182</f>
        <v/>
      </c>
      <c r="P182" s="37">
        <f>案件入力!P182</f>
        <v/>
      </c>
      <c r="Q182" s="35">
        <f>案件入力!Q182</f>
        <v/>
      </c>
      <c r="R182" s="35">
        <f>案件入力!R182</f>
        <v/>
      </c>
      <c r="S182" s="35">
        <f>案件入力!S182</f>
        <v/>
      </c>
    </row>
    <row r="183">
      <c r="A183" s="35">
        <f>案件入力!A183</f>
        <v/>
      </c>
      <c r="B183" s="36">
        <f>案件入力!B183</f>
        <v/>
      </c>
      <c r="C183" s="35">
        <f>案件入力!C183</f>
        <v/>
      </c>
      <c r="D183" s="37">
        <f>案件入力!D183</f>
        <v/>
      </c>
      <c r="E183" s="35">
        <f>案件入力!E183</f>
        <v/>
      </c>
      <c r="F183" s="35">
        <f>案件入力!F183</f>
        <v/>
      </c>
      <c r="G183" s="35">
        <f>案件入力!G183</f>
        <v/>
      </c>
      <c r="H183" s="49">
        <f>案件入力!H183</f>
        <v/>
      </c>
      <c r="I183" s="49">
        <f>案件入力!I183</f>
        <v/>
      </c>
      <c r="J183" s="39">
        <f>案件入力!J183</f>
        <v/>
      </c>
      <c r="K183" s="36">
        <f>案件入力!K183</f>
        <v/>
      </c>
      <c r="L183" s="49">
        <f>案件入力!L183</f>
        <v/>
      </c>
      <c r="M183" s="49">
        <f>案件入力!M183</f>
        <v/>
      </c>
      <c r="N183" s="39">
        <f>案件入力!N183</f>
        <v/>
      </c>
      <c r="O183" s="36">
        <f>案件入力!O183</f>
        <v/>
      </c>
      <c r="P183" s="37">
        <f>案件入力!P183</f>
        <v/>
      </c>
      <c r="Q183" s="35">
        <f>案件入力!Q183</f>
        <v/>
      </c>
      <c r="R183" s="35">
        <f>案件入力!R183</f>
        <v/>
      </c>
      <c r="S183" s="35">
        <f>案件入力!S183</f>
        <v/>
      </c>
    </row>
    <row r="184">
      <c r="A184" s="35">
        <f>案件入力!A184</f>
        <v/>
      </c>
      <c r="B184" s="36">
        <f>案件入力!B184</f>
        <v/>
      </c>
      <c r="C184" s="35">
        <f>案件入力!C184</f>
        <v/>
      </c>
      <c r="D184" s="37">
        <f>案件入力!D184</f>
        <v/>
      </c>
      <c r="E184" s="35">
        <f>案件入力!E184</f>
        <v/>
      </c>
      <c r="F184" s="35">
        <f>案件入力!F184</f>
        <v/>
      </c>
      <c r="G184" s="35">
        <f>案件入力!G184</f>
        <v/>
      </c>
      <c r="H184" s="49">
        <f>案件入力!H184</f>
        <v/>
      </c>
      <c r="I184" s="49">
        <f>案件入力!I184</f>
        <v/>
      </c>
      <c r="J184" s="39">
        <f>案件入力!J184</f>
        <v/>
      </c>
      <c r="K184" s="36">
        <f>案件入力!K184</f>
        <v/>
      </c>
      <c r="L184" s="49">
        <f>案件入力!L184</f>
        <v/>
      </c>
      <c r="M184" s="49">
        <f>案件入力!M184</f>
        <v/>
      </c>
      <c r="N184" s="39">
        <f>案件入力!N184</f>
        <v/>
      </c>
      <c r="O184" s="36">
        <f>案件入力!O184</f>
        <v/>
      </c>
      <c r="P184" s="37">
        <f>案件入力!P184</f>
        <v/>
      </c>
      <c r="Q184" s="35">
        <f>案件入力!Q184</f>
        <v/>
      </c>
      <c r="R184" s="35">
        <f>案件入力!R184</f>
        <v/>
      </c>
      <c r="S184" s="35">
        <f>案件入力!S184</f>
        <v/>
      </c>
    </row>
    <row r="185">
      <c r="A185" s="35">
        <f>案件入力!A185</f>
        <v/>
      </c>
      <c r="B185" s="36">
        <f>案件入力!B185</f>
        <v/>
      </c>
      <c r="C185" s="35">
        <f>案件入力!C185</f>
        <v/>
      </c>
      <c r="D185" s="37">
        <f>案件入力!D185</f>
        <v/>
      </c>
      <c r="E185" s="35">
        <f>案件入力!E185</f>
        <v/>
      </c>
      <c r="F185" s="35">
        <f>案件入力!F185</f>
        <v/>
      </c>
      <c r="G185" s="35">
        <f>案件入力!G185</f>
        <v/>
      </c>
      <c r="H185" s="49">
        <f>案件入力!H185</f>
        <v/>
      </c>
      <c r="I185" s="49">
        <f>案件入力!I185</f>
        <v/>
      </c>
      <c r="J185" s="39">
        <f>案件入力!J185</f>
        <v/>
      </c>
      <c r="K185" s="36">
        <f>案件入力!K185</f>
        <v/>
      </c>
      <c r="L185" s="49">
        <f>案件入力!L185</f>
        <v/>
      </c>
      <c r="M185" s="49">
        <f>案件入力!M185</f>
        <v/>
      </c>
      <c r="N185" s="39">
        <f>案件入力!N185</f>
        <v/>
      </c>
      <c r="O185" s="36">
        <f>案件入力!O185</f>
        <v/>
      </c>
      <c r="P185" s="37">
        <f>案件入力!P185</f>
        <v/>
      </c>
      <c r="Q185" s="35">
        <f>案件入力!Q185</f>
        <v/>
      </c>
      <c r="R185" s="35">
        <f>案件入力!R185</f>
        <v/>
      </c>
      <c r="S185" s="35">
        <f>案件入力!S185</f>
        <v/>
      </c>
    </row>
    <row r="186">
      <c r="A186" s="35">
        <f>案件入力!A186</f>
        <v/>
      </c>
      <c r="B186" s="36">
        <f>案件入力!B186</f>
        <v/>
      </c>
      <c r="C186" s="35">
        <f>案件入力!C186</f>
        <v/>
      </c>
      <c r="D186" s="37">
        <f>案件入力!D186</f>
        <v/>
      </c>
      <c r="E186" s="35">
        <f>案件入力!E186</f>
        <v/>
      </c>
      <c r="F186" s="35">
        <f>案件入力!F186</f>
        <v/>
      </c>
      <c r="G186" s="35">
        <f>案件入力!G186</f>
        <v/>
      </c>
      <c r="H186" s="49">
        <f>案件入力!H186</f>
        <v/>
      </c>
      <c r="I186" s="49">
        <f>案件入力!I186</f>
        <v/>
      </c>
      <c r="J186" s="39">
        <f>案件入力!J186</f>
        <v/>
      </c>
      <c r="K186" s="36">
        <f>案件入力!K186</f>
        <v/>
      </c>
      <c r="L186" s="49">
        <f>案件入力!L186</f>
        <v/>
      </c>
      <c r="M186" s="49">
        <f>案件入力!M186</f>
        <v/>
      </c>
      <c r="N186" s="39">
        <f>案件入力!N186</f>
        <v/>
      </c>
      <c r="O186" s="36">
        <f>案件入力!O186</f>
        <v/>
      </c>
      <c r="P186" s="37">
        <f>案件入力!P186</f>
        <v/>
      </c>
      <c r="Q186" s="35">
        <f>案件入力!Q186</f>
        <v/>
      </c>
      <c r="R186" s="35">
        <f>案件入力!R186</f>
        <v/>
      </c>
      <c r="S186" s="35">
        <f>案件入力!S186</f>
        <v/>
      </c>
    </row>
    <row r="187">
      <c r="A187" s="35">
        <f>案件入力!A187</f>
        <v/>
      </c>
      <c r="B187" s="36">
        <f>案件入力!B187</f>
        <v/>
      </c>
      <c r="C187" s="35">
        <f>案件入力!C187</f>
        <v/>
      </c>
      <c r="D187" s="37">
        <f>案件入力!D187</f>
        <v/>
      </c>
      <c r="E187" s="35">
        <f>案件入力!E187</f>
        <v/>
      </c>
      <c r="F187" s="35">
        <f>案件入力!F187</f>
        <v/>
      </c>
      <c r="G187" s="35">
        <f>案件入力!G187</f>
        <v/>
      </c>
      <c r="H187" s="49">
        <f>案件入力!H187</f>
        <v/>
      </c>
      <c r="I187" s="49">
        <f>案件入力!I187</f>
        <v/>
      </c>
      <c r="J187" s="39">
        <f>案件入力!J187</f>
        <v/>
      </c>
      <c r="K187" s="36">
        <f>案件入力!K187</f>
        <v/>
      </c>
      <c r="L187" s="49">
        <f>案件入力!L187</f>
        <v/>
      </c>
      <c r="M187" s="49">
        <f>案件入力!M187</f>
        <v/>
      </c>
      <c r="N187" s="39">
        <f>案件入力!N187</f>
        <v/>
      </c>
      <c r="O187" s="36">
        <f>案件入力!O187</f>
        <v/>
      </c>
      <c r="P187" s="37">
        <f>案件入力!P187</f>
        <v/>
      </c>
      <c r="Q187" s="35">
        <f>案件入力!Q187</f>
        <v/>
      </c>
      <c r="R187" s="35">
        <f>案件入力!R187</f>
        <v/>
      </c>
      <c r="S187" s="35">
        <f>案件入力!S187</f>
        <v/>
      </c>
    </row>
    <row r="188">
      <c r="A188" s="35">
        <f>案件入力!A188</f>
        <v/>
      </c>
      <c r="B188" s="36">
        <f>案件入力!B188</f>
        <v/>
      </c>
      <c r="C188" s="35">
        <f>案件入力!C188</f>
        <v/>
      </c>
      <c r="D188" s="37">
        <f>案件入力!D188</f>
        <v/>
      </c>
      <c r="E188" s="35">
        <f>案件入力!E188</f>
        <v/>
      </c>
      <c r="F188" s="35">
        <f>案件入力!F188</f>
        <v/>
      </c>
      <c r="G188" s="35">
        <f>案件入力!G188</f>
        <v/>
      </c>
      <c r="H188" s="49">
        <f>案件入力!H188</f>
        <v/>
      </c>
      <c r="I188" s="49">
        <f>案件入力!I188</f>
        <v/>
      </c>
      <c r="J188" s="39">
        <f>案件入力!J188</f>
        <v/>
      </c>
      <c r="K188" s="36">
        <f>案件入力!K188</f>
        <v/>
      </c>
      <c r="L188" s="49">
        <f>案件入力!L188</f>
        <v/>
      </c>
      <c r="M188" s="49">
        <f>案件入力!M188</f>
        <v/>
      </c>
      <c r="N188" s="39">
        <f>案件入力!N188</f>
        <v/>
      </c>
      <c r="O188" s="36">
        <f>案件入力!O188</f>
        <v/>
      </c>
      <c r="P188" s="37">
        <f>案件入力!P188</f>
        <v/>
      </c>
      <c r="Q188" s="35">
        <f>案件入力!Q188</f>
        <v/>
      </c>
      <c r="R188" s="35">
        <f>案件入力!R188</f>
        <v/>
      </c>
      <c r="S188" s="35">
        <f>案件入力!S188</f>
        <v/>
      </c>
    </row>
    <row r="189">
      <c r="A189" s="35">
        <f>案件入力!A189</f>
        <v/>
      </c>
      <c r="B189" s="36">
        <f>案件入力!B189</f>
        <v/>
      </c>
      <c r="C189" s="35">
        <f>案件入力!C189</f>
        <v/>
      </c>
      <c r="D189" s="37">
        <f>案件入力!D189</f>
        <v/>
      </c>
      <c r="E189" s="35">
        <f>案件入力!E189</f>
        <v/>
      </c>
      <c r="F189" s="35">
        <f>案件入力!F189</f>
        <v/>
      </c>
      <c r="G189" s="35">
        <f>案件入力!G189</f>
        <v/>
      </c>
      <c r="H189" s="49">
        <f>案件入力!H189</f>
        <v/>
      </c>
      <c r="I189" s="49">
        <f>案件入力!I189</f>
        <v/>
      </c>
      <c r="J189" s="39">
        <f>案件入力!J189</f>
        <v/>
      </c>
      <c r="K189" s="36">
        <f>案件入力!K189</f>
        <v/>
      </c>
      <c r="L189" s="49">
        <f>案件入力!L189</f>
        <v/>
      </c>
      <c r="M189" s="49">
        <f>案件入力!M189</f>
        <v/>
      </c>
      <c r="N189" s="39">
        <f>案件入力!N189</f>
        <v/>
      </c>
      <c r="O189" s="36">
        <f>案件入力!O189</f>
        <v/>
      </c>
      <c r="P189" s="37">
        <f>案件入力!P189</f>
        <v/>
      </c>
      <c r="Q189" s="35">
        <f>案件入力!Q189</f>
        <v/>
      </c>
      <c r="R189" s="35">
        <f>案件入力!R189</f>
        <v/>
      </c>
      <c r="S189" s="35">
        <f>案件入力!S189</f>
        <v/>
      </c>
    </row>
    <row r="190">
      <c r="A190" s="35">
        <f>案件入力!A190</f>
        <v/>
      </c>
      <c r="B190" s="36">
        <f>案件入力!B190</f>
        <v/>
      </c>
      <c r="C190" s="35">
        <f>案件入力!C190</f>
        <v/>
      </c>
      <c r="D190" s="37">
        <f>案件入力!D190</f>
        <v/>
      </c>
      <c r="E190" s="35">
        <f>案件入力!E190</f>
        <v/>
      </c>
      <c r="F190" s="35">
        <f>案件入力!F190</f>
        <v/>
      </c>
      <c r="G190" s="35">
        <f>案件入力!G190</f>
        <v/>
      </c>
      <c r="H190" s="49">
        <f>案件入力!H190</f>
        <v/>
      </c>
      <c r="I190" s="49">
        <f>案件入力!I190</f>
        <v/>
      </c>
      <c r="J190" s="39">
        <f>案件入力!J190</f>
        <v/>
      </c>
      <c r="K190" s="36">
        <f>案件入力!K190</f>
        <v/>
      </c>
      <c r="L190" s="49">
        <f>案件入力!L190</f>
        <v/>
      </c>
      <c r="M190" s="49">
        <f>案件入力!M190</f>
        <v/>
      </c>
      <c r="N190" s="39">
        <f>案件入力!N190</f>
        <v/>
      </c>
      <c r="O190" s="36">
        <f>案件入力!O190</f>
        <v/>
      </c>
      <c r="P190" s="37">
        <f>案件入力!P190</f>
        <v/>
      </c>
      <c r="Q190" s="35">
        <f>案件入力!Q190</f>
        <v/>
      </c>
      <c r="R190" s="35">
        <f>案件入力!R190</f>
        <v/>
      </c>
      <c r="S190" s="35">
        <f>案件入力!S190</f>
        <v/>
      </c>
    </row>
    <row r="191">
      <c r="A191" s="35">
        <f>案件入力!A191</f>
        <v/>
      </c>
      <c r="B191" s="36">
        <f>案件入力!B191</f>
        <v/>
      </c>
      <c r="C191" s="35">
        <f>案件入力!C191</f>
        <v/>
      </c>
      <c r="D191" s="37">
        <f>案件入力!D191</f>
        <v/>
      </c>
      <c r="E191" s="35">
        <f>案件入力!E191</f>
        <v/>
      </c>
      <c r="F191" s="35">
        <f>案件入力!F191</f>
        <v/>
      </c>
      <c r="G191" s="35">
        <f>案件入力!G191</f>
        <v/>
      </c>
      <c r="H191" s="49">
        <f>案件入力!H191</f>
        <v/>
      </c>
      <c r="I191" s="49">
        <f>案件入力!I191</f>
        <v/>
      </c>
      <c r="J191" s="39">
        <f>案件入力!J191</f>
        <v/>
      </c>
      <c r="K191" s="36">
        <f>案件入力!K191</f>
        <v/>
      </c>
      <c r="L191" s="49">
        <f>案件入力!L191</f>
        <v/>
      </c>
      <c r="M191" s="49">
        <f>案件入力!M191</f>
        <v/>
      </c>
      <c r="N191" s="39">
        <f>案件入力!N191</f>
        <v/>
      </c>
      <c r="O191" s="36">
        <f>案件入力!O191</f>
        <v/>
      </c>
      <c r="P191" s="37">
        <f>案件入力!P191</f>
        <v/>
      </c>
      <c r="Q191" s="35">
        <f>案件入力!Q191</f>
        <v/>
      </c>
      <c r="R191" s="35">
        <f>案件入力!R191</f>
        <v/>
      </c>
      <c r="S191" s="35">
        <f>案件入力!S191</f>
        <v/>
      </c>
    </row>
    <row r="192">
      <c r="A192" s="35">
        <f>案件入力!A192</f>
        <v/>
      </c>
      <c r="B192" s="36">
        <f>案件入力!B192</f>
        <v/>
      </c>
      <c r="C192" s="35">
        <f>案件入力!C192</f>
        <v/>
      </c>
      <c r="D192" s="37">
        <f>案件入力!D192</f>
        <v/>
      </c>
      <c r="E192" s="35">
        <f>案件入力!E192</f>
        <v/>
      </c>
      <c r="F192" s="35">
        <f>案件入力!F192</f>
        <v/>
      </c>
      <c r="G192" s="35">
        <f>案件入力!G192</f>
        <v/>
      </c>
      <c r="H192" s="49">
        <f>案件入力!H192</f>
        <v/>
      </c>
      <c r="I192" s="49">
        <f>案件入力!I192</f>
        <v/>
      </c>
      <c r="J192" s="39">
        <f>案件入力!J192</f>
        <v/>
      </c>
      <c r="K192" s="36">
        <f>案件入力!K192</f>
        <v/>
      </c>
      <c r="L192" s="49">
        <f>案件入力!L192</f>
        <v/>
      </c>
      <c r="M192" s="49">
        <f>案件入力!M192</f>
        <v/>
      </c>
      <c r="N192" s="39">
        <f>案件入力!N192</f>
        <v/>
      </c>
      <c r="O192" s="36">
        <f>案件入力!O192</f>
        <v/>
      </c>
      <c r="P192" s="37">
        <f>案件入力!P192</f>
        <v/>
      </c>
      <c r="Q192" s="35">
        <f>案件入力!Q192</f>
        <v/>
      </c>
      <c r="R192" s="35">
        <f>案件入力!R192</f>
        <v/>
      </c>
      <c r="S192" s="35">
        <f>案件入力!S192</f>
        <v/>
      </c>
    </row>
    <row r="193">
      <c r="A193" s="35">
        <f>案件入力!A193</f>
        <v/>
      </c>
      <c r="B193" s="36">
        <f>案件入力!B193</f>
        <v/>
      </c>
      <c r="C193" s="35">
        <f>案件入力!C193</f>
        <v/>
      </c>
      <c r="D193" s="37">
        <f>案件入力!D193</f>
        <v/>
      </c>
      <c r="E193" s="35">
        <f>案件入力!E193</f>
        <v/>
      </c>
      <c r="F193" s="35">
        <f>案件入力!F193</f>
        <v/>
      </c>
      <c r="G193" s="35">
        <f>案件入力!G193</f>
        <v/>
      </c>
      <c r="H193" s="49">
        <f>案件入力!H193</f>
        <v/>
      </c>
      <c r="I193" s="49">
        <f>案件入力!I193</f>
        <v/>
      </c>
      <c r="J193" s="39">
        <f>案件入力!J193</f>
        <v/>
      </c>
      <c r="K193" s="36">
        <f>案件入力!K193</f>
        <v/>
      </c>
      <c r="L193" s="49">
        <f>案件入力!L193</f>
        <v/>
      </c>
      <c r="M193" s="49">
        <f>案件入力!M193</f>
        <v/>
      </c>
      <c r="N193" s="39">
        <f>案件入力!N193</f>
        <v/>
      </c>
      <c r="O193" s="36">
        <f>案件入力!O193</f>
        <v/>
      </c>
      <c r="P193" s="37">
        <f>案件入力!P193</f>
        <v/>
      </c>
      <c r="Q193" s="35">
        <f>案件入力!Q193</f>
        <v/>
      </c>
      <c r="R193" s="35">
        <f>案件入力!R193</f>
        <v/>
      </c>
      <c r="S193" s="35">
        <f>案件入力!S193</f>
        <v/>
      </c>
    </row>
    <row r="194">
      <c r="A194" s="35">
        <f>案件入力!A194</f>
        <v/>
      </c>
      <c r="B194" s="36">
        <f>案件入力!B194</f>
        <v/>
      </c>
      <c r="C194" s="35">
        <f>案件入力!C194</f>
        <v/>
      </c>
      <c r="D194" s="37">
        <f>案件入力!D194</f>
        <v/>
      </c>
      <c r="E194" s="35">
        <f>案件入力!E194</f>
        <v/>
      </c>
      <c r="F194" s="35">
        <f>案件入力!F194</f>
        <v/>
      </c>
      <c r="G194" s="35">
        <f>案件入力!G194</f>
        <v/>
      </c>
      <c r="H194" s="49">
        <f>案件入力!H194</f>
        <v/>
      </c>
      <c r="I194" s="49">
        <f>案件入力!I194</f>
        <v/>
      </c>
      <c r="J194" s="39">
        <f>案件入力!J194</f>
        <v/>
      </c>
      <c r="K194" s="36">
        <f>案件入力!K194</f>
        <v/>
      </c>
      <c r="L194" s="49">
        <f>案件入力!L194</f>
        <v/>
      </c>
      <c r="M194" s="49">
        <f>案件入力!M194</f>
        <v/>
      </c>
      <c r="N194" s="39">
        <f>案件入力!N194</f>
        <v/>
      </c>
      <c r="O194" s="36">
        <f>案件入力!O194</f>
        <v/>
      </c>
      <c r="P194" s="37">
        <f>案件入力!P194</f>
        <v/>
      </c>
      <c r="Q194" s="35">
        <f>案件入力!Q194</f>
        <v/>
      </c>
      <c r="R194" s="35">
        <f>案件入力!R194</f>
        <v/>
      </c>
      <c r="S194" s="35">
        <f>案件入力!S194</f>
        <v/>
      </c>
    </row>
    <row r="195">
      <c r="A195" s="35">
        <f>案件入力!A195</f>
        <v/>
      </c>
      <c r="B195" s="36">
        <f>案件入力!B195</f>
        <v/>
      </c>
      <c r="C195" s="35">
        <f>案件入力!C195</f>
        <v/>
      </c>
      <c r="D195" s="37">
        <f>案件入力!D195</f>
        <v/>
      </c>
      <c r="E195" s="35">
        <f>案件入力!E195</f>
        <v/>
      </c>
      <c r="F195" s="35">
        <f>案件入力!F195</f>
        <v/>
      </c>
      <c r="G195" s="35">
        <f>案件入力!G195</f>
        <v/>
      </c>
      <c r="H195" s="49">
        <f>案件入力!H195</f>
        <v/>
      </c>
      <c r="I195" s="49">
        <f>案件入力!I195</f>
        <v/>
      </c>
      <c r="J195" s="39">
        <f>案件入力!J195</f>
        <v/>
      </c>
      <c r="K195" s="36">
        <f>案件入力!K195</f>
        <v/>
      </c>
      <c r="L195" s="49">
        <f>案件入力!L195</f>
        <v/>
      </c>
      <c r="M195" s="49">
        <f>案件入力!M195</f>
        <v/>
      </c>
      <c r="N195" s="39">
        <f>案件入力!N195</f>
        <v/>
      </c>
      <c r="O195" s="36">
        <f>案件入力!O195</f>
        <v/>
      </c>
      <c r="P195" s="37">
        <f>案件入力!P195</f>
        <v/>
      </c>
      <c r="Q195" s="35">
        <f>案件入力!Q195</f>
        <v/>
      </c>
      <c r="R195" s="35">
        <f>案件入力!R195</f>
        <v/>
      </c>
      <c r="S195" s="35">
        <f>案件入力!S195</f>
        <v/>
      </c>
    </row>
    <row r="196">
      <c r="A196" s="35">
        <f>案件入力!A196</f>
        <v/>
      </c>
      <c r="B196" s="36">
        <f>案件入力!B196</f>
        <v/>
      </c>
      <c r="C196" s="35">
        <f>案件入力!C196</f>
        <v/>
      </c>
      <c r="D196" s="37">
        <f>案件入力!D196</f>
        <v/>
      </c>
      <c r="E196" s="35">
        <f>案件入力!E196</f>
        <v/>
      </c>
      <c r="F196" s="35">
        <f>案件入力!F196</f>
        <v/>
      </c>
      <c r="G196" s="35">
        <f>案件入力!G196</f>
        <v/>
      </c>
      <c r="H196" s="49">
        <f>案件入力!H196</f>
        <v/>
      </c>
      <c r="I196" s="49">
        <f>案件入力!I196</f>
        <v/>
      </c>
      <c r="J196" s="39">
        <f>案件入力!J196</f>
        <v/>
      </c>
      <c r="K196" s="36">
        <f>案件入力!K196</f>
        <v/>
      </c>
      <c r="L196" s="49">
        <f>案件入力!L196</f>
        <v/>
      </c>
      <c r="M196" s="49">
        <f>案件入力!M196</f>
        <v/>
      </c>
      <c r="N196" s="39">
        <f>案件入力!N196</f>
        <v/>
      </c>
      <c r="O196" s="36">
        <f>案件入力!O196</f>
        <v/>
      </c>
      <c r="P196" s="37">
        <f>案件入力!P196</f>
        <v/>
      </c>
      <c r="Q196" s="35">
        <f>案件入力!Q196</f>
        <v/>
      </c>
      <c r="R196" s="35">
        <f>案件入力!R196</f>
        <v/>
      </c>
      <c r="S196" s="35">
        <f>案件入力!S196</f>
        <v/>
      </c>
    </row>
    <row r="197">
      <c r="A197" s="35">
        <f>案件入力!A197</f>
        <v/>
      </c>
      <c r="B197" s="36">
        <f>案件入力!B197</f>
        <v/>
      </c>
      <c r="C197" s="35">
        <f>案件入力!C197</f>
        <v/>
      </c>
      <c r="D197" s="37">
        <f>案件入力!D197</f>
        <v/>
      </c>
      <c r="E197" s="35">
        <f>案件入力!E197</f>
        <v/>
      </c>
      <c r="F197" s="35">
        <f>案件入力!F197</f>
        <v/>
      </c>
      <c r="G197" s="35">
        <f>案件入力!G197</f>
        <v/>
      </c>
      <c r="H197" s="49">
        <f>案件入力!H197</f>
        <v/>
      </c>
      <c r="I197" s="49">
        <f>案件入力!I197</f>
        <v/>
      </c>
      <c r="J197" s="39">
        <f>案件入力!J197</f>
        <v/>
      </c>
      <c r="K197" s="36">
        <f>案件入力!K197</f>
        <v/>
      </c>
      <c r="L197" s="49">
        <f>案件入力!L197</f>
        <v/>
      </c>
      <c r="M197" s="49">
        <f>案件入力!M197</f>
        <v/>
      </c>
      <c r="N197" s="39">
        <f>案件入力!N197</f>
        <v/>
      </c>
      <c r="O197" s="36">
        <f>案件入力!O197</f>
        <v/>
      </c>
      <c r="P197" s="37">
        <f>案件入力!P197</f>
        <v/>
      </c>
      <c r="Q197" s="35">
        <f>案件入力!Q197</f>
        <v/>
      </c>
      <c r="R197" s="35">
        <f>案件入力!R197</f>
        <v/>
      </c>
      <c r="S197" s="35">
        <f>案件入力!S197</f>
        <v/>
      </c>
    </row>
    <row r="198">
      <c r="A198" s="35">
        <f>案件入力!A198</f>
        <v/>
      </c>
      <c r="B198" s="36">
        <f>案件入力!B198</f>
        <v/>
      </c>
      <c r="C198" s="35">
        <f>案件入力!C198</f>
        <v/>
      </c>
      <c r="D198" s="37">
        <f>案件入力!D198</f>
        <v/>
      </c>
      <c r="E198" s="35">
        <f>案件入力!E198</f>
        <v/>
      </c>
      <c r="F198" s="35">
        <f>案件入力!F198</f>
        <v/>
      </c>
      <c r="G198" s="35">
        <f>案件入力!G198</f>
        <v/>
      </c>
      <c r="H198" s="49">
        <f>案件入力!H198</f>
        <v/>
      </c>
      <c r="I198" s="49">
        <f>案件入力!I198</f>
        <v/>
      </c>
      <c r="J198" s="39">
        <f>案件入力!J198</f>
        <v/>
      </c>
      <c r="K198" s="36">
        <f>案件入力!K198</f>
        <v/>
      </c>
      <c r="L198" s="49">
        <f>案件入力!L198</f>
        <v/>
      </c>
      <c r="M198" s="49">
        <f>案件入力!M198</f>
        <v/>
      </c>
      <c r="N198" s="39">
        <f>案件入力!N198</f>
        <v/>
      </c>
      <c r="O198" s="36">
        <f>案件入力!O198</f>
        <v/>
      </c>
      <c r="P198" s="37">
        <f>案件入力!P198</f>
        <v/>
      </c>
      <c r="Q198" s="35">
        <f>案件入力!Q198</f>
        <v/>
      </c>
      <c r="R198" s="35">
        <f>案件入力!R198</f>
        <v/>
      </c>
      <c r="S198" s="35">
        <f>案件入力!S198</f>
        <v/>
      </c>
    </row>
    <row r="199">
      <c r="A199" s="35">
        <f>案件入力!A199</f>
        <v/>
      </c>
      <c r="B199" s="36">
        <f>案件入力!B199</f>
        <v/>
      </c>
      <c r="C199" s="35">
        <f>案件入力!C199</f>
        <v/>
      </c>
      <c r="D199" s="37">
        <f>案件入力!D199</f>
        <v/>
      </c>
      <c r="E199" s="35">
        <f>案件入力!E199</f>
        <v/>
      </c>
      <c r="F199" s="35">
        <f>案件入力!F199</f>
        <v/>
      </c>
      <c r="G199" s="35">
        <f>案件入力!G199</f>
        <v/>
      </c>
      <c r="H199" s="49">
        <f>案件入力!H199</f>
        <v/>
      </c>
      <c r="I199" s="49">
        <f>案件入力!I199</f>
        <v/>
      </c>
      <c r="J199" s="39">
        <f>案件入力!J199</f>
        <v/>
      </c>
      <c r="K199" s="36">
        <f>案件入力!K199</f>
        <v/>
      </c>
      <c r="L199" s="49">
        <f>案件入力!L199</f>
        <v/>
      </c>
      <c r="M199" s="49">
        <f>案件入力!M199</f>
        <v/>
      </c>
      <c r="N199" s="39">
        <f>案件入力!N199</f>
        <v/>
      </c>
      <c r="O199" s="36">
        <f>案件入力!O199</f>
        <v/>
      </c>
      <c r="P199" s="37">
        <f>案件入力!P199</f>
        <v/>
      </c>
      <c r="Q199" s="35">
        <f>案件入力!Q199</f>
        <v/>
      </c>
      <c r="R199" s="35">
        <f>案件入力!R199</f>
        <v/>
      </c>
      <c r="S199" s="35">
        <f>案件入力!S199</f>
        <v/>
      </c>
    </row>
    <row r="200">
      <c r="A200" s="35">
        <f>案件入力!A200</f>
        <v/>
      </c>
      <c r="B200" s="36">
        <f>案件入力!B200</f>
        <v/>
      </c>
      <c r="C200" s="35">
        <f>案件入力!C200</f>
        <v/>
      </c>
      <c r="D200" s="37">
        <f>案件入力!D200</f>
        <v/>
      </c>
      <c r="E200" s="35">
        <f>案件入力!E200</f>
        <v/>
      </c>
      <c r="F200" s="35">
        <f>案件入力!F200</f>
        <v/>
      </c>
      <c r="G200" s="35">
        <f>案件入力!G200</f>
        <v/>
      </c>
      <c r="H200" s="49">
        <f>案件入力!H200</f>
        <v/>
      </c>
      <c r="I200" s="49">
        <f>案件入力!I200</f>
        <v/>
      </c>
      <c r="J200" s="39">
        <f>案件入力!J200</f>
        <v/>
      </c>
      <c r="K200" s="36">
        <f>案件入力!K200</f>
        <v/>
      </c>
      <c r="L200" s="49">
        <f>案件入力!L200</f>
        <v/>
      </c>
      <c r="M200" s="49">
        <f>案件入力!M200</f>
        <v/>
      </c>
      <c r="N200" s="39">
        <f>案件入力!N200</f>
        <v/>
      </c>
      <c r="O200" s="36">
        <f>案件入力!O200</f>
        <v/>
      </c>
      <c r="P200" s="37">
        <f>案件入力!P200</f>
        <v/>
      </c>
      <c r="Q200" s="35">
        <f>案件入力!Q200</f>
        <v/>
      </c>
      <c r="R200" s="35">
        <f>案件入力!R200</f>
        <v/>
      </c>
      <c r="S200" s="35">
        <f>案件入力!S200</f>
        <v/>
      </c>
    </row>
    <row r="201">
      <c r="A201" s="35">
        <f>案件入力!A201</f>
        <v/>
      </c>
      <c r="B201" s="36">
        <f>案件入力!B201</f>
        <v/>
      </c>
      <c r="C201" s="35">
        <f>案件入力!C201</f>
        <v/>
      </c>
      <c r="D201" s="37">
        <f>案件入力!D201</f>
        <v/>
      </c>
      <c r="E201" s="35">
        <f>案件入力!E201</f>
        <v/>
      </c>
      <c r="F201" s="35">
        <f>案件入力!F201</f>
        <v/>
      </c>
      <c r="G201" s="35">
        <f>案件入力!G201</f>
        <v/>
      </c>
      <c r="H201" s="49">
        <f>案件入力!H201</f>
        <v/>
      </c>
      <c r="I201" s="49">
        <f>案件入力!I201</f>
        <v/>
      </c>
      <c r="J201" s="39">
        <f>案件入力!J201</f>
        <v/>
      </c>
      <c r="K201" s="36">
        <f>案件入力!K201</f>
        <v/>
      </c>
      <c r="L201" s="49">
        <f>案件入力!L201</f>
        <v/>
      </c>
      <c r="M201" s="49">
        <f>案件入力!M201</f>
        <v/>
      </c>
      <c r="N201" s="39">
        <f>案件入力!N201</f>
        <v/>
      </c>
      <c r="O201" s="36">
        <f>案件入力!O201</f>
        <v/>
      </c>
      <c r="P201" s="37">
        <f>案件入力!P201</f>
        <v/>
      </c>
      <c r="Q201" s="35">
        <f>案件入力!Q201</f>
        <v/>
      </c>
      <c r="R201" s="35">
        <f>案件入力!R201</f>
        <v/>
      </c>
      <c r="S201" s="35">
        <f>案件入力!S201</f>
        <v/>
      </c>
    </row>
    <row r="202">
      <c r="A202" s="35">
        <f>案件入力!A202</f>
        <v/>
      </c>
      <c r="B202" s="36">
        <f>案件入力!B202</f>
        <v/>
      </c>
      <c r="C202" s="35">
        <f>案件入力!C202</f>
        <v/>
      </c>
      <c r="D202" s="37">
        <f>案件入力!D202</f>
        <v/>
      </c>
      <c r="E202" s="35">
        <f>案件入力!E202</f>
        <v/>
      </c>
      <c r="F202" s="35">
        <f>案件入力!F202</f>
        <v/>
      </c>
      <c r="G202" s="35">
        <f>案件入力!G202</f>
        <v/>
      </c>
      <c r="H202" s="49">
        <f>案件入力!H202</f>
        <v/>
      </c>
      <c r="I202" s="49">
        <f>案件入力!I202</f>
        <v/>
      </c>
      <c r="J202" s="39">
        <f>案件入力!J202</f>
        <v/>
      </c>
      <c r="K202" s="36">
        <f>案件入力!K202</f>
        <v/>
      </c>
      <c r="L202" s="49">
        <f>案件入力!L202</f>
        <v/>
      </c>
      <c r="M202" s="49">
        <f>案件入力!M202</f>
        <v/>
      </c>
      <c r="N202" s="39">
        <f>案件入力!N202</f>
        <v/>
      </c>
      <c r="O202" s="36">
        <f>案件入力!O202</f>
        <v/>
      </c>
      <c r="P202" s="37">
        <f>案件入力!P202</f>
        <v/>
      </c>
      <c r="Q202" s="35">
        <f>案件入力!Q202</f>
        <v/>
      </c>
      <c r="R202" s="35">
        <f>案件入力!R202</f>
        <v/>
      </c>
      <c r="S202" s="35">
        <f>案件入力!S202</f>
        <v/>
      </c>
    </row>
    <row r="203">
      <c r="A203" s="35">
        <f>案件入力!A203</f>
        <v/>
      </c>
      <c r="B203" s="36">
        <f>案件入力!B203</f>
        <v/>
      </c>
      <c r="C203" s="35">
        <f>案件入力!C203</f>
        <v/>
      </c>
      <c r="D203" s="37">
        <f>案件入力!D203</f>
        <v/>
      </c>
      <c r="E203" s="35">
        <f>案件入力!E203</f>
        <v/>
      </c>
      <c r="F203" s="35">
        <f>案件入力!F203</f>
        <v/>
      </c>
      <c r="G203" s="35">
        <f>案件入力!G203</f>
        <v/>
      </c>
      <c r="H203" s="49">
        <f>案件入力!H203</f>
        <v/>
      </c>
      <c r="I203" s="49">
        <f>案件入力!I203</f>
        <v/>
      </c>
      <c r="J203" s="39">
        <f>案件入力!J203</f>
        <v/>
      </c>
      <c r="K203" s="36">
        <f>案件入力!K203</f>
        <v/>
      </c>
      <c r="L203" s="49">
        <f>案件入力!L203</f>
        <v/>
      </c>
      <c r="M203" s="49">
        <f>案件入力!M203</f>
        <v/>
      </c>
      <c r="N203" s="39">
        <f>案件入力!N203</f>
        <v/>
      </c>
      <c r="O203" s="36">
        <f>案件入力!O203</f>
        <v/>
      </c>
      <c r="P203" s="37">
        <f>案件入力!P203</f>
        <v/>
      </c>
      <c r="Q203" s="35">
        <f>案件入力!Q203</f>
        <v/>
      </c>
      <c r="R203" s="35">
        <f>案件入力!R203</f>
        <v/>
      </c>
      <c r="S203" s="35">
        <f>案件入力!S203</f>
        <v/>
      </c>
    </row>
    <row r="204">
      <c r="A204" s="35">
        <f>案件入力!A204</f>
        <v/>
      </c>
      <c r="B204" s="36">
        <f>案件入力!B204</f>
        <v/>
      </c>
      <c r="C204" s="35">
        <f>案件入力!C204</f>
        <v/>
      </c>
      <c r="D204" s="37">
        <f>案件入力!D204</f>
        <v/>
      </c>
      <c r="E204" s="35">
        <f>案件入力!E204</f>
        <v/>
      </c>
      <c r="F204" s="35">
        <f>案件入力!F204</f>
        <v/>
      </c>
      <c r="G204" s="35">
        <f>案件入力!G204</f>
        <v/>
      </c>
      <c r="H204" s="49">
        <f>案件入力!H204</f>
        <v/>
      </c>
      <c r="I204" s="49">
        <f>案件入力!I204</f>
        <v/>
      </c>
      <c r="J204" s="39">
        <f>案件入力!J204</f>
        <v/>
      </c>
      <c r="K204" s="36">
        <f>案件入力!K204</f>
        <v/>
      </c>
      <c r="L204" s="49">
        <f>案件入力!L204</f>
        <v/>
      </c>
      <c r="M204" s="49">
        <f>案件入力!M204</f>
        <v/>
      </c>
      <c r="N204" s="39">
        <f>案件入力!N204</f>
        <v/>
      </c>
      <c r="O204" s="36">
        <f>案件入力!O204</f>
        <v/>
      </c>
      <c r="P204" s="37">
        <f>案件入力!P204</f>
        <v/>
      </c>
      <c r="Q204" s="35">
        <f>案件入力!Q204</f>
        <v/>
      </c>
      <c r="R204" s="35">
        <f>案件入力!R204</f>
        <v/>
      </c>
      <c r="S204" s="35">
        <f>案件入力!S204</f>
        <v/>
      </c>
    </row>
    <row r="205">
      <c r="A205" s="35">
        <f>案件入力!A205</f>
        <v/>
      </c>
      <c r="B205" s="36">
        <f>案件入力!B205</f>
        <v/>
      </c>
      <c r="C205" s="35">
        <f>案件入力!C205</f>
        <v/>
      </c>
      <c r="D205" s="37">
        <f>案件入力!D205</f>
        <v/>
      </c>
      <c r="E205" s="35">
        <f>案件入力!E205</f>
        <v/>
      </c>
      <c r="F205" s="35">
        <f>案件入力!F205</f>
        <v/>
      </c>
      <c r="G205" s="35">
        <f>案件入力!G205</f>
        <v/>
      </c>
      <c r="H205" s="49">
        <f>案件入力!H205</f>
        <v/>
      </c>
      <c r="I205" s="49">
        <f>案件入力!I205</f>
        <v/>
      </c>
      <c r="J205" s="39">
        <f>案件入力!J205</f>
        <v/>
      </c>
      <c r="K205" s="36">
        <f>案件入力!K205</f>
        <v/>
      </c>
      <c r="L205" s="49">
        <f>案件入力!L205</f>
        <v/>
      </c>
      <c r="M205" s="49">
        <f>案件入力!M205</f>
        <v/>
      </c>
      <c r="N205" s="39">
        <f>案件入力!N205</f>
        <v/>
      </c>
      <c r="O205" s="36">
        <f>案件入力!O205</f>
        <v/>
      </c>
      <c r="P205" s="37">
        <f>案件入力!P205</f>
        <v/>
      </c>
      <c r="Q205" s="35">
        <f>案件入力!Q205</f>
        <v/>
      </c>
      <c r="R205" s="35">
        <f>案件入力!R205</f>
        <v/>
      </c>
      <c r="S205" s="35">
        <f>案件入力!S205</f>
        <v/>
      </c>
    </row>
    <row r="206">
      <c r="A206" s="35">
        <f>案件入力!A206</f>
        <v/>
      </c>
      <c r="B206" s="36">
        <f>案件入力!B206</f>
        <v/>
      </c>
      <c r="C206" s="35">
        <f>案件入力!C206</f>
        <v/>
      </c>
      <c r="D206" s="37">
        <f>案件入力!D206</f>
        <v/>
      </c>
      <c r="E206" s="35">
        <f>案件入力!E206</f>
        <v/>
      </c>
      <c r="F206" s="35">
        <f>案件入力!F206</f>
        <v/>
      </c>
      <c r="G206" s="35">
        <f>案件入力!G206</f>
        <v/>
      </c>
      <c r="H206" s="49">
        <f>案件入力!H206</f>
        <v/>
      </c>
      <c r="I206" s="49">
        <f>案件入力!I206</f>
        <v/>
      </c>
      <c r="J206" s="39">
        <f>案件入力!J206</f>
        <v/>
      </c>
      <c r="K206" s="36">
        <f>案件入力!K206</f>
        <v/>
      </c>
      <c r="L206" s="49">
        <f>案件入力!L206</f>
        <v/>
      </c>
      <c r="M206" s="49">
        <f>案件入力!M206</f>
        <v/>
      </c>
      <c r="N206" s="39">
        <f>案件入力!N206</f>
        <v/>
      </c>
      <c r="O206" s="36">
        <f>案件入力!O206</f>
        <v/>
      </c>
      <c r="P206" s="37">
        <f>案件入力!P206</f>
        <v/>
      </c>
      <c r="Q206" s="35">
        <f>案件入力!Q206</f>
        <v/>
      </c>
      <c r="R206" s="35">
        <f>案件入力!R206</f>
        <v/>
      </c>
      <c r="S206" s="35">
        <f>案件入力!S206</f>
        <v/>
      </c>
    </row>
    <row r="207">
      <c r="A207" s="35">
        <f>案件入力!A207</f>
        <v/>
      </c>
      <c r="B207" s="36">
        <f>案件入力!B207</f>
        <v/>
      </c>
      <c r="C207" s="35">
        <f>案件入力!C207</f>
        <v/>
      </c>
      <c r="D207" s="37">
        <f>案件入力!D207</f>
        <v/>
      </c>
      <c r="E207" s="35">
        <f>案件入力!E207</f>
        <v/>
      </c>
      <c r="F207" s="35">
        <f>案件入力!F207</f>
        <v/>
      </c>
      <c r="G207" s="35">
        <f>案件入力!G207</f>
        <v/>
      </c>
      <c r="H207" s="49">
        <f>案件入力!H207</f>
        <v/>
      </c>
      <c r="I207" s="49">
        <f>案件入力!I207</f>
        <v/>
      </c>
      <c r="J207" s="39">
        <f>案件入力!J207</f>
        <v/>
      </c>
      <c r="K207" s="36">
        <f>案件入力!K207</f>
        <v/>
      </c>
      <c r="L207" s="49">
        <f>案件入力!L207</f>
        <v/>
      </c>
      <c r="M207" s="49">
        <f>案件入力!M207</f>
        <v/>
      </c>
      <c r="N207" s="39">
        <f>案件入力!N207</f>
        <v/>
      </c>
      <c r="O207" s="36">
        <f>案件入力!O207</f>
        <v/>
      </c>
      <c r="P207" s="37">
        <f>案件入力!P207</f>
        <v/>
      </c>
      <c r="Q207" s="35">
        <f>案件入力!Q207</f>
        <v/>
      </c>
      <c r="R207" s="35">
        <f>案件入力!R207</f>
        <v/>
      </c>
      <c r="S207" s="35">
        <f>案件入力!S207</f>
        <v/>
      </c>
    </row>
    <row r="208">
      <c r="A208" s="35">
        <f>案件入力!A208</f>
        <v/>
      </c>
      <c r="B208" s="36">
        <f>案件入力!B208</f>
        <v/>
      </c>
      <c r="C208" s="35">
        <f>案件入力!C208</f>
        <v/>
      </c>
      <c r="D208" s="37">
        <f>案件入力!D208</f>
        <v/>
      </c>
      <c r="E208" s="35">
        <f>案件入力!E208</f>
        <v/>
      </c>
      <c r="F208" s="35">
        <f>案件入力!F208</f>
        <v/>
      </c>
      <c r="G208" s="35">
        <f>案件入力!G208</f>
        <v/>
      </c>
      <c r="H208" s="49">
        <f>案件入力!H208</f>
        <v/>
      </c>
      <c r="I208" s="49">
        <f>案件入力!I208</f>
        <v/>
      </c>
      <c r="J208" s="39">
        <f>案件入力!J208</f>
        <v/>
      </c>
      <c r="K208" s="36">
        <f>案件入力!K208</f>
        <v/>
      </c>
      <c r="L208" s="49">
        <f>案件入力!L208</f>
        <v/>
      </c>
      <c r="M208" s="49">
        <f>案件入力!M208</f>
        <v/>
      </c>
      <c r="N208" s="39">
        <f>案件入力!N208</f>
        <v/>
      </c>
      <c r="O208" s="36">
        <f>案件入力!O208</f>
        <v/>
      </c>
      <c r="P208" s="37">
        <f>案件入力!P208</f>
        <v/>
      </c>
      <c r="Q208" s="35">
        <f>案件入力!Q208</f>
        <v/>
      </c>
      <c r="R208" s="35">
        <f>案件入力!R208</f>
        <v/>
      </c>
      <c r="S208" s="35">
        <f>案件入力!S208</f>
        <v/>
      </c>
    </row>
    <row r="209">
      <c r="A209" s="35">
        <f>案件入力!A209</f>
        <v/>
      </c>
      <c r="B209" s="36">
        <f>案件入力!B209</f>
        <v/>
      </c>
      <c r="C209" s="35">
        <f>案件入力!C209</f>
        <v/>
      </c>
      <c r="D209" s="37">
        <f>案件入力!D209</f>
        <v/>
      </c>
      <c r="E209" s="35">
        <f>案件入力!E209</f>
        <v/>
      </c>
      <c r="F209" s="35">
        <f>案件入力!F209</f>
        <v/>
      </c>
      <c r="G209" s="35">
        <f>案件入力!G209</f>
        <v/>
      </c>
      <c r="H209" s="49">
        <f>案件入力!H209</f>
        <v/>
      </c>
      <c r="I209" s="49">
        <f>案件入力!I209</f>
        <v/>
      </c>
      <c r="J209" s="39">
        <f>案件入力!J209</f>
        <v/>
      </c>
      <c r="K209" s="36">
        <f>案件入力!K209</f>
        <v/>
      </c>
      <c r="L209" s="49">
        <f>案件入力!L209</f>
        <v/>
      </c>
      <c r="M209" s="49">
        <f>案件入力!M209</f>
        <v/>
      </c>
      <c r="N209" s="39">
        <f>案件入力!N209</f>
        <v/>
      </c>
      <c r="O209" s="36">
        <f>案件入力!O209</f>
        <v/>
      </c>
      <c r="P209" s="37">
        <f>案件入力!P209</f>
        <v/>
      </c>
      <c r="Q209" s="35">
        <f>案件入力!Q209</f>
        <v/>
      </c>
      <c r="R209" s="35">
        <f>案件入力!R209</f>
        <v/>
      </c>
      <c r="S209" s="35">
        <f>案件入力!S209</f>
        <v/>
      </c>
    </row>
    <row r="210">
      <c r="A210" s="35">
        <f>案件入力!A210</f>
        <v/>
      </c>
      <c r="B210" s="36">
        <f>案件入力!B210</f>
        <v/>
      </c>
      <c r="C210" s="35">
        <f>案件入力!C210</f>
        <v/>
      </c>
      <c r="D210" s="37">
        <f>案件入力!D210</f>
        <v/>
      </c>
      <c r="E210" s="35">
        <f>案件入力!E210</f>
        <v/>
      </c>
      <c r="F210" s="35">
        <f>案件入力!F210</f>
        <v/>
      </c>
      <c r="G210" s="35">
        <f>案件入力!G210</f>
        <v/>
      </c>
      <c r="H210" s="49">
        <f>案件入力!H210</f>
        <v/>
      </c>
      <c r="I210" s="49">
        <f>案件入力!I210</f>
        <v/>
      </c>
      <c r="J210" s="39">
        <f>案件入力!J210</f>
        <v/>
      </c>
      <c r="K210" s="36">
        <f>案件入力!K210</f>
        <v/>
      </c>
      <c r="L210" s="49">
        <f>案件入力!L210</f>
        <v/>
      </c>
      <c r="M210" s="49">
        <f>案件入力!M210</f>
        <v/>
      </c>
      <c r="N210" s="39">
        <f>案件入力!N210</f>
        <v/>
      </c>
      <c r="O210" s="36">
        <f>案件入力!O210</f>
        <v/>
      </c>
      <c r="P210" s="37">
        <f>案件入力!P210</f>
        <v/>
      </c>
      <c r="Q210" s="35">
        <f>案件入力!Q210</f>
        <v/>
      </c>
      <c r="R210" s="35">
        <f>案件入力!R210</f>
        <v/>
      </c>
      <c r="S210" s="35">
        <f>案件入力!S210</f>
        <v/>
      </c>
    </row>
    <row r="211">
      <c r="A211" s="35">
        <f>案件入力!A211</f>
        <v/>
      </c>
      <c r="B211" s="36">
        <f>案件入力!B211</f>
        <v/>
      </c>
      <c r="C211" s="35">
        <f>案件入力!C211</f>
        <v/>
      </c>
      <c r="D211" s="37">
        <f>案件入力!D211</f>
        <v/>
      </c>
      <c r="E211" s="35">
        <f>案件入力!E211</f>
        <v/>
      </c>
      <c r="F211" s="35">
        <f>案件入力!F211</f>
        <v/>
      </c>
      <c r="G211" s="35">
        <f>案件入力!G211</f>
        <v/>
      </c>
      <c r="H211" s="49">
        <f>案件入力!H211</f>
        <v/>
      </c>
      <c r="I211" s="49">
        <f>案件入力!I211</f>
        <v/>
      </c>
      <c r="J211" s="39">
        <f>案件入力!J211</f>
        <v/>
      </c>
      <c r="K211" s="36">
        <f>案件入力!K211</f>
        <v/>
      </c>
      <c r="L211" s="49">
        <f>案件入力!L211</f>
        <v/>
      </c>
      <c r="M211" s="49">
        <f>案件入力!M211</f>
        <v/>
      </c>
      <c r="N211" s="39">
        <f>案件入力!N211</f>
        <v/>
      </c>
      <c r="O211" s="36">
        <f>案件入力!O211</f>
        <v/>
      </c>
      <c r="P211" s="37">
        <f>案件入力!P211</f>
        <v/>
      </c>
      <c r="Q211" s="35">
        <f>案件入力!Q211</f>
        <v/>
      </c>
      <c r="R211" s="35">
        <f>案件入力!R211</f>
        <v/>
      </c>
      <c r="S211" s="35">
        <f>案件入力!S211</f>
        <v/>
      </c>
    </row>
    <row r="212">
      <c r="A212" s="35">
        <f>案件入力!A212</f>
        <v/>
      </c>
      <c r="B212" s="36">
        <f>案件入力!B212</f>
        <v/>
      </c>
      <c r="C212" s="35">
        <f>案件入力!C212</f>
        <v/>
      </c>
      <c r="D212" s="37">
        <f>案件入力!D212</f>
        <v/>
      </c>
      <c r="E212" s="35">
        <f>案件入力!E212</f>
        <v/>
      </c>
      <c r="F212" s="35">
        <f>案件入力!F212</f>
        <v/>
      </c>
      <c r="G212" s="35">
        <f>案件入力!G212</f>
        <v/>
      </c>
      <c r="H212" s="49">
        <f>案件入力!H212</f>
        <v/>
      </c>
      <c r="I212" s="49">
        <f>案件入力!I212</f>
        <v/>
      </c>
      <c r="J212" s="39">
        <f>案件入力!J212</f>
        <v/>
      </c>
      <c r="K212" s="36">
        <f>案件入力!K212</f>
        <v/>
      </c>
      <c r="L212" s="49">
        <f>案件入力!L212</f>
        <v/>
      </c>
      <c r="M212" s="49">
        <f>案件入力!M212</f>
        <v/>
      </c>
      <c r="N212" s="39">
        <f>案件入力!N212</f>
        <v/>
      </c>
      <c r="O212" s="36">
        <f>案件入力!O212</f>
        <v/>
      </c>
      <c r="P212" s="37">
        <f>案件入力!P212</f>
        <v/>
      </c>
      <c r="Q212" s="35">
        <f>案件入力!Q212</f>
        <v/>
      </c>
      <c r="R212" s="35">
        <f>案件入力!R212</f>
        <v/>
      </c>
      <c r="S212" s="35">
        <f>案件入力!S212</f>
        <v/>
      </c>
    </row>
    <row r="213">
      <c r="A213" s="35">
        <f>案件入力!A213</f>
        <v/>
      </c>
      <c r="B213" s="36">
        <f>案件入力!B213</f>
        <v/>
      </c>
      <c r="C213" s="35">
        <f>案件入力!C213</f>
        <v/>
      </c>
      <c r="D213" s="37">
        <f>案件入力!D213</f>
        <v/>
      </c>
      <c r="E213" s="35">
        <f>案件入力!E213</f>
        <v/>
      </c>
      <c r="F213" s="35">
        <f>案件入力!F213</f>
        <v/>
      </c>
      <c r="G213" s="35">
        <f>案件入力!G213</f>
        <v/>
      </c>
      <c r="H213" s="49">
        <f>案件入力!H213</f>
        <v/>
      </c>
      <c r="I213" s="49">
        <f>案件入力!I213</f>
        <v/>
      </c>
      <c r="J213" s="39">
        <f>案件入力!J213</f>
        <v/>
      </c>
      <c r="K213" s="36">
        <f>案件入力!K213</f>
        <v/>
      </c>
      <c r="L213" s="49">
        <f>案件入力!L213</f>
        <v/>
      </c>
      <c r="M213" s="49">
        <f>案件入力!M213</f>
        <v/>
      </c>
      <c r="N213" s="39">
        <f>案件入力!N213</f>
        <v/>
      </c>
      <c r="O213" s="36">
        <f>案件入力!O213</f>
        <v/>
      </c>
      <c r="P213" s="37">
        <f>案件入力!P213</f>
        <v/>
      </c>
      <c r="Q213" s="35">
        <f>案件入力!Q213</f>
        <v/>
      </c>
      <c r="R213" s="35">
        <f>案件入力!R213</f>
        <v/>
      </c>
      <c r="S213" s="35">
        <f>案件入力!S213</f>
        <v/>
      </c>
    </row>
    <row r="214">
      <c r="A214" s="35">
        <f>案件入力!A214</f>
        <v/>
      </c>
      <c r="B214" s="36">
        <f>案件入力!B214</f>
        <v/>
      </c>
      <c r="C214" s="35">
        <f>案件入力!C214</f>
        <v/>
      </c>
      <c r="D214" s="37">
        <f>案件入力!D214</f>
        <v/>
      </c>
      <c r="E214" s="35">
        <f>案件入力!E214</f>
        <v/>
      </c>
      <c r="F214" s="35">
        <f>案件入力!F214</f>
        <v/>
      </c>
      <c r="G214" s="35">
        <f>案件入力!G214</f>
        <v/>
      </c>
      <c r="H214" s="49">
        <f>案件入力!H214</f>
        <v/>
      </c>
      <c r="I214" s="49">
        <f>案件入力!I214</f>
        <v/>
      </c>
      <c r="J214" s="39">
        <f>案件入力!J214</f>
        <v/>
      </c>
      <c r="K214" s="36">
        <f>案件入力!K214</f>
        <v/>
      </c>
      <c r="L214" s="49">
        <f>案件入力!L214</f>
        <v/>
      </c>
      <c r="M214" s="49">
        <f>案件入力!M214</f>
        <v/>
      </c>
      <c r="N214" s="39">
        <f>案件入力!N214</f>
        <v/>
      </c>
      <c r="O214" s="36">
        <f>案件入力!O214</f>
        <v/>
      </c>
      <c r="P214" s="37">
        <f>案件入力!P214</f>
        <v/>
      </c>
      <c r="Q214" s="35">
        <f>案件入力!Q214</f>
        <v/>
      </c>
      <c r="R214" s="35">
        <f>案件入力!R214</f>
        <v/>
      </c>
      <c r="S214" s="35">
        <f>案件入力!S214</f>
        <v/>
      </c>
    </row>
    <row r="215">
      <c r="A215" s="35">
        <f>案件入力!A215</f>
        <v/>
      </c>
      <c r="B215" s="36">
        <f>案件入力!B215</f>
        <v/>
      </c>
      <c r="C215" s="35">
        <f>案件入力!C215</f>
        <v/>
      </c>
      <c r="D215" s="37">
        <f>案件入力!D215</f>
        <v/>
      </c>
      <c r="E215" s="35">
        <f>案件入力!E215</f>
        <v/>
      </c>
      <c r="F215" s="35">
        <f>案件入力!F215</f>
        <v/>
      </c>
      <c r="G215" s="35">
        <f>案件入力!G215</f>
        <v/>
      </c>
      <c r="H215" s="49">
        <f>案件入力!H215</f>
        <v/>
      </c>
      <c r="I215" s="49">
        <f>案件入力!I215</f>
        <v/>
      </c>
      <c r="J215" s="39">
        <f>案件入力!J215</f>
        <v/>
      </c>
      <c r="K215" s="36">
        <f>案件入力!K215</f>
        <v/>
      </c>
      <c r="L215" s="49">
        <f>案件入力!L215</f>
        <v/>
      </c>
      <c r="M215" s="49">
        <f>案件入力!M215</f>
        <v/>
      </c>
      <c r="N215" s="39">
        <f>案件入力!N215</f>
        <v/>
      </c>
      <c r="O215" s="36">
        <f>案件入力!O215</f>
        <v/>
      </c>
      <c r="P215" s="37">
        <f>案件入力!P215</f>
        <v/>
      </c>
      <c r="Q215" s="35">
        <f>案件入力!Q215</f>
        <v/>
      </c>
      <c r="R215" s="35">
        <f>案件入力!R215</f>
        <v/>
      </c>
      <c r="S215" s="35">
        <f>案件入力!S215</f>
        <v/>
      </c>
    </row>
    <row r="216">
      <c r="A216" s="35">
        <f>案件入力!A216</f>
        <v/>
      </c>
      <c r="B216" s="36">
        <f>案件入力!B216</f>
        <v/>
      </c>
      <c r="C216" s="35">
        <f>案件入力!C216</f>
        <v/>
      </c>
      <c r="D216" s="37">
        <f>案件入力!D216</f>
        <v/>
      </c>
      <c r="E216" s="35">
        <f>案件入力!E216</f>
        <v/>
      </c>
      <c r="F216" s="35">
        <f>案件入力!F216</f>
        <v/>
      </c>
      <c r="G216" s="35">
        <f>案件入力!G216</f>
        <v/>
      </c>
      <c r="H216" s="49">
        <f>案件入力!H216</f>
        <v/>
      </c>
      <c r="I216" s="49">
        <f>案件入力!I216</f>
        <v/>
      </c>
      <c r="J216" s="39">
        <f>案件入力!J216</f>
        <v/>
      </c>
      <c r="K216" s="36">
        <f>案件入力!K216</f>
        <v/>
      </c>
      <c r="L216" s="49">
        <f>案件入力!L216</f>
        <v/>
      </c>
      <c r="M216" s="49">
        <f>案件入力!M216</f>
        <v/>
      </c>
      <c r="N216" s="39">
        <f>案件入力!N216</f>
        <v/>
      </c>
      <c r="O216" s="36">
        <f>案件入力!O216</f>
        <v/>
      </c>
      <c r="P216" s="37">
        <f>案件入力!P216</f>
        <v/>
      </c>
      <c r="Q216" s="35">
        <f>案件入力!Q216</f>
        <v/>
      </c>
      <c r="R216" s="35">
        <f>案件入力!R216</f>
        <v/>
      </c>
      <c r="S216" s="35">
        <f>案件入力!S216</f>
        <v/>
      </c>
    </row>
    <row r="217">
      <c r="A217" s="35">
        <f>案件入力!A217</f>
        <v/>
      </c>
      <c r="B217" s="36">
        <f>案件入力!B217</f>
        <v/>
      </c>
      <c r="C217" s="35">
        <f>案件入力!C217</f>
        <v/>
      </c>
      <c r="D217" s="37">
        <f>案件入力!D217</f>
        <v/>
      </c>
      <c r="E217" s="35">
        <f>案件入力!E217</f>
        <v/>
      </c>
      <c r="F217" s="35">
        <f>案件入力!F217</f>
        <v/>
      </c>
      <c r="G217" s="35">
        <f>案件入力!G217</f>
        <v/>
      </c>
      <c r="H217" s="49">
        <f>案件入力!H217</f>
        <v/>
      </c>
      <c r="I217" s="49">
        <f>案件入力!I217</f>
        <v/>
      </c>
      <c r="J217" s="39">
        <f>案件入力!J217</f>
        <v/>
      </c>
      <c r="K217" s="36">
        <f>案件入力!K217</f>
        <v/>
      </c>
      <c r="L217" s="49">
        <f>案件入力!L217</f>
        <v/>
      </c>
      <c r="M217" s="49">
        <f>案件入力!M217</f>
        <v/>
      </c>
      <c r="N217" s="39">
        <f>案件入力!N217</f>
        <v/>
      </c>
      <c r="O217" s="36">
        <f>案件入力!O217</f>
        <v/>
      </c>
      <c r="P217" s="37">
        <f>案件入力!P217</f>
        <v/>
      </c>
      <c r="Q217" s="35">
        <f>案件入力!Q217</f>
        <v/>
      </c>
      <c r="R217" s="35">
        <f>案件入力!R217</f>
        <v/>
      </c>
      <c r="S217" s="35">
        <f>案件入力!S217</f>
        <v/>
      </c>
    </row>
    <row r="218">
      <c r="A218" s="35">
        <f>案件入力!A218</f>
        <v/>
      </c>
      <c r="B218" s="36">
        <f>案件入力!B218</f>
        <v/>
      </c>
      <c r="C218" s="35">
        <f>案件入力!C218</f>
        <v/>
      </c>
      <c r="D218" s="37">
        <f>案件入力!D218</f>
        <v/>
      </c>
      <c r="E218" s="35">
        <f>案件入力!E218</f>
        <v/>
      </c>
      <c r="F218" s="35">
        <f>案件入力!F218</f>
        <v/>
      </c>
      <c r="G218" s="35">
        <f>案件入力!G218</f>
        <v/>
      </c>
      <c r="H218" s="49">
        <f>案件入力!H218</f>
        <v/>
      </c>
      <c r="I218" s="49">
        <f>案件入力!I218</f>
        <v/>
      </c>
      <c r="J218" s="39">
        <f>案件入力!J218</f>
        <v/>
      </c>
      <c r="K218" s="36">
        <f>案件入力!K218</f>
        <v/>
      </c>
      <c r="L218" s="49">
        <f>案件入力!L218</f>
        <v/>
      </c>
      <c r="M218" s="49">
        <f>案件入力!M218</f>
        <v/>
      </c>
      <c r="N218" s="39">
        <f>案件入力!N218</f>
        <v/>
      </c>
      <c r="O218" s="36">
        <f>案件入力!O218</f>
        <v/>
      </c>
      <c r="P218" s="37">
        <f>案件入力!P218</f>
        <v/>
      </c>
      <c r="Q218" s="35">
        <f>案件入力!Q218</f>
        <v/>
      </c>
      <c r="R218" s="35">
        <f>案件入力!R218</f>
        <v/>
      </c>
      <c r="S218" s="35">
        <f>案件入力!S218</f>
        <v/>
      </c>
    </row>
    <row r="219">
      <c r="A219" s="35">
        <f>案件入力!A219</f>
        <v/>
      </c>
      <c r="B219" s="36">
        <f>案件入力!B219</f>
        <v/>
      </c>
      <c r="C219" s="35">
        <f>案件入力!C219</f>
        <v/>
      </c>
      <c r="D219" s="37">
        <f>案件入力!D219</f>
        <v/>
      </c>
      <c r="E219" s="35">
        <f>案件入力!E219</f>
        <v/>
      </c>
      <c r="F219" s="35">
        <f>案件入力!F219</f>
        <v/>
      </c>
      <c r="G219" s="35">
        <f>案件入力!G219</f>
        <v/>
      </c>
      <c r="H219" s="49">
        <f>案件入力!H219</f>
        <v/>
      </c>
      <c r="I219" s="49">
        <f>案件入力!I219</f>
        <v/>
      </c>
      <c r="J219" s="39">
        <f>案件入力!J219</f>
        <v/>
      </c>
      <c r="K219" s="36">
        <f>案件入力!K219</f>
        <v/>
      </c>
      <c r="L219" s="49">
        <f>案件入力!L219</f>
        <v/>
      </c>
      <c r="M219" s="49">
        <f>案件入力!M219</f>
        <v/>
      </c>
      <c r="N219" s="39">
        <f>案件入力!N219</f>
        <v/>
      </c>
      <c r="O219" s="36">
        <f>案件入力!O219</f>
        <v/>
      </c>
      <c r="P219" s="37">
        <f>案件入力!P219</f>
        <v/>
      </c>
      <c r="Q219" s="35">
        <f>案件入力!Q219</f>
        <v/>
      </c>
      <c r="R219" s="35">
        <f>案件入力!R219</f>
        <v/>
      </c>
      <c r="S219" s="35">
        <f>案件入力!S219</f>
        <v/>
      </c>
    </row>
    <row r="220">
      <c r="A220" s="35">
        <f>案件入力!A220</f>
        <v/>
      </c>
      <c r="B220" s="36">
        <f>案件入力!B220</f>
        <v/>
      </c>
      <c r="C220" s="35">
        <f>案件入力!C220</f>
        <v/>
      </c>
      <c r="D220" s="37">
        <f>案件入力!D220</f>
        <v/>
      </c>
      <c r="E220" s="35">
        <f>案件入力!E220</f>
        <v/>
      </c>
      <c r="F220" s="35">
        <f>案件入力!F220</f>
        <v/>
      </c>
      <c r="G220" s="35">
        <f>案件入力!G220</f>
        <v/>
      </c>
      <c r="H220" s="49">
        <f>案件入力!H220</f>
        <v/>
      </c>
      <c r="I220" s="49">
        <f>案件入力!I220</f>
        <v/>
      </c>
      <c r="J220" s="39">
        <f>案件入力!J220</f>
        <v/>
      </c>
      <c r="K220" s="36">
        <f>案件入力!K220</f>
        <v/>
      </c>
      <c r="L220" s="49">
        <f>案件入力!L220</f>
        <v/>
      </c>
      <c r="M220" s="49">
        <f>案件入力!M220</f>
        <v/>
      </c>
      <c r="N220" s="39">
        <f>案件入力!N220</f>
        <v/>
      </c>
      <c r="O220" s="36">
        <f>案件入力!O220</f>
        <v/>
      </c>
      <c r="P220" s="37">
        <f>案件入力!P220</f>
        <v/>
      </c>
      <c r="Q220" s="35">
        <f>案件入力!Q220</f>
        <v/>
      </c>
      <c r="R220" s="35">
        <f>案件入力!R220</f>
        <v/>
      </c>
      <c r="S220" s="35">
        <f>案件入力!S220</f>
        <v/>
      </c>
    </row>
    <row r="221">
      <c r="A221" s="35">
        <f>案件入力!A221</f>
        <v/>
      </c>
      <c r="B221" s="36">
        <f>案件入力!B221</f>
        <v/>
      </c>
      <c r="C221" s="35">
        <f>案件入力!C221</f>
        <v/>
      </c>
      <c r="D221" s="37">
        <f>案件入力!D221</f>
        <v/>
      </c>
      <c r="E221" s="35">
        <f>案件入力!E221</f>
        <v/>
      </c>
      <c r="F221" s="35">
        <f>案件入力!F221</f>
        <v/>
      </c>
      <c r="G221" s="35">
        <f>案件入力!G221</f>
        <v/>
      </c>
      <c r="H221" s="49">
        <f>案件入力!H221</f>
        <v/>
      </c>
      <c r="I221" s="49">
        <f>案件入力!I221</f>
        <v/>
      </c>
      <c r="J221" s="39">
        <f>案件入力!J221</f>
        <v/>
      </c>
      <c r="K221" s="36">
        <f>案件入力!K221</f>
        <v/>
      </c>
      <c r="L221" s="49">
        <f>案件入力!L221</f>
        <v/>
      </c>
      <c r="M221" s="49">
        <f>案件入力!M221</f>
        <v/>
      </c>
      <c r="N221" s="39">
        <f>案件入力!N221</f>
        <v/>
      </c>
      <c r="O221" s="36">
        <f>案件入力!O221</f>
        <v/>
      </c>
      <c r="P221" s="37">
        <f>案件入力!P221</f>
        <v/>
      </c>
      <c r="Q221" s="35">
        <f>案件入力!Q221</f>
        <v/>
      </c>
      <c r="R221" s="35">
        <f>案件入力!R221</f>
        <v/>
      </c>
      <c r="S221" s="35">
        <f>案件入力!S221</f>
        <v/>
      </c>
    </row>
    <row r="222">
      <c r="A222" s="35">
        <f>案件入力!A222</f>
        <v/>
      </c>
      <c r="B222" s="36">
        <f>案件入力!B222</f>
        <v/>
      </c>
      <c r="C222" s="35">
        <f>案件入力!C222</f>
        <v/>
      </c>
      <c r="D222" s="37">
        <f>案件入力!D222</f>
        <v/>
      </c>
      <c r="E222" s="35">
        <f>案件入力!E222</f>
        <v/>
      </c>
      <c r="F222" s="35">
        <f>案件入力!F222</f>
        <v/>
      </c>
      <c r="G222" s="35">
        <f>案件入力!G222</f>
        <v/>
      </c>
      <c r="H222" s="49">
        <f>案件入力!H222</f>
        <v/>
      </c>
      <c r="I222" s="49">
        <f>案件入力!I222</f>
        <v/>
      </c>
      <c r="J222" s="39">
        <f>案件入力!J222</f>
        <v/>
      </c>
      <c r="K222" s="36">
        <f>案件入力!K222</f>
        <v/>
      </c>
      <c r="L222" s="49">
        <f>案件入力!L222</f>
        <v/>
      </c>
      <c r="M222" s="49">
        <f>案件入力!M222</f>
        <v/>
      </c>
      <c r="N222" s="39">
        <f>案件入力!N222</f>
        <v/>
      </c>
      <c r="O222" s="36">
        <f>案件入力!O222</f>
        <v/>
      </c>
      <c r="P222" s="37">
        <f>案件入力!P222</f>
        <v/>
      </c>
      <c r="Q222" s="35">
        <f>案件入力!Q222</f>
        <v/>
      </c>
      <c r="R222" s="35">
        <f>案件入力!R222</f>
        <v/>
      </c>
      <c r="S222" s="35">
        <f>案件入力!S222</f>
        <v/>
      </c>
    </row>
    <row r="223">
      <c r="A223" s="35">
        <f>案件入力!A223</f>
        <v/>
      </c>
      <c r="B223" s="36">
        <f>案件入力!B223</f>
        <v/>
      </c>
      <c r="C223" s="35">
        <f>案件入力!C223</f>
        <v/>
      </c>
      <c r="D223" s="37">
        <f>案件入力!D223</f>
        <v/>
      </c>
      <c r="E223" s="35">
        <f>案件入力!E223</f>
        <v/>
      </c>
      <c r="F223" s="35">
        <f>案件入力!F223</f>
        <v/>
      </c>
      <c r="G223" s="35">
        <f>案件入力!G223</f>
        <v/>
      </c>
      <c r="H223" s="49">
        <f>案件入力!H223</f>
        <v/>
      </c>
      <c r="I223" s="49">
        <f>案件入力!I223</f>
        <v/>
      </c>
      <c r="J223" s="39">
        <f>案件入力!J223</f>
        <v/>
      </c>
      <c r="K223" s="36">
        <f>案件入力!K223</f>
        <v/>
      </c>
      <c r="L223" s="49">
        <f>案件入力!L223</f>
        <v/>
      </c>
      <c r="M223" s="49">
        <f>案件入力!M223</f>
        <v/>
      </c>
      <c r="N223" s="39">
        <f>案件入力!N223</f>
        <v/>
      </c>
      <c r="O223" s="36">
        <f>案件入力!O223</f>
        <v/>
      </c>
      <c r="P223" s="37">
        <f>案件入力!P223</f>
        <v/>
      </c>
      <c r="Q223" s="35">
        <f>案件入力!Q223</f>
        <v/>
      </c>
      <c r="R223" s="35">
        <f>案件入力!R223</f>
        <v/>
      </c>
      <c r="S223" s="35">
        <f>案件入力!S223</f>
        <v/>
      </c>
    </row>
    <row r="224">
      <c r="A224" s="35">
        <f>案件入力!A224</f>
        <v/>
      </c>
      <c r="B224" s="36">
        <f>案件入力!B224</f>
        <v/>
      </c>
      <c r="C224" s="35">
        <f>案件入力!C224</f>
        <v/>
      </c>
      <c r="D224" s="37">
        <f>案件入力!D224</f>
        <v/>
      </c>
      <c r="E224" s="35">
        <f>案件入力!E224</f>
        <v/>
      </c>
      <c r="F224" s="35">
        <f>案件入力!F224</f>
        <v/>
      </c>
      <c r="G224" s="35">
        <f>案件入力!G224</f>
        <v/>
      </c>
      <c r="H224" s="49">
        <f>案件入力!H224</f>
        <v/>
      </c>
      <c r="I224" s="49">
        <f>案件入力!I224</f>
        <v/>
      </c>
      <c r="J224" s="39">
        <f>案件入力!J224</f>
        <v/>
      </c>
      <c r="K224" s="36">
        <f>案件入力!K224</f>
        <v/>
      </c>
      <c r="L224" s="49">
        <f>案件入力!L224</f>
        <v/>
      </c>
      <c r="M224" s="49">
        <f>案件入力!M224</f>
        <v/>
      </c>
      <c r="N224" s="39">
        <f>案件入力!N224</f>
        <v/>
      </c>
      <c r="O224" s="36">
        <f>案件入力!O224</f>
        <v/>
      </c>
      <c r="P224" s="37">
        <f>案件入力!P224</f>
        <v/>
      </c>
      <c r="Q224" s="35">
        <f>案件入力!Q224</f>
        <v/>
      </c>
      <c r="R224" s="35">
        <f>案件入力!R224</f>
        <v/>
      </c>
      <c r="S224" s="35">
        <f>案件入力!S224</f>
        <v/>
      </c>
    </row>
    <row r="225">
      <c r="A225" s="35">
        <f>案件入力!A225</f>
        <v/>
      </c>
      <c r="B225" s="36">
        <f>案件入力!B225</f>
        <v/>
      </c>
      <c r="C225" s="35">
        <f>案件入力!C225</f>
        <v/>
      </c>
      <c r="D225" s="37">
        <f>案件入力!D225</f>
        <v/>
      </c>
      <c r="E225" s="35">
        <f>案件入力!E225</f>
        <v/>
      </c>
      <c r="F225" s="35">
        <f>案件入力!F225</f>
        <v/>
      </c>
      <c r="G225" s="35">
        <f>案件入力!G225</f>
        <v/>
      </c>
      <c r="H225" s="49">
        <f>案件入力!H225</f>
        <v/>
      </c>
      <c r="I225" s="49">
        <f>案件入力!I225</f>
        <v/>
      </c>
      <c r="J225" s="39">
        <f>案件入力!J225</f>
        <v/>
      </c>
      <c r="K225" s="36">
        <f>案件入力!K225</f>
        <v/>
      </c>
      <c r="L225" s="49">
        <f>案件入力!L225</f>
        <v/>
      </c>
      <c r="M225" s="49">
        <f>案件入力!M225</f>
        <v/>
      </c>
      <c r="N225" s="39">
        <f>案件入力!N225</f>
        <v/>
      </c>
      <c r="O225" s="36">
        <f>案件入力!O225</f>
        <v/>
      </c>
      <c r="P225" s="37">
        <f>案件入力!P225</f>
        <v/>
      </c>
      <c r="Q225" s="35">
        <f>案件入力!Q225</f>
        <v/>
      </c>
      <c r="R225" s="35">
        <f>案件入力!R225</f>
        <v/>
      </c>
      <c r="S225" s="35">
        <f>案件入力!S225</f>
        <v/>
      </c>
    </row>
    <row r="226">
      <c r="A226" s="35">
        <f>案件入力!A226</f>
        <v/>
      </c>
      <c r="B226" s="36">
        <f>案件入力!B226</f>
        <v/>
      </c>
      <c r="C226" s="35">
        <f>案件入力!C226</f>
        <v/>
      </c>
      <c r="D226" s="37">
        <f>案件入力!D226</f>
        <v/>
      </c>
      <c r="E226" s="35">
        <f>案件入力!E226</f>
        <v/>
      </c>
      <c r="F226" s="35">
        <f>案件入力!F226</f>
        <v/>
      </c>
      <c r="G226" s="35">
        <f>案件入力!G226</f>
        <v/>
      </c>
      <c r="H226" s="49">
        <f>案件入力!H226</f>
        <v/>
      </c>
      <c r="I226" s="49">
        <f>案件入力!I226</f>
        <v/>
      </c>
      <c r="J226" s="39">
        <f>案件入力!J226</f>
        <v/>
      </c>
      <c r="K226" s="36">
        <f>案件入力!K226</f>
        <v/>
      </c>
      <c r="L226" s="49">
        <f>案件入力!L226</f>
        <v/>
      </c>
      <c r="M226" s="49">
        <f>案件入力!M226</f>
        <v/>
      </c>
      <c r="N226" s="39">
        <f>案件入力!N226</f>
        <v/>
      </c>
      <c r="O226" s="36">
        <f>案件入力!O226</f>
        <v/>
      </c>
      <c r="P226" s="37">
        <f>案件入力!P226</f>
        <v/>
      </c>
      <c r="Q226" s="35">
        <f>案件入力!Q226</f>
        <v/>
      </c>
      <c r="R226" s="35">
        <f>案件入力!R226</f>
        <v/>
      </c>
      <c r="S226" s="35">
        <f>案件入力!S226</f>
        <v/>
      </c>
    </row>
    <row r="227">
      <c r="A227" s="35">
        <f>案件入力!A227</f>
        <v/>
      </c>
      <c r="B227" s="36">
        <f>案件入力!B227</f>
        <v/>
      </c>
      <c r="C227" s="35">
        <f>案件入力!C227</f>
        <v/>
      </c>
      <c r="D227" s="37">
        <f>案件入力!D227</f>
        <v/>
      </c>
      <c r="E227" s="35">
        <f>案件入力!E227</f>
        <v/>
      </c>
      <c r="F227" s="35">
        <f>案件入力!F227</f>
        <v/>
      </c>
      <c r="G227" s="35">
        <f>案件入力!G227</f>
        <v/>
      </c>
      <c r="H227" s="49">
        <f>案件入力!H227</f>
        <v/>
      </c>
      <c r="I227" s="49">
        <f>案件入力!I227</f>
        <v/>
      </c>
      <c r="J227" s="39">
        <f>案件入力!J227</f>
        <v/>
      </c>
      <c r="K227" s="36">
        <f>案件入力!K227</f>
        <v/>
      </c>
      <c r="L227" s="49">
        <f>案件入力!L227</f>
        <v/>
      </c>
      <c r="M227" s="49">
        <f>案件入力!M227</f>
        <v/>
      </c>
      <c r="N227" s="39">
        <f>案件入力!N227</f>
        <v/>
      </c>
      <c r="O227" s="36">
        <f>案件入力!O227</f>
        <v/>
      </c>
      <c r="P227" s="37">
        <f>案件入力!P227</f>
        <v/>
      </c>
      <c r="Q227" s="35">
        <f>案件入力!Q227</f>
        <v/>
      </c>
      <c r="R227" s="35">
        <f>案件入力!R227</f>
        <v/>
      </c>
      <c r="S227" s="35">
        <f>案件入力!S227</f>
        <v/>
      </c>
    </row>
    <row r="228">
      <c r="A228" s="35">
        <f>案件入力!A228</f>
        <v/>
      </c>
      <c r="B228" s="36">
        <f>案件入力!B228</f>
        <v/>
      </c>
      <c r="C228" s="35">
        <f>案件入力!C228</f>
        <v/>
      </c>
      <c r="D228" s="37">
        <f>案件入力!D228</f>
        <v/>
      </c>
      <c r="E228" s="35">
        <f>案件入力!E228</f>
        <v/>
      </c>
      <c r="F228" s="35">
        <f>案件入力!F228</f>
        <v/>
      </c>
      <c r="G228" s="35">
        <f>案件入力!G228</f>
        <v/>
      </c>
      <c r="H228" s="49">
        <f>案件入力!H228</f>
        <v/>
      </c>
      <c r="I228" s="49">
        <f>案件入力!I228</f>
        <v/>
      </c>
      <c r="J228" s="39">
        <f>案件入力!J228</f>
        <v/>
      </c>
      <c r="K228" s="36">
        <f>案件入力!K228</f>
        <v/>
      </c>
      <c r="L228" s="49">
        <f>案件入力!L228</f>
        <v/>
      </c>
      <c r="M228" s="49">
        <f>案件入力!M228</f>
        <v/>
      </c>
      <c r="N228" s="39">
        <f>案件入力!N228</f>
        <v/>
      </c>
      <c r="O228" s="36">
        <f>案件入力!O228</f>
        <v/>
      </c>
      <c r="P228" s="37">
        <f>案件入力!P228</f>
        <v/>
      </c>
      <c r="Q228" s="35">
        <f>案件入力!Q228</f>
        <v/>
      </c>
      <c r="R228" s="35">
        <f>案件入力!R228</f>
        <v/>
      </c>
      <c r="S228" s="35">
        <f>案件入力!S228</f>
        <v/>
      </c>
    </row>
    <row r="229">
      <c r="A229" s="35">
        <f>案件入力!A229</f>
        <v/>
      </c>
      <c r="B229" s="36">
        <f>案件入力!B229</f>
        <v/>
      </c>
      <c r="C229" s="35">
        <f>案件入力!C229</f>
        <v/>
      </c>
      <c r="D229" s="37">
        <f>案件入力!D229</f>
        <v/>
      </c>
      <c r="E229" s="35">
        <f>案件入力!E229</f>
        <v/>
      </c>
      <c r="F229" s="35">
        <f>案件入力!F229</f>
        <v/>
      </c>
      <c r="G229" s="35">
        <f>案件入力!G229</f>
        <v/>
      </c>
      <c r="H229" s="49">
        <f>案件入力!H229</f>
        <v/>
      </c>
      <c r="I229" s="49">
        <f>案件入力!I229</f>
        <v/>
      </c>
      <c r="J229" s="39">
        <f>案件入力!J229</f>
        <v/>
      </c>
      <c r="K229" s="36">
        <f>案件入力!K229</f>
        <v/>
      </c>
      <c r="L229" s="49">
        <f>案件入力!L229</f>
        <v/>
      </c>
      <c r="M229" s="49">
        <f>案件入力!M229</f>
        <v/>
      </c>
      <c r="N229" s="39">
        <f>案件入力!N229</f>
        <v/>
      </c>
      <c r="O229" s="36">
        <f>案件入力!O229</f>
        <v/>
      </c>
      <c r="P229" s="37">
        <f>案件入力!P229</f>
        <v/>
      </c>
      <c r="Q229" s="35">
        <f>案件入力!Q229</f>
        <v/>
      </c>
      <c r="R229" s="35">
        <f>案件入力!R229</f>
        <v/>
      </c>
      <c r="S229" s="35">
        <f>案件入力!S229</f>
        <v/>
      </c>
    </row>
    <row r="230">
      <c r="A230" s="35">
        <f>案件入力!A230</f>
        <v/>
      </c>
      <c r="B230" s="36">
        <f>案件入力!B230</f>
        <v/>
      </c>
      <c r="C230" s="35">
        <f>案件入力!C230</f>
        <v/>
      </c>
      <c r="D230" s="37">
        <f>案件入力!D230</f>
        <v/>
      </c>
      <c r="E230" s="35">
        <f>案件入力!E230</f>
        <v/>
      </c>
      <c r="F230" s="35">
        <f>案件入力!F230</f>
        <v/>
      </c>
      <c r="G230" s="35">
        <f>案件入力!G230</f>
        <v/>
      </c>
      <c r="H230" s="49">
        <f>案件入力!H230</f>
        <v/>
      </c>
      <c r="I230" s="49">
        <f>案件入力!I230</f>
        <v/>
      </c>
      <c r="J230" s="39">
        <f>案件入力!J230</f>
        <v/>
      </c>
      <c r="K230" s="36">
        <f>案件入力!K230</f>
        <v/>
      </c>
      <c r="L230" s="49">
        <f>案件入力!L230</f>
        <v/>
      </c>
      <c r="M230" s="49">
        <f>案件入力!M230</f>
        <v/>
      </c>
      <c r="N230" s="39">
        <f>案件入力!N230</f>
        <v/>
      </c>
      <c r="O230" s="36">
        <f>案件入力!O230</f>
        <v/>
      </c>
      <c r="P230" s="37">
        <f>案件入力!P230</f>
        <v/>
      </c>
      <c r="Q230" s="35">
        <f>案件入力!Q230</f>
        <v/>
      </c>
      <c r="R230" s="35">
        <f>案件入力!R230</f>
        <v/>
      </c>
      <c r="S230" s="35">
        <f>案件入力!S230</f>
        <v/>
      </c>
    </row>
    <row r="231">
      <c r="A231" s="35">
        <f>案件入力!A231</f>
        <v/>
      </c>
      <c r="B231" s="36">
        <f>案件入力!B231</f>
        <v/>
      </c>
      <c r="C231" s="35">
        <f>案件入力!C231</f>
        <v/>
      </c>
      <c r="D231" s="37">
        <f>案件入力!D231</f>
        <v/>
      </c>
      <c r="E231" s="35">
        <f>案件入力!E231</f>
        <v/>
      </c>
      <c r="F231" s="35">
        <f>案件入力!F231</f>
        <v/>
      </c>
      <c r="G231" s="35">
        <f>案件入力!G231</f>
        <v/>
      </c>
      <c r="H231" s="49">
        <f>案件入力!H231</f>
        <v/>
      </c>
      <c r="I231" s="49">
        <f>案件入力!I231</f>
        <v/>
      </c>
      <c r="J231" s="39">
        <f>案件入力!J231</f>
        <v/>
      </c>
      <c r="K231" s="36">
        <f>案件入力!K231</f>
        <v/>
      </c>
      <c r="L231" s="49">
        <f>案件入力!L231</f>
        <v/>
      </c>
      <c r="M231" s="49">
        <f>案件入力!M231</f>
        <v/>
      </c>
      <c r="N231" s="39">
        <f>案件入力!N231</f>
        <v/>
      </c>
      <c r="O231" s="36">
        <f>案件入力!O231</f>
        <v/>
      </c>
      <c r="P231" s="37">
        <f>案件入力!P231</f>
        <v/>
      </c>
      <c r="Q231" s="35">
        <f>案件入力!Q231</f>
        <v/>
      </c>
      <c r="R231" s="35">
        <f>案件入力!R231</f>
        <v/>
      </c>
      <c r="S231" s="35">
        <f>案件入力!S231</f>
        <v/>
      </c>
    </row>
    <row r="232">
      <c r="A232" s="35">
        <f>案件入力!A232</f>
        <v/>
      </c>
      <c r="B232" s="36">
        <f>案件入力!B232</f>
        <v/>
      </c>
      <c r="C232" s="35">
        <f>案件入力!C232</f>
        <v/>
      </c>
      <c r="D232" s="37">
        <f>案件入力!D232</f>
        <v/>
      </c>
      <c r="E232" s="35">
        <f>案件入力!E232</f>
        <v/>
      </c>
      <c r="F232" s="35">
        <f>案件入力!F232</f>
        <v/>
      </c>
      <c r="G232" s="35">
        <f>案件入力!G232</f>
        <v/>
      </c>
      <c r="H232" s="49">
        <f>案件入力!H232</f>
        <v/>
      </c>
      <c r="I232" s="49">
        <f>案件入力!I232</f>
        <v/>
      </c>
      <c r="J232" s="39">
        <f>案件入力!J232</f>
        <v/>
      </c>
      <c r="K232" s="36">
        <f>案件入力!K232</f>
        <v/>
      </c>
      <c r="L232" s="49">
        <f>案件入力!L232</f>
        <v/>
      </c>
      <c r="M232" s="49">
        <f>案件入力!M232</f>
        <v/>
      </c>
      <c r="N232" s="39">
        <f>案件入力!N232</f>
        <v/>
      </c>
      <c r="O232" s="36">
        <f>案件入力!O232</f>
        <v/>
      </c>
      <c r="P232" s="37">
        <f>案件入力!P232</f>
        <v/>
      </c>
      <c r="Q232" s="35">
        <f>案件入力!Q232</f>
        <v/>
      </c>
      <c r="R232" s="35">
        <f>案件入力!R232</f>
        <v/>
      </c>
      <c r="S232" s="35">
        <f>案件入力!S232</f>
        <v/>
      </c>
    </row>
    <row r="233">
      <c r="A233" s="35">
        <f>案件入力!A233</f>
        <v/>
      </c>
      <c r="B233" s="36">
        <f>案件入力!B233</f>
        <v/>
      </c>
      <c r="C233" s="35">
        <f>案件入力!C233</f>
        <v/>
      </c>
      <c r="D233" s="37">
        <f>案件入力!D233</f>
        <v/>
      </c>
      <c r="E233" s="35">
        <f>案件入力!E233</f>
        <v/>
      </c>
      <c r="F233" s="35">
        <f>案件入力!F233</f>
        <v/>
      </c>
      <c r="G233" s="35">
        <f>案件入力!G233</f>
        <v/>
      </c>
      <c r="H233" s="49">
        <f>案件入力!H233</f>
        <v/>
      </c>
      <c r="I233" s="49">
        <f>案件入力!I233</f>
        <v/>
      </c>
      <c r="J233" s="39">
        <f>案件入力!J233</f>
        <v/>
      </c>
      <c r="K233" s="36">
        <f>案件入力!K233</f>
        <v/>
      </c>
      <c r="L233" s="49">
        <f>案件入力!L233</f>
        <v/>
      </c>
      <c r="M233" s="49">
        <f>案件入力!M233</f>
        <v/>
      </c>
      <c r="N233" s="39">
        <f>案件入力!N233</f>
        <v/>
      </c>
      <c r="O233" s="36">
        <f>案件入力!O233</f>
        <v/>
      </c>
      <c r="P233" s="37">
        <f>案件入力!P233</f>
        <v/>
      </c>
      <c r="Q233" s="35">
        <f>案件入力!Q233</f>
        <v/>
      </c>
      <c r="R233" s="35">
        <f>案件入力!R233</f>
        <v/>
      </c>
      <c r="S233" s="35">
        <f>案件入力!S233</f>
        <v/>
      </c>
    </row>
    <row r="234">
      <c r="A234" s="35">
        <f>案件入力!A234</f>
        <v/>
      </c>
      <c r="B234" s="36">
        <f>案件入力!B234</f>
        <v/>
      </c>
      <c r="C234" s="35">
        <f>案件入力!C234</f>
        <v/>
      </c>
      <c r="D234" s="37">
        <f>案件入力!D234</f>
        <v/>
      </c>
      <c r="E234" s="35">
        <f>案件入力!E234</f>
        <v/>
      </c>
      <c r="F234" s="35">
        <f>案件入力!F234</f>
        <v/>
      </c>
      <c r="G234" s="35">
        <f>案件入力!G234</f>
        <v/>
      </c>
      <c r="H234" s="49">
        <f>案件入力!H234</f>
        <v/>
      </c>
      <c r="I234" s="49">
        <f>案件入力!I234</f>
        <v/>
      </c>
      <c r="J234" s="39">
        <f>案件入力!J234</f>
        <v/>
      </c>
      <c r="K234" s="36">
        <f>案件入力!K234</f>
        <v/>
      </c>
      <c r="L234" s="49">
        <f>案件入力!L234</f>
        <v/>
      </c>
      <c r="M234" s="49">
        <f>案件入力!M234</f>
        <v/>
      </c>
      <c r="N234" s="39">
        <f>案件入力!N234</f>
        <v/>
      </c>
      <c r="O234" s="36">
        <f>案件入力!O234</f>
        <v/>
      </c>
      <c r="P234" s="37">
        <f>案件入力!P234</f>
        <v/>
      </c>
      <c r="Q234" s="35">
        <f>案件入力!Q234</f>
        <v/>
      </c>
      <c r="R234" s="35">
        <f>案件入力!R234</f>
        <v/>
      </c>
      <c r="S234" s="35">
        <f>案件入力!S234</f>
        <v/>
      </c>
    </row>
    <row r="235">
      <c r="A235" s="35">
        <f>案件入力!A235</f>
        <v/>
      </c>
      <c r="B235" s="36">
        <f>案件入力!B235</f>
        <v/>
      </c>
      <c r="C235" s="35">
        <f>案件入力!C235</f>
        <v/>
      </c>
      <c r="D235" s="37">
        <f>案件入力!D235</f>
        <v/>
      </c>
      <c r="E235" s="35">
        <f>案件入力!E235</f>
        <v/>
      </c>
      <c r="F235" s="35">
        <f>案件入力!F235</f>
        <v/>
      </c>
      <c r="G235" s="35">
        <f>案件入力!G235</f>
        <v/>
      </c>
      <c r="H235" s="49">
        <f>案件入力!H235</f>
        <v/>
      </c>
      <c r="I235" s="49">
        <f>案件入力!I235</f>
        <v/>
      </c>
      <c r="J235" s="39">
        <f>案件入力!J235</f>
        <v/>
      </c>
      <c r="K235" s="36">
        <f>案件入力!K235</f>
        <v/>
      </c>
      <c r="L235" s="49">
        <f>案件入力!L235</f>
        <v/>
      </c>
      <c r="M235" s="49">
        <f>案件入力!M235</f>
        <v/>
      </c>
      <c r="N235" s="39">
        <f>案件入力!N235</f>
        <v/>
      </c>
      <c r="O235" s="36">
        <f>案件入力!O235</f>
        <v/>
      </c>
      <c r="P235" s="37">
        <f>案件入力!P235</f>
        <v/>
      </c>
      <c r="Q235" s="35">
        <f>案件入力!Q235</f>
        <v/>
      </c>
      <c r="R235" s="35">
        <f>案件入力!R235</f>
        <v/>
      </c>
      <c r="S235" s="35">
        <f>案件入力!S235</f>
        <v/>
      </c>
    </row>
    <row r="236">
      <c r="A236" s="35">
        <f>案件入力!A236</f>
        <v/>
      </c>
      <c r="B236" s="36">
        <f>案件入力!B236</f>
        <v/>
      </c>
      <c r="C236" s="35">
        <f>案件入力!C236</f>
        <v/>
      </c>
      <c r="D236" s="37">
        <f>案件入力!D236</f>
        <v/>
      </c>
      <c r="E236" s="35">
        <f>案件入力!E236</f>
        <v/>
      </c>
      <c r="F236" s="35">
        <f>案件入力!F236</f>
        <v/>
      </c>
      <c r="G236" s="35">
        <f>案件入力!G236</f>
        <v/>
      </c>
      <c r="H236" s="49">
        <f>案件入力!H236</f>
        <v/>
      </c>
      <c r="I236" s="49">
        <f>案件入力!I236</f>
        <v/>
      </c>
      <c r="J236" s="39">
        <f>案件入力!J236</f>
        <v/>
      </c>
      <c r="K236" s="36">
        <f>案件入力!K236</f>
        <v/>
      </c>
      <c r="L236" s="49">
        <f>案件入力!L236</f>
        <v/>
      </c>
      <c r="M236" s="49">
        <f>案件入力!M236</f>
        <v/>
      </c>
      <c r="N236" s="39">
        <f>案件入力!N236</f>
        <v/>
      </c>
      <c r="O236" s="36">
        <f>案件入力!O236</f>
        <v/>
      </c>
      <c r="P236" s="37">
        <f>案件入力!P236</f>
        <v/>
      </c>
      <c r="Q236" s="35">
        <f>案件入力!Q236</f>
        <v/>
      </c>
      <c r="R236" s="35">
        <f>案件入力!R236</f>
        <v/>
      </c>
      <c r="S236" s="35">
        <f>案件入力!S236</f>
        <v/>
      </c>
    </row>
    <row r="237">
      <c r="A237" s="35">
        <f>案件入力!A237</f>
        <v/>
      </c>
      <c r="B237" s="36">
        <f>案件入力!B237</f>
        <v/>
      </c>
      <c r="C237" s="35">
        <f>案件入力!C237</f>
        <v/>
      </c>
      <c r="D237" s="37">
        <f>案件入力!D237</f>
        <v/>
      </c>
      <c r="E237" s="35">
        <f>案件入力!E237</f>
        <v/>
      </c>
      <c r="F237" s="35">
        <f>案件入力!F237</f>
        <v/>
      </c>
      <c r="G237" s="35">
        <f>案件入力!G237</f>
        <v/>
      </c>
      <c r="H237" s="49">
        <f>案件入力!H237</f>
        <v/>
      </c>
      <c r="I237" s="49">
        <f>案件入力!I237</f>
        <v/>
      </c>
      <c r="J237" s="39">
        <f>案件入力!J237</f>
        <v/>
      </c>
      <c r="K237" s="36">
        <f>案件入力!K237</f>
        <v/>
      </c>
      <c r="L237" s="49">
        <f>案件入力!L237</f>
        <v/>
      </c>
      <c r="M237" s="49">
        <f>案件入力!M237</f>
        <v/>
      </c>
      <c r="N237" s="39">
        <f>案件入力!N237</f>
        <v/>
      </c>
      <c r="O237" s="36">
        <f>案件入力!O237</f>
        <v/>
      </c>
      <c r="P237" s="37">
        <f>案件入力!P237</f>
        <v/>
      </c>
      <c r="Q237" s="35">
        <f>案件入力!Q237</f>
        <v/>
      </c>
      <c r="R237" s="35">
        <f>案件入力!R237</f>
        <v/>
      </c>
      <c r="S237" s="35">
        <f>案件入力!S237</f>
        <v/>
      </c>
    </row>
    <row r="238">
      <c r="A238" s="35">
        <f>案件入力!A238</f>
        <v/>
      </c>
      <c r="B238" s="36">
        <f>案件入力!B238</f>
        <v/>
      </c>
      <c r="C238" s="35">
        <f>案件入力!C238</f>
        <v/>
      </c>
      <c r="D238" s="37">
        <f>案件入力!D238</f>
        <v/>
      </c>
      <c r="E238" s="35">
        <f>案件入力!E238</f>
        <v/>
      </c>
      <c r="F238" s="35">
        <f>案件入力!F238</f>
        <v/>
      </c>
      <c r="G238" s="35">
        <f>案件入力!G238</f>
        <v/>
      </c>
      <c r="H238" s="49">
        <f>案件入力!H238</f>
        <v/>
      </c>
      <c r="I238" s="49">
        <f>案件入力!I238</f>
        <v/>
      </c>
      <c r="J238" s="39">
        <f>案件入力!J238</f>
        <v/>
      </c>
      <c r="K238" s="36">
        <f>案件入力!K238</f>
        <v/>
      </c>
      <c r="L238" s="49">
        <f>案件入力!L238</f>
        <v/>
      </c>
      <c r="M238" s="49">
        <f>案件入力!M238</f>
        <v/>
      </c>
      <c r="N238" s="39">
        <f>案件入力!N238</f>
        <v/>
      </c>
      <c r="O238" s="36">
        <f>案件入力!O238</f>
        <v/>
      </c>
      <c r="P238" s="37">
        <f>案件入力!P238</f>
        <v/>
      </c>
      <c r="Q238" s="35">
        <f>案件入力!Q238</f>
        <v/>
      </c>
      <c r="R238" s="35">
        <f>案件入力!R238</f>
        <v/>
      </c>
      <c r="S238" s="35">
        <f>案件入力!S238</f>
        <v/>
      </c>
    </row>
    <row r="239">
      <c r="A239" s="35">
        <f>案件入力!A239</f>
        <v/>
      </c>
      <c r="B239" s="36">
        <f>案件入力!B239</f>
        <v/>
      </c>
      <c r="C239" s="35">
        <f>案件入力!C239</f>
        <v/>
      </c>
      <c r="D239" s="37">
        <f>案件入力!D239</f>
        <v/>
      </c>
      <c r="E239" s="35">
        <f>案件入力!E239</f>
        <v/>
      </c>
      <c r="F239" s="35">
        <f>案件入力!F239</f>
        <v/>
      </c>
      <c r="G239" s="35">
        <f>案件入力!G239</f>
        <v/>
      </c>
      <c r="H239" s="49">
        <f>案件入力!H239</f>
        <v/>
      </c>
      <c r="I239" s="49">
        <f>案件入力!I239</f>
        <v/>
      </c>
      <c r="J239" s="39">
        <f>案件入力!J239</f>
        <v/>
      </c>
      <c r="K239" s="36">
        <f>案件入力!K239</f>
        <v/>
      </c>
      <c r="L239" s="49">
        <f>案件入力!L239</f>
        <v/>
      </c>
      <c r="M239" s="49">
        <f>案件入力!M239</f>
        <v/>
      </c>
      <c r="N239" s="39">
        <f>案件入力!N239</f>
        <v/>
      </c>
      <c r="O239" s="36">
        <f>案件入力!O239</f>
        <v/>
      </c>
      <c r="P239" s="37">
        <f>案件入力!P239</f>
        <v/>
      </c>
      <c r="Q239" s="35">
        <f>案件入力!Q239</f>
        <v/>
      </c>
      <c r="R239" s="35">
        <f>案件入力!R239</f>
        <v/>
      </c>
      <c r="S239" s="35">
        <f>案件入力!S239</f>
        <v/>
      </c>
    </row>
    <row r="240">
      <c r="A240" s="35">
        <f>案件入力!A240</f>
        <v/>
      </c>
      <c r="B240" s="36">
        <f>案件入力!B240</f>
        <v/>
      </c>
      <c r="C240" s="35">
        <f>案件入力!C240</f>
        <v/>
      </c>
      <c r="D240" s="37">
        <f>案件入力!D240</f>
        <v/>
      </c>
      <c r="E240" s="35">
        <f>案件入力!E240</f>
        <v/>
      </c>
      <c r="F240" s="35">
        <f>案件入力!F240</f>
        <v/>
      </c>
      <c r="G240" s="35">
        <f>案件入力!G240</f>
        <v/>
      </c>
      <c r="H240" s="49">
        <f>案件入力!H240</f>
        <v/>
      </c>
      <c r="I240" s="49">
        <f>案件入力!I240</f>
        <v/>
      </c>
      <c r="J240" s="39">
        <f>案件入力!J240</f>
        <v/>
      </c>
      <c r="K240" s="36">
        <f>案件入力!K240</f>
        <v/>
      </c>
      <c r="L240" s="49">
        <f>案件入力!L240</f>
        <v/>
      </c>
      <c r="M240" s="49">
        <f>案件入力!M240</f>
        <v/>
      </c>
      <c r="N240" s="39">
        <f>案件入力!N240</f>
        <v/>
      </c>
      <c r="O240" s="36">
        <f>案件入力!O240</f>
        <v/>
      </c>
      <c r="P240" s="37">
        <f>案件入力!P240</f>
        <v/>
      </c>
      <c r="Q240" s="35">
        <f>案件入力!Q240</f>
        <v/>
      </c>
      <c r="R240" s="35">
        <f>案件入力!R240</f>
        <v/>
      </c>
      <c r="S240" s="35">
        <f>案件入力!S240</f>
        <v/>
      </c>
    </row>
    <row r="241">
      <c r="A241" s="35">
        <f>案件入力!A241</f>
        <v/>
      </c>
      <c r="B241" s="36">
        <f>案件入力!B241</f>
        <v/>
      </c>
      <c r="C241" s="35">
        <f>案件入力!C241</f>
        <v/>
      </c>
      <c r="D241" s="37">
        <f>案件入力!D241</f>
        <v/>
      </c>
      <c r="E241" s="35">
        <f>案件入力!E241</f>
        <v/>
      </c>
      <c r="F241" s="35">
        <f>案件入力!F241</f>
        <v/>
      </c>
      <c r="G241" s="35">
        <f>案件入力!G241</f>
        <v/>
      </c>
      <c r="H241" s="49">
        <f>案件入力!H241</f>
        <v/>
      </c>
      <c r="I241" s="49">
        <f>案件入力!I241</f>
        <v/>
      </c>
      <c r="J241" s="39">
        <f>案件入力!J241</f>
        <v/>
      </c>
      <c r="K241" s="36">
        <f>案件入力!K241</f>
        <v/>
      </c>
      <c r="L241" s="49">
        <f>案件入力!L241</f>
        <v/>
      </c>
      <c r="M241" s="49">
        <f>案件入力!M241</f>
        <v/>
      </c>
      <c r="N241" s="39">
        <f>案件入力!N241</f>
        <v/>
      </c>
      <c r="O241" s="36">
        <f>案件入力!O241</f>
        <v/>
      </c>
      <c r="P241" s="37">
        <f>案件入力!P241</f>
        <v/>
      </c>
      <c r="Q241" s="35">
        <f>案件入力!Q241</f>
        <v/>
      </c>
      <c r="R241" s="35">
        <f>案件入力!R241</f>
        <v/>
      </c>
      <c r="S241" s="35">
        <f>案件入力!S241</f>
        <v/>
      </c>
    </row>
    <row r="242">
      <c r="A242" s="35">
        <f>案件入力!A242</f>
        <v/>
      </c>
      <c r="B242" s="36">
        <f>案件入力!B242</f>
        <v/>
      </c>
      <c r="C242" s="35">
        <f>案件入力!C242</f>
        <v/>
      </c>
      <c r="D242" s="37">
        <f>案件入力!D242</f>
        <v/>
      </c>
      <c r="E242" s="35">
        <f>案件入力!E242</f>
        <v/>
      </c>
      <c r="F242" s="35">
        <f>案件入力!F242</f>
        <v/>
      </c>
      <c r="G242" s="35">
        <f>案件入力!G242</f>
        <v/>
      </c>
      <c r="H242" s="49">
        <f>案件入力!H242</f>
        <v/>
      </c>
      <c r="I242" s="49">
        <f>案件入力!I242</f>
        <v/>
      </c>
      <c r="J242" s="39">
        <f>案件入力!J242</f>
        <v/>
      </c>
      <c r="K242" s="36">
        <f>案件入力!K242</f>
        <v/>
      </c>
      <c r="L242" s="49">
        <f>案件入力!L242</f>
        <v/>
      </c>
      <c r="M242" s="49">
        <f>案件入力!M242</f>
        <v/>
      </c>
      <c r="N242" s="39">
        <f>案件入力!N242</f>
        <v/>
      </c>
      <c r="O242" s="36">
        <f>案件入力!O242</f>
        <v/>
      </c>
      <c r="P242" s="37">
        <f>案件入力!P242</f>
        <v/>
      </c>
      <c r="Q242" s="35">
        <f>案件入力!Q242</f>
        <v/>
      </c>
      <c r="R242" s="35">
        <f>案件入力!R242</f>
        <v/>
      </c>
      <c r="S242" s="35">
        <f>案件入力!S242</f>
        <v/>
      </c>
    </row>
    <row r="243">
      <c r="A243" s="35">
        <f>案件入力!A243</f>
        <v/>
      </c>
      <c r="B243" s="36">
        <f>案件入力!B243</f>
        <v/>
      </c>
      <c r="C243" s="35">
        <f>案件入力!C243</f>
        <v/>
      </c>
      <c r="D243" s="37">
        <f>案件入力!D243</f>
        <v/>
      </c>
      <c r="E243" s="35">
        <f>案件入力!E243</f>
        <v/>
      </c>
      <c r="F243" s="35">
        <f>案件入力!F243</f>
        <v/>
      </c>
      <c r="G243" s="35">
        <f>案件入力!G243</f>
        <v/>
      </c>
      <c r="H243" s="49">
        <f>案件入力!H243</f>
        <v/>
      </c>
      <c r="I243" s="49">
        <f>案件入力!I243</f>
        <v/>
      </c>
      <c r="J243" s="39">
        <f>案件入力!J243</f>
        <v/>
      </c>
      <c r="K243" s="36">
        <f>案件入力!K243</f>
        <v/>
      </c>
      <c r="L243" s="49">
        <f>案件入力!L243</f>
        <v/>
      </c>
      <c r="M243" s="49">
        <f>案件入力!M243</f>
        <v/>
      </c>
      <c r="N243" s="39">
        <f>案件入力!N243</f>
        <v/>
      </c>
      <c r="O243" s="36">
        <f>案件入力!O243</f>
        <v/>
      </c>
      <c r="P243" s="37">
        <f>案件入力!P243</f>
        <v/>
      </c>
      <c r="Q243" s="35">
        <f>案件入力!Q243</f>
        <v/>
      </c>
      <c r="R243" s="35">
        <f>案件入力!R243</f>
        <v/>
      </c>
      <c r="S243" s="35">
        <f>案件入力!S243</f>
        <v/>
      </c>
    </row>
    <row r="244">
      <c r="A244" s="35">
        <f>案件入力!A244</f>
        <v/>
      </c>
      <c r="B244" s="36">
        <f>案件入力!B244</f>
        <v/>
      </c>
      <c r="C244" s="35">
        <f>案件入力!C244</f>
        <v/>
      </c>
      <c r="D244" s="37">
        <f>案件入力!D244</f>
        <v/>
      </c>
      <c r="E244" s="35">
        <f>案件入力!E244</f>
        <v/>
      </c>
      <c r="F244" s="35">
        <f>案件入力!F244</f>
        <v/>
      </c>
      <c r="G244" s="35">
        <f>案件入力!G244</f>
        <v/>
      </c>
      <c r="H244" s="49">
        <f>案件入力!H244</f>
        <v/>
      </c>
      <c r="I244" s="49">
        <f>案件入力!I244</f>
        <v/>
      </c>
      <c r="J244" s="39">
        <f>案件入力!J244</f>
        <v/>
      </c>
      <c r="K244" s="36">
        <f>案件入力!K244</f>
        <v/>
      </c>
      <c r="L244" s="49">
        <f>案件入力!L244</f>
        <v/>
      </c>
      <c r="M244" s="49">
        <f>案件入力!M244</f>
        <v/>
      </c>
      <c r="N244" s="39">
        <f>案件入力!N244</f>
        <v/>
      </c>
      <c r="O244" s="36">
        <f>案件入力!O244</f>
        <v/>
      </c>
      <c r="P244" s="37">
        <f>案件入力!P244</f>
        <v/>
      </c>
      <c r="Q244" s="35">
        <f>案件入力!Q244</f>
        <v/>
      </c>
      <c r="R244" s="35">
        <f>案件入力!R244</f>
        <v/>
      </c>
      <c r="S244" s="35">
        <f>案件入力!S244</f>
        <v/>
      </c>
    </row>
    <row r="245">
      <c r="A245" s="35">
        <f>案件入力!A245</f>
        <v/>
      </c>
      <c r="B245" s="36">
        <f>案件入力!B245</f>
        <v/>
      </c>
      <c r="C245" s="35">
        <f>案件入力!C245</f>
        <v/>
      </c>
      <c r="D245" s="37">
        <f>案件入力!D245</f>
        <v/>
      </c>
      <c r="E245" s="35">
        <f>案件入力!E245</f>
        <v/>
      </c>
      <c r="F245" s="35">
        <f>案件入力!F245</f>
        <v/>
      </c>
      <c r="G245" s="35">
        <f>案件入力!G245</f>
        <v/>
      </c>
      <c r="H245" s="49">
        <f>案件入力!H245</f>
        <v/>
      </c>
      <c r="I245" s="49">
        <f>案件入力!I245</f>
        <v/>
      </c>
      <c r="J245" s="39">
        <f>案件入力!J245</f>
        <v/>
      </c>
      <c r="K245" s="36">
        <f>案件入力!K245</f>
        <v/>
      </c>
      <c r="L245" s="49">
        <f>案件入力!L245</f>
        <v/>
      </c>
      <c r="M245" s="49">
        <f>案件入力!M245</f>
        <v/>
      </c>
      <c r="N245" s="39">
        <f>案件入力!N245</f>
        <v/>
      </c>
      <c r="O245" s="36">
        <f>案件入力!O245</f>
        <v/>
      </c>
      <c r="P245" s="37">
        <f>案件入力!P245</f>
        <v/>
      </c>
      <c r="Q245" s="35">
        <f>案件入力!Q245</f>
        <v/>
      </c>
      <c r="R245" s="35">
        <f>案件入力!R245</f>
        <v/>
      </c>
      <c r="S245" s="35">
        <f>案件入力!S245</f>
        <v/>
      </c>
    </row>
    <row r="246">
      <c r="A246" s="35">
        <f>案件入力!A246</f>
        <v/>
      </c>
      <c r="B246" s="36">
        <f>案件入力!B246</f>
        <v/>
      </c>
      <c r="C246" s="35">
        <f>案件入力!C246</f>
        <v/>
      </c>
      <c r="D246" s="37">
        <f>案件入力!D246</f>
        <v/>
      </c>
      <c r="E246" s="35">
        <f>案件入力!E246</f>
        <v/>
      </c>
      <c r="F246" s="35">
        <f>案件入力!F246</f>
        <v/>
      </c>
      <c r="G246" s="35">
        <f>案件入力!G246</f>
        <v/>
      </c>
      <c r="H246" s="49">
        <f>案件入力!H246</f>
        <v/>
      </c>
      <c r="I246" s="49">
        <f>案件入力!I246</f>
        <v/>
      </c>
      <c r="J246" s="39">
        <f>案件入力!J246</f>
        <v/>
      </c>
      <c r="K246" s="36">
        <f>案件入力!K246</f>
        <v/>
      </c>
      <c r="L246" s="49">
        <f>案件入力!L246</f>
        <v/>
      </c>
      <c r="M246" s="49">
        <f>案件入力!M246</f>
        <v/>
      </c>
      <c r="N246" s="39">
        <f>案件入力!N246</f>
        <v/>
      </c>
      <c r="O246" s="36">
        <f>案件入力!O246</f>
        <v/>
      </c>
      <c r="P246" s="37">
        <f>案件入力!P246</f>
        <v/>
      </c>
      <c r="Q246" s="35">
        <f>案件入力!Q246</f>
        <v/>
      </c>
      <c r="R246" s="35">
        <f>案件入力!R246</f>
        <v/>
      </c>
      <c r="S246" s="35">
        <f>案件入力!S246</f>
        <v/>
      </c>
    </row>
    <row r="247">
      <c r="A247" s="35">
        <f>案件入力!A247</f>
        <v/>
      </c>
      <c r="B247" s="36">
        <f>案件入力!B247</f>
        <v/>
      </c>
      <c r="C247" s="35">
        <f>案件入力!C247</f>
        <v/>
      </c>
      <c r="D247" s="37">
        <f>案件入力!D247</f>
        <v/>
      </c>
      <c r="E247" s="35">
        <f>案件入力!E247</f>
        <v/>
      </c>
      <c r="F247" s="35">
        <f>案件入力!F247</f>
        <v/>
      </c>
      <c r="G247" s="35">
        <f>案件入力!G247</f>
        <v/>
      </c>
      <c r="H247" s="49">
        <f>案件入力!H247</f>
        <v/>
      </c>
      <c r="I247" s="49">
        <f>案件入力!I247</f>
        <v/>
      </c>
      <c r="J247" s="39">
        <f>案件入力!J247</f>
        <v/>
      </c>
      <c r="K247" s="36">
        <f>案件入力!K247</f>
        <v/>
      </c>
      <c r="L247" s="49">
        <f>案件入力!L247</f>
        <v/>
      </c>
      <c r="M247" s="49">
        <f>案件入力!M247</f>
        <v/>
      </c>
      <c r="N247" s="39">
        <f>案件入力!N247</f>
        <v/>
      </c>
      <c r="O247" s="36">
        <f>案件入力!O247</f>
        <v/>
      </c>
      <c r="P247" s="37">
        <f>案件入力!P247</f>
        <v/>
      </c>
      <c r="Q247" s="35">
        <f>案件入力!Q247</f>
        <v/>
      </c>
      <c r="R247" s="35">
        <f>案件入力!R247</f>
        <v/>
      </c>
      <c r="S247" s="35">
        <f>案件入力!S247</f>
        <v/>
      </c>
    </row>
    <row r="248">
      <c r="A248" s="35">
        <f>案件入力!A248</f>
        <v/>
      </c>
      <c r="B248" s="36">
        <f>案件入力!B248</f>
        <v/>
      </c>
      <c r="C248" s="35">
        <f>案件入力!C248</f>
        <v/>
      </c>
      <c r="D248" s="37">
        <f>案件入力!D248</f>
        <v/>
      </c>
      <c r="E248" s="35">
        <f>案件入力!E248</f>
        <v/>
      </c>
      <c r="F248" s="35">
        <f>案件入力!F248</f>
        <v/>
      </c>
      <c r="G248" s="35">
        <f>案件入力!G248</f>
        <v/>
      </c>
      <c r="H248" s="49">
        <f>案件入力!H248</f>
        <v/>
      </c>
      <c r="I248" s="49">
        <f>案件入力!I248</f>
        <v/>
      </c>
      <c r="J248" s="39">
        <f>案件入力!J248</f>
        <v/>
      </c>
      <c r="K248" s="36">
        <f>案件入力!K248</f>
        <v/>
      </c>
      <c r="L248" s="49">
        <f>案件入力!L248</f>
        <v/>
      </c>
      <c r="M248" s="49">
        <f>案件入力!M248</f>
        <v/>
      </c>
      <c r="N248" s="39">
        <f>案件入力!N248</f>
        <v/>
      </c>
      <c r="O248" s="36">
        <f>案件入力!O248</f>
        <v/>
      </c>
      <c r="P248" s="37">
        <f>案件入力!P248</f>
        <v/>
      </c>
      <c r="Q248" s="35">
        <f>案件入力!Q248</f>
        <v/>
      </c>
      <c r="R248" s="35">
        <f>案件入力!R248</f>
        <v/>
      </c>
      <c r="S248" s="35">
        <f>案件入力!S248</f>
        <v/>
      </c>
    </row>
    <row r="249">
      <c r="A249" s="35">
        <f>案件入力!A249</f>
        <v/>
      </c>
      <c r="B249" s="36">
        <f>案件入力!B249</f>
        <v/>
      </c>
      <c r="C249" s="35">
        <f>案件入力!C249</f>
        <v/>
      </c>
      <c r="D249" s="37">
        <f>案件入力!D249</f>
        <v/>
      </c>
      <c r="E249" s="35">
        <f>案件入力!E249</f>
        <v/>
      </c>
      <c r="F249" s="35">
        <f>案件入力!F249</f>
        <v/>
      </c>
      <c r="G249" s="35">
        <f>案件入力!G249</f>
        <v/>
      </c>
      <c r="H249" s="49">
        <f>案件入力!H249</f>
        <v/>
      </c>
      <c r="I249" s="49">
        <f>案件入力!I249</f>
        <v/>
      </c>
      <c r="J249" s="39">
        <f>案件入力!J249</f>
        <v/>
      </c>
      <c r="K249" s="36">
        <f>案件入力!K249</f>
        <v/>
      </c>
      <c r="L249" s="49">
        <f>案件入力!L249</f>
        <v/>
      </c>
      <c r="M249" s="49">
        <f>案件入力!M249</f>
        <v/>
      </c>
      <c r="N249" s="39">
        <f>案件入力!N249</f>
        <v/>
      </c>
      <c r="O249" s="36">
        <f>案件入力!O249</f>
        <v/>
      </c>
      <c r="P249" s="37">
        <f>案件入力!P249</f>
        <v/>
      </c>
      <c r="Q249" s="35">
        <f>案件入力!Q249</f>
        <v/>
      </c>
      <c r="R249" s="35">
        <f>案件入力!R249</f>
        <v/>
      </c>
      <c r="S249" s="35">
        <f>案件入力!S249</f>
        <v/>
      </c>
    </row>
    <row r="250">
      <c r="A250" s="35">
        <f>案件入力!A250</f>
        <v/>
      </c>
      <c r="B250" s="36">
        <f>案件入力!B250</f>
        <v/>
      </c>
      <c r="C250" s="35">
        <f>案件入力!C250</f>
        <v/>
      </c>
      <c r="D250" s="37">
        <f>案件入力!D250</f>
        <v/>
      </c>
      <c r="E250" s="35">
        <f>案件入力!E250</f>
        <v/>
      </c>
      <c r="F250" s="35">
        <f>案件入力!F250</f>
        <v/>
      </c>
      <c r="G250" s="35">
        <f>案件入力!G250</f>
        <v/>
      </c>
      <c r="H250" s="49">
        <f>案件入力!H250</f>
        <v/>
      </c>
      <c r="I250" s="49">
        <f>案件入力!I250</f>
        <v/>
      </c>
      <c r="J250" s="39">
        <f>案件入力!J250</f>
        <v/>
      </c>
      <c r="K250" s="36">
        <f>案件入力!K250</f>
        <v/>
      </c>
      <c r="L250" s="49">
        <f>案件入力!L250</f>
        <v/>
      </c>
      <c r="M250" s="49">
        <f>案件入力!M250</f>
        <v/>
      </c>
      <c r="N250" s="39">
        <f>案件入力!N250</f>
        <v/>
      </c>
      <c r="O250" s="36">
        <f>案件入力!O250</f>
        <v/>
      </c>
      <c r="P250" s="37">
        <f>案件入力!P250</f>
        <v/>
      </c>
      <c r="Q250" s="35">
        <f>案件入力!Q250</f>
        <v/>
      </c>
      <c r="R250" s="35">
        <f>案件入力!R250</f>
        <v/>
      </c>
      <c r="S250" s="35">
        <f>案件入力!S250</f>
        <v/>
      </c>
    </row>
    <row r="251">
      <c r="A251" s="35">
        <f>案件入力!A251</f>
        <v/>
      </c>
      <c r="B251" s="36">
        <f>案件入力!B251</f>
        <v/>
      </c>
      <c r="C251" s="35">
        <f>案件入力!C251</f>
        <v/>
      </c>
      <c r="D251" s="37">
        <f>案件入力!D251</f>
        <v/>
      </c>
      <c r="E251" s="35">
        <f>案件入力!E251</f>
        <v/>
      </c>
      <c r="F251" s="35">
        <f>案件入力!F251</f>
        <v/>
      </c>
      <c r="G251" s="35">
        <f>案件入力!G251</f>
        <v/>
      </c>
      <c r="H251" s="49">
        <f>案件入力!H251</f>
        <v/>
      </c>
      <c r="I251" s="49">
        <f>案件入力!I251</f>
        <v/>
      </c>
      <c r="J251" s="39">
        <f>案件入力!J251</f>
        <v/>
      </c>
      <c r="K251" s="36">
        <f>案件入力!K251</f>
        <v/>
      </c>
      <c r="L251" s="49">
        <f>案件入力!L251</f>
        <v/>
      </c>
      <c r="M251" s="49">
        <f>案件入力!M251</f>
        <v/>
      </c>
      <c r="N251" s="39">
        <f>案件入力!N251</f>
        <v/>
      </c>
      <c r="O251" s="36">
        <f>案件入力!O251</f>
        <v/>
      </c>
      <c r="P251" s="37">
        <f>案件入力!P251</f>
        <v/>
      </c>
      <c r="Q251" s="35">
        <f>案件入力!Q251</f>
        <v/>
      </c>
      <c r="R251" s="35">
        <f>案件入力!R251</f>
        <v/>
      </c>
      <c r="S251" s="35">
        <f>案件入力!S251</f>
        <v/>
      </c>
    </row>
    <row r="252">
      <c r="A252" s="35">
        <f>案件入力!A252</f>
        <v/>
      </c>
      <c r="B252" s="36">
        <f>案件入力!B252</f>
        <v/>
      </c>
      <c r="C252" s="35">
        <f>案件入力!C252</f>
        <v/>
      </c>
      <c r="D252" s="37">
        <f>案件入力!D252</f>
        <v/>
      </c>
      <c r="E252" s="35">
        <f>案件入力!E252</f>
        <v/>
      </c>
      <c r="F252" s="35">
        <f>案件入力!F252</f>
        <v/>
      </c>
      <c r="G252" s="35">
        <f>案件入力!G252</f>
        <v/>
      </c>
      <c r="H252" s="49">
        <f>案件入力!H252</f>
        <v/>
      </c>
      <c r="I252" s="49">
        <f>案件入力!I252</f>
        <v/>
      </c>
      <c r="J252" s="39">
        <f>案件入力!J252</f>
        <v/>
      </c>
      <c r="K252" s="36">
        <f>案件入力!K252</f>
        <v/>
      </c>
      <c r="L252" s="49">
        <f>案件入力!L252</f>
        <v/>
      </c>
      <c r="M252" s="49">
        <f>案件入力!M252</f>
        <v/>
      </c>
      <c r="N252" s="39">
        <f>案件入力!N252</f>
        <v/>
      </c>
      <c r="O252" s="36">
        <f>案件入力!O252</f>
        <v/>
      </c>
      <c r="P252" s="37">
        <f>案件入力!P252</f>
        <v/>
      </c>
      <c r="Q252" s="35">
        <f>案件入力!Q252</f>
        <v/>
      </c>
      <c r="R252" s="35">
        <f>案件入力!R252</f>
        <v/>
      </c>
      <c r="S252" s="35">
        <f>案件入力!S252</f>
        <v/>
      </c>
    </row>
    <row r="253">
      <c r="A253" s="35">
        <f>案件入力!A253</f>
        <v/>
      </c>
      <c r="B253" s="36">
        <f>案件入力!B253</f>
        <v/>
      </c>
      <c r="C253" s="35">
        <f>案件入力!C253</f>
        <v/>
      </c>
      <c r="D253" s="37">
        <f>案件入力!D253</f>
        <v/>
      </c>
      <c r="E253" s="35">
        <f>案件入力!E253</f>
        <v/>
      </c>
      <c r="F253" s="35">
        <f>案件入力!F253</f>
        <v/>
      </c>
      <c r="G253" s="35">
        <f>案件入力!G253</f>
        <v/>
      </c>
      <c r="H253" s="49">
        <f>案件入力!H253</f>
        <v/>
      </c>
      <c r="I253" s="49">
        <f>案件入力!I253</f>
        <v/>
      </c>
      <c r="J253" s="39">
        <f>案件入力!J253</f>
        <v/>
      </c>
      <c r="K253" s="36">
        <f>案件入力!K253</f>
        <v/>
      </c>
      <c r="L253" s="49">
        <f>案件入力!L253</f>
        <v/>
      </c>
      <c r="M253" s="49">
        <f>案件入力!M253</f>
        <v/>
      </c>
      <c r="N253" s="39">
        <f>案件入力!N253</f>
        <v/>
      </c>
      <c r="O253" s="36">
        <f>案件入力!O253</f>
        <v/>
      </c>
      <c r="P253" s="37">
        <f>案件入力!P253</f>
        <v/>
      </c>
      <c r="Q253" s="35">
        <f>案件入力!Q253</f>
        <v/>
      </c>
      <c r="R253" s="35">
        <f>案件入力!R253</f>
        <v/>
      </c>
      <c r="S253" s="35">
        <f>案件入力!S253</f>
        <v/>
      </c>
    </row>
    <row r="254">
      <c r="A254" s="35">
        <f>案件入力!A254</f>
        <v/>
      </c>
      <c r="B254" s="36">
        <f>案件入力!B254</f>
        <v/>
      </c>
      <c r="C254" s="35">
        <f>案件入力!C254</f>
        <v/>
      </c>
      <c r="D254" s="37">
        <f>案件入力!D254</f>
        <v/>
      </c>
      <c r="E254" s="35">
        <f>案件入力!E254</f>
        <v/>
      </c>
      <c r="F254" s="35">
        <f>案件入力!F254</f>
        <v/>
      </c>
      <c r="G254" s="35">
        <f>案件入力!G254</f>
        <v/>
      </c>
      <c r="H254" s="49">
        <f>案件入力!H254</f>
        <v/>
      </c>
      <c r="I254" s="49">
        <f>案件入力!I254</f>
        <v/>
      </c>
      <c r="J254" s="39">
        <f>案件入力!J254</f>
        <v/>
      </c>
      <c r="K254" s="36">
        <f>案件入力!K254</f>
        <v/>
      </c>
      <c r="L254" s="49">
        <f>案件入力!L254</f>
        <v/>
      </c>
      <c r="M254" s="49">
        <f>案件入力!M254</f>
        <v/>
      </c>
      <c r="N254" s="39">
        <f>案件入力!N254</f>
        <v/>
      </c>
      <c r="O254" s="36">
        <f>案件入力!O254</f>
        <v/>
      </c>
      <c r="P254" s="37">
        <f>案件入力!P254</f>
        <v/>
      </c>
      <c r="Q254" s="35">
        <f>案件入力!Q254</f>
        <v/>
      </c>
      <c r="R254" s="35">
        <f>案件入力!R254</f>
        <v/>
      </c>
      <c r="S254" s="35">
        <f>案件入力!S254</f>
        <v/>
      </c>
    </row>
    <row r="255">
      <c r="A255" s="35">
        <f>案件入力!A255</f>
        <v/>
      </c>
      <c r="B255" s="36">
        <f>案件入力!B255</f>
        <v/>
      </c>
      <c r="C255" s="35">
        <f>案件入力!C255</f>
        <v/>
      </c>
      <c r="D255" s="37">
        <f>案件入力!D255</f>
        <v/>
      </c>
      <c r="E255" s="35">
        <f>案件入力!E255</f>
        <v/>
      </c>
      <c r="F255" s="35">
        <f>案件入力!F255</f>
        <v/>
      </c>
      <c r="G255" s="35">
        <f>案件入力!G255</f>
        <v/>
      </c>
      <c r="H255" s="49">
        <f>案件入力!H255</f>
        <v/>
      </c>
      <c r="I255" s="49">
        <f>案件入力!I255</f>
        <v/>
      </c>
      <c r="J255" s="39">
        <f>案件入力!J255</f>
        <v/>
      </c>
      <c r="K255" s="36">
        <f>案件入力!K255</f>
        <v/>
      </c>
      <c r="L255" s="49">
        <f>案件入力!L255</f>
        <v/>
      </c>
      <c r="M255" s="49">
        <f>案件入力!M255</f>
        <v/>
      </c>
      <c r="N255" s="39">
        <f>案件入力!N255</f>
        <v/>
      </c>
      <c r="O255" s="36">
        <f>案件入力!O255</f>
        <v/>
      </c>
      <c r="P255" s="37">
        <f>案件入力!P255</f>
        <v/>
      </c>
      <c r="Q255" s="35">
        <f>案件入力!Q255</f>
        <v/>
      </c>
      <c r="R255" s="35">
        <f>案件入力!R255</f>
        <v/>
      </c>
      <c r="S255" s="35">
        <f>案件入力!S255</f>
        <v/>
      </c>
    </row>
    <row r="256">
      <c r="A256" s="35">
        <f>案件入力!A256</f>
        <v/>
      </c>
      <c r="B256" s="36">
        <f>案件入力!B256</f>
        <v/>
      </c>
      <c r="C256" s="35">
        <f>案件入力!C256</f>
        <v/>
      </c>
      <c r="D256" s="37">
        <f>案件入力!D256</f>
        <v/>
      </c>
      <c r="E256" s="35">
        <f>案件入力!E256</f>
        <v/>
      </c>
      <c r="F256" s="35">
        <f>案件入力!F256</f>
        <v/>
      </c>
      <c r="G256" s="35">
        <f>案件入力!G256</f>
        <v/>
      </c>
      <c r="H256" s="49">
        <f>案件入力!H256</f>
        <v/>
      </c>
      <c r="I256" s="49">
        <f>案件入力!I256</f>
        <v/>
      </c>
      <c r="J256" s="39">
        <f>案件入力!J256</f>
        <v/>
      </c>
      <c r="K256" s="36">
        <f>案件入力!K256</f>
        <v/>
      </c>
      <c r="L256" s="49">
        <f>案件入力!L256</f>
        <v/>
      </c>
      <c r="M256" s="49">
        <f>案件入力!M256</f>
        <v/>
      </c>
      <c r="N256" s="39">
        <f>案件入力!N256</f>
        <v/>
      </c>
      <c r="O256" s="36">
        <f>案件入力!O256</f>
        <v/>
      </c>
      <c r="P256" s="37">
        <f>案件入力!P256</f>
        <v/>
      </c>
      <c r="Q256" s="35">
        <f>案件入力!Q256</f>
        <v/>
      </c>
      <c r="R256" s="35">
        <f>案件入力!R256</f>
        <v/>
      </c>
      <c r="S256" s="35">
        <f>案件入力!S256</f>
        <v/>
      </c>
    </row>
    <row r="257">
      <c r="A257" s="35">
        <f>案件入力!A257</f>
        <v/>
      </c>
      <c r="B257" s="36">
        <f>案件入力!B257</f>
        <v/>
      </c>
      <c r="C257" s="35">
        <f>案件入力!C257</f>
        <v/>
      </c>
      <c r="D257" s="37">
        <f>案件入力!D257</f>
        <v/>
      </c>
      <c r="E257" s="35">
        <f>案件入力!E257</f>
        <v/>
      </c>
      <c r="F257" s="35">
        <f>案件入力!F257</f>
        <v/>
      </c>
      <c r="G257" s="35">
        <f>案件入力!G257</f>
        <v/>
      </c>
      <c r="H257" s="49">
        <f>案件入力!H257</f>
        <v/>
      </c>
      <c r="I257" s="49">
        <f>案件入力!I257</f>
        <v/>
      </c>
      <c r="J257" s="39">
        <f>案件入力!J257</f>
        <v/>
      </c>
      <c r="K257" s="36">
        <f>案件入力!K257</f>
        <v/>
      </c>
      <c r="L257" s="49">
        <f>案件入力!L257</f>
        <v/>
      </c>
      <c r="M257" s="49">
        <f>案件入力!M257</f>
        <v/>
      </c>
      <c r="N257" s="39">
        <f>案件入力!N257</f>
        <v/>
      </c>
      <c r="O257" s="36">
        <f>案件入力!O257</f>
        <v/>
      </c>
      <c r="P257" s="37">
        <f>案件入力!P257</f>
        <v/>
      </c>
      <c r="Q257" s="35">
        <f>案件入力!Q257</f>
        <v/>
      </c>
      <c r="R257" s="35">
        <f>案件入力!R257</f>
        <v/>
      </c>
      <c r="S257" s="35">
        <f>案件入力!S257</f>
        <v/>
      </c>
    </row>
    <row r="258">
      <c r="A258" s="35">
        <f>案件入力!A258</f>
        <v/>
      </c>
      <c r="B258" s="36">
        <f>案件入力!B258</f>
        <v/>
      </c>
      <c r="C258" s="35">
        <f>案件入力!C258</f>
        <v/>
      </c>
      <c r="D258" s="37">
        <f>案件入力!D258</f>
        <v/>
      </c>
      <c r="E258" s="35">
        <f>案件入力!E258</f>
        <v/>
      </c>
      <c r="F258" s="35">
        <f>案件入力!F258</f>
        <v/>
      </c>
      <c r="G258" s="35">
        <f>案件入力!G258</f>
        <v/>
      </c>
      <c r="H258" s="49">
        <f>案件入力!H258</f>
        <v/>
      </c>
      <c r="I258" s="49">
        <f>案件入力!I258</f>
        <v/>
      </c>
      <c r="J258" s="39">
        <f>案件入力!J258</f>
        <v/>
      </c>
      <c r="K258" s="36">
        <f>案件入力!K258</f>
        <v/>
      </c>
      <c r="L258" s="49">
        <f>案件入力!L258</f>
        <v/>
      </c>
      <c r="M258" s="49">
        <f>案件入力!M258</f>
        <v/>
      </c>
      <c r="N258" s="39">
        <f>案件入力!N258</f>
        <v/>
      </c>
      <c r="O258" s="36">
        <f>案件入力!O258</f>
        <v/>
      </c>
      <c r="P258" s="37">
        <f>案件入力!P258</f>
        <v/>
      </c>
      <c r="Q258" s="35">
        <f>案件入力!Q258</f>
        <v/>
      </c>
      <c r="R258" s="35">
        <f>案件入力!R258</f>
        <v/>
      </c>
      <c r="S258" s="35">
        <f>案件入力!S258</f>
        <v/>
      </c>
    </row>
    <row r="259">
      <c r="A259" s="35">
        <f>案件入力!A259</f>
        <v/>
      </c>
      <c r="B259" s="36">
        <f>案件入力!B259</f>
        <v/>
      </c>
      <c r="C259" s="35">
        <f>案件入力!C259</f>
        <v/>
      </c>
      <c r="D259" s="37">
        <f>案件入力!D259</f>
        <v/>
      </c>
      <c r="E259" s="35">
        <f>案件入力!E259</f>
        <v/>
      </c>
      <c r="F259" s="35">
        <f>案件入力!F259</f>
        <v/>
      </c>
      <c r="G259" s="35">
        <f>案件入力!G259</f>
        <v/>
      </c>
      <c r="H259" s="49">
        <f>案件入力!H259</f>
        <v/>
      </c>
      <c r="I259" s="49">
        <f>案件入力!I259</f>
        <v/>
      </c>
      <c r="J259" s="39">
        <f>案件入力!J259</f>
        <v/>
      </c>
      <c r="K259" s="36">
        <f>案件入力!K259</f>
        <v/>
      </c>
      <c r="L259" s="49">
        <f>案件入力!L259</f>
        <v/>
      </c>
      <c r="M259" s="49">
        <f>案件入力!M259</f>
        <v/>
      </c>
      <c r="N259" s="39">
        <f>案件入力!N259</f>
        <v/>
      </c>
      <c r="O259" s="36">
        <f>案件入力!O259</f>
        <v/>
      </c>
      <c r="P259" s="37">
        <f>案件入力!P259</f>
        <v/>
      </c>
      <c r="Q259" s="35">
        <f>案件入力!Q259</f>
        <v/>
      </c>
      <c r="R259" s="35">
        <f>案件入力!R259</f>
        <v/>
      </c>
      <c r="S259" s="35">
        <f>案件入力!S259</f>
        <v/>
      </c>
    </row>
    <row r="260">
      <c r="A260" s="35">
        <f>案件入力!A260</f>
        <v/>
      </c>
      <c r="B260" s="36">
        <f>案件入力!B260</f>
        <v/>
      </c>
      <c r="C260" s="35">
        <f>案件入力!C260</f>
        <v/>
      </c>
      <c r="D260" s="37">
        <f>案件入力!D260</f>
        <v/>
      </c>
      <c r="E260" s="35">
        <f>案件入力!E260</f>
        <v/>
      </c>
      <c r="F260" s="35">
        <f>案件入力!F260</f>
        <v/>
      </c>
      <c r="G260" s="35">
        <f>案件入力!G260</f>
        <v/>
      </c>
      <c r="H260" s="49">
        <f>案件入力!H260</f>
        <v/>
      </c>
      <c r="I260" s="49">
        <f>案件入力!I260</f>
        <v/>
      </c>
      <c r="J260" s="39">
        <f>案件入力!J260</f>
        <v/>
      </c>
      <c r="K260" s="36">
        <f>案件入力!K260</f>
        <v/>
      </c>
      <c r="L260" s="49">
        <f>案件入力!L260</f>
        <v/>
      </c>
      <c r="M260" s="49">
        <f>案件入力!M260</f>
        <v/>
      </c>
      <c r="N260" s="39">
        <f>案件入力!N260</f>
        <v/>
      </c>
      <c r="O260" s="36">
        <f>案件入力!O260</f>
        <v/>
      </c>
      <c r="P260" s="37">
        <f>案件入力!P260</f>
        <v/>
      </c>
      <c r="Q260" s="35">
        <f>案件入力!Q260</f>
        <v/>
      </c>
      <c r="R260" s="35">
        <f>案件入力!R260</f>
        <v/>
      </c>
      <c r="S260" s="35">
        <f>案件入力!S260</f>
        <v/>
      </c>
    </row>
    <row r="261">
      <c r="A261" s="35">
        <f>案件入力!A261</f>
        <v/>
      </c>
      <c r="B261" s="36">
        <f>案件入力!B261</f>
        <v/>
      </c>
      <c r="C261" s="35">
        <f>案件入力!C261</f>
        <v/>
      </c>
      <c r="D261" s="37">
        <f>案件入力!D261</f>
        <v/>
      </c>
      <c r="E261" s="35">
        <f>案件入力!E261</f>
        <v/>
      </c>
      <c r="F261" s="35">
        <f>案件入力!F261</f>
        <v/>
      </c>
      <c r="G261" s="35">
        <f>案件入力!G261</f>
        <v/>
      </c>
      <c r="H261" s="49">
        <f>案件入力!H261</f>
        <v/>
      </c>
      <c r="I261" s="49">
        <f>案件入力!I261</f>
        <v/>
      </c>
      <c r="J261" s="39">
        <f>案件入力!J261</f>
        <v/>
      </c>
      <c r="K261" s="36">
        <f>案件入力!K261</f>
        <v/>
      </c>
      <c r="L261" s="49">
        <f>案件入力!L261</f>
        <v/>
      </c>
      <c r="M261" s="49">
        <f>案件入力!M261</f>
        <v/>
      </c>
      <c r="N261" s="39">
        <f>案件入力!N261</f>
        <v/>
      </c>
      <c r="O261" s="36">
        <f>案件入力!O261</f>
        <v/>
      </c>
      <c r="P261" s="37">
        <f>案件入力!P261</f>
        <v/>
      </c>
      <c r="Q261" s="35">
        <f>案件入力!Q261</f>
        <v/>
      </c>
      <c r="R261" s="35">
        <f>案件入力!R261</f>
        <v/>
      </c>
      <c r="S261" s="35">
        <f>案件入力!S261</f>
        <v/>
      </c>
    </row>
    <row r="262">
      <c r="A262" s="35">
        <f>案件入力!A262</f>
        <v/>
      </c>
      <c r="B262" s="36">
        <f>案件入力!B262</f>
        <v/>
      </c>
      <c r="C262" s="35">
        <f>案件入力!C262</f>
        <v/>
      </c>
      <c r="D262" s="37">
        <f>案件入力!D262</f>
        <v/>
      </c>
      <c r="E262" s="35">
        <f>案件入力!E262</f>
        <v/>
      </c>
      <c r="F262" s="35">
        <f>案件入力!F262</f>
        <v/>
      </c>
      <c r="G262" s="35">
        <f>案件入力!G262</f>
        <v/>
      </c>
      <c r="H262" s="49">
        <f>案件入力!H262</f>
        <v/>
      </c>
      <c r="I262" s="49">
        <f>案件入力!I262</f>
        <v/>
      </c>
      <c r="J262" s="39">
        <f>案件入力!J262</f>
        <v/>
      </c>
      <c r="K262" s="36">
        <f>案件入力!K262</f>
        <v/>
      </c>
      <c r="L262" s="49">
        <f>案件入力!L262</f>
        <v/>
      </c>
      <c r="M262" s="49">
        <f>案件入力!M262</f>
        <v/>
      </c>
      <c r="N262" s="39">
        <f>案件入力!N262</f>
        <v/>
      </c>
      <c r="O262" s="36">
        <f>案件入力!O262</f>
        <v/>
      </c>
      <c r="P262" s="37">
        <f>案件入力!P262</f>
        <v/>
      </c>
      <c r="Q262" s="35">
        <f>案件入力!Q262</f>
        <v/>
      </c>
      <c r="R262" s="35">
        <f>案件入力!R262</f>
        <v/>
      </c>
      <c r="S262" s="35">
        <f>案件入力!S262</f>
        <v/>
      </c>
    </row>
    <row r="263">
      <c r="A263" s="35">
        <f>案件入力!A263</f>
        <v/>
      </c>
      <c r="B263" s="36">
        <f>案件入力!B263</f>
        <v/>
      </c>
      <c r="C263" s="35">
        <f>案件入力!C263</f>
        <v/>
      </c>
      <c r="D263" s="37">
        <f>案件入力!D263</f>
        <v/>
      </c>
      <c r="E263" s="35">
        <f>案件入力!E263</f>
        <v/>
      </c>
      <c r="F263" s="35">
        <f>案件入力!F263</f>
        <v/>
      </c>
      <c r="G263" s="35">
        <f>案件入力!G263</f>
        <v/>
      </c>
      <c r="H263" s="49">
        <f>案件入力!H263</f>
        <v/>
      </c>
      <c r="I263" s="49">
        <f>案件入力!I263</f>
        <v/>
      </c>
      <c r="J263" s="39">
        <f>案件入力!J263</f>
        <v/>
      </c>
      <c r="K263" s="36">
        <f>案件入力!K263</f>
        <v/>
      </c>
      <c r="L263" s="49">
        <f>案件入力!L263</f>
        <v/>
      </c>
      <c r="M263" s="49">
        <f>案件入力!M263</f>
        <v/>
      </c>
      <c r="N263" s="39">
        <f>案件入力!N263</f>
        <v/>
      </c>
      <c r="O263" s="36">
        <f>案件入力!O263</f>
        <v/>
      </c>
      <c r="P263" s="37">
        <f>案件入力!P263</f>
        <v/>
      </c>
      <c r="Q263" s="35">
        <f>案件入力!Q263</f>
        <v/>
      </c>
      <c r="R263" s="35">
        <f>案件入力!R263</f>
        <v/>
      </c>
      <c r="S263" s="35">
        <f>案件入力!S263</f>
        <v/>
      </c>
    </row>
    <row r="264">
      <c r="A264" s="35">
        <f>案件入力!A264</f>
        <v/>
      </c>
      <c r="B264" s="36">
        <f>案件入力!B264</f>
        <v/>
      </c>
      <c r="C264" s="35">
        <f>案件入力!C264</f>
        <v/>
      </c>
      <c r="D264" s="37">
        <f>案件入力!D264</f>
        <v/>
      </c>
      <c r="E264" s="35">
        <f>案件入力!E264</f>
        <v/>
      </c>
      <c r="F264" s="35">
        <f>案件入力!F264</f>
        <v/>
      </c>
      <c r="G264" s="35">
        <f>案件入力!G264</f>
        <v/>
      </c>
      <c r="H264" s="49">
        <f>案件入力!H264</f>
        <v/>
      </c>
      <c r="I264" s="49">
        <f>案件入力!I264</f>
        <v/>
      </c>
      <c r="J264" s="39">
        <f>案件入力!J264</f>
        <v/>
      </c>
      <c r="K264" s="36">
        <f>案件入力!K264</f>
        <v/>
      </c>
      <c r="L264" s="49">
        <f>案件入力!L264</f>
        <v/>
      </c>
      <c r="M264" s="49">
        <f>案件入力!M264</f>
        <v/>
      </c>
      <c r="N264" s="39">
        <f>案件入力!N264</f>
        <v/>
      </c>
      <c r="O264" s="36">
        <f>案件入力!O264</f>
        <v/>
      </c>
      <c r="P264" s="37">
        <f>案件入力!P264</f>
        <v/>
      </c>
      <c r="Q264" s="35">
        <f>案件入力!Q264</f>
        <v/>
      </c>
      <c r="R264" s="35">
        <f>案件入力!R264</f>
        <v/>
      </c>
      <c r="S264" s="35">
        <f>案件入力!S264</f>
        <v/>
      </c>
    </row>
    <row r="265">
      <c r="A265" s="35">
        <f>案件入力!A265</f>
        <v/>
      </c>
      <c r="B265" s="36">
        <f>案件入力!B265</f>
        <v/>
      </c>
      <c r="C265" s="35">
        <f>案件入力!C265</f>
        <v/>
      </c>
      <c r="D265" s="37">
        <f>案件入力!D265</f>
        <v/>
      </c>
      <c r="E265" s="35">
        <f>案件入力!E265</f>
        <v/>
      </c>
      <c r="F265" s="35">
        <f>案件入力!F265</f>
        <v/>
      </c>
      <c r="G265" s="35">
        <f>案件入力!G265</f>
        <v/>
      </c>
      <c r="H265" s="49">
        <f>案件入力!H265</f>
        <v/>
      </c>
      <c r="I265" s="49">
        <f>案件入力!I265</f>
        <v/>
      </c>
      <c r="J265" s="39">
        <f>案件入力!J265</f>
        <v/>
      </c>
      <c r="K265" s="36">
        <f>案件入力!K265</f>
        <v/>
      </c>
      <c r="L265" s="49">
        <f>案件入力!L265</f>
        <v/>
      </c>
      <c r="M265" s="49">
        <f>案件入力!M265</f>
        <v/>
      </c>
      <c r="N265" s="39">
        <f>案件入力!N265</f>
        <v/>
      </c>
      <c r="O265" s="36">
        <f>案件入力!O265</f>
        <v/>
      </c>
      <c r="P265" s="37">
        <f>案件入力!P265</f>
        <v/>
      </c>
      <c r="Q265" s="35">
        <f>案件入力!Q265</f>
        <v/>
      </c>
      <c r="R265" s="35">
        <f>案件入力!R265</f>
        <v/>
      </c>
      <c r="S265" s="35">
        <f>案件入力!S265</f>
        <v/>
      </c>
    </row>
    <row r="266">
      <c r="A266" s="35">
        <f>案件入力!A266</f>
        <v/>
      </c>
      <c r="B266" s="36">
        <f>案件入力!B266</f>
        <v/>
      </c>
      <c r="C266" s="35">
        <f>案件入力!C266</f>
        <v/>
      </c>
      <c r="D266" s="37">
        <f>案件入力!D266</f>
        <v/>
      </c>
      <c r="E266" s="35">
        <f>案件入力!E266</f>
        <v/>
      </c>
      <c r="F266" s="35">
        <f>案件入力!F266</f>
        <v/>
      </c>
      <c r="G266" s="35">
        <f>案件入力!G266</f>
        <v/>
      </c>
      <c r="H266" s="49">
        <f>案件入力!H266</f>
        <v/>
      </c>
      <c r="I266" s="49">
        <f>案件入力!I266</f>
        <v/>
      </c>
      <c r="J266" s="39">
        <f>案件入力!J266</f>
        <v/>
      </c>
      <c r="K266" s="36">
        <f>案件入力!K266</f>
        <v/>
      </c>
      <c r="L266" s="49">
        <f>案件入力!L266</f>
        <v/>
      </c>
      <c r="M266" s="49">
        <f>案件入力!M266</f>
        <v/>
      </c>
      <c r="N266" s="39">
        <f>案件入力!N266</f>
        <v/>
      </c>
      <c r="O266" s="36">
        <f>案件入力!O266</f>
        <v/>
      </c>
      <c r="P266" s="37">
        <f>案件入力!P266</f>
        <v/>
      </c>
      <c r="Q266" s="35">
        <f>案件入力!Q266</f>
        <v/>
      </c>
      <c r="R266" s="35">
        <f>案件入力!R266</f>
        <v/>
      </c>
      <c r="S266" s="35">
        <f>案件入力!S266</f>
        <v/>
      </c>
    </row>
    <row r="267">
      <c r="A267" s="35">
        <f>案件入力!A267</f>
        <v/>
      </c>
      <c r="B267" s="36">
        <f>案件入力!B267</f>
        <v/>
      </c>
      <c r="C267" s="35">
        <f>案件入力!C267</f>
        <v/>
      </c>
      <c r="D267" s="37">
        <f>案件入力!D267</f>
        <v/>
      </c>
      <c r="E267" s="35">
        <f>案件入力!E267</f>
        <v/>
      </c>
      <c r="F267" s="35">
        <f>案件入力!F267</f>
        <v/>
      </c>
      <c r="G267" s="35">
        <f>案件入力!G267</f>
        <v/>
      </c>
      <c r="H267" s="49">
        <f>案件入力!H267</f>
        <v/>
      </c>
      <c r="I267" s="49">
        <f>案件入力!I267</f>
        <v/>
      </c>
      <c r="J267" s="39">
        <f>案件入力!J267</f>
        <v/>
      </c>
      <c r="K267" s="36">
        <f>案件入力!K267</f>
        <v/>
      </c>
      <c r="L267" s="49">
        <f>案件入力!L267</f>
        <v/>
      </c>
      <c r="M267" s="49">
        <f>案件入力!M267</f>
        <v/>
      </c>
      <c r="N267" s="39">
        <f>案件入力!N267</f>
        <v/>
      </c>
      <c r="O267" s="36">
        <f>案件入力!O267</f>
        <v/>
      </c>
      <c r="P267" s="37">
        <f>案件入力!P267</f>
        <v/>
      </c>
      <c r="Q267" s="35">
        <f>案件入力!Q267</f>
        <v/>
      </c>
      <c r="R267" s="35">
        <f>案件入力!R267</f>
        <v/>
      </c>
      <c r="S267" s="35">
        <f>案件入力!S267</f>
        <v/>
      </c>
    </row>
    <row r="268">
      <c r="A268" s="35">
        <f>案件入力!A268</f>
        <v/>
      </c>
      <c r="B268" s="36">
        <f>案件入力!B268</f>
        <v/>
      </c>
      <c r="C268" s="35">
        <f>案件入力!C268</f>
        <v/>
      </c>
      <c r="D268" s="37">
        <f>案件入力!D268</f>
        <v/>
      </c>
      <c r="E268" s="35">
        <f>案件入力!E268</f>
        <v/>
      </c>
      <c r="F268" s="35">
        <f>案件入力!F268</f>
        <v/>
      </c>
      <c r="G268" s="35">
        <f>案件入力!G268</f>
        <v/>
      </c>
      <c r="H268" s="49">
        <f>案件入力!H268</f>
        <v/>
      </c>
      <c r="I268" s="49">
        <f>案件入力!I268</f>
        <v/>
      </c>
      <c r="J268" s="39">
        <f>案件入力!J268</f>
        <v/>
      </c>
      <c r="K268" s="36">
        <f>案件入力!K268</f>
        <v/>
      </c>
      <c r="L268" s="49">
        <f>案件入力!L268</f>
        <v/>
      </c>
      <c r="M268" s="49">
        <f>案件入力!M268</f>
        <v/>
      </c>
      <c r="N268" s="39">
        <f>案件入力!N268</f>
        <v/>
      </c>
      <c r="O268" s="36">
        <f>案件入力!O268</f>
        <v/>
      </c>
      <c r="P268" s="37">
        <f>案件入力!P268</f>
        <v/>
      </c>
      <c r="Q268" s="35">
        <f>案件入力!Q268</f>
        <v/>
      </c>
      <c r="R268" s="35">
        <f>案件入力!R268</f>
        <v/>
      </c>
      <c r="S268" s="35">
        <f>案件入力!S268</f>
        <v/>
      </c>
    </row>
    <row r="269">
      <c r="A269" s="35">
        <f>案件入力!A269</f>
        <v/>
      </c>
      <c r="B269" s="36">
        <f>案件入力!B269</f>
        <v/>
      </c>
      <c r="C269" s="35">
        <f>案件入力!C269</f>
        <v/>
      </c>
      <c r="D269" s="37">
        <f>案件入力!D269</f>
        <v/>
      </c>
      <c r="E269" s="35">
        <f>案件入力!E269</f>
        <v/>
      </c>
      <c r="F269" s="35">
        <f>案件入力!F269</f>
        <v/>
      </c>
      <c r="G269" s="35">
        <f>案件入力!G269</f>
        <v/>
      </c>
      <c r="H269" s="49">
        <f>案件入力!H269</f>
        <v/>
      </c>
      <c r="I269" s="49">
        <f>案件入力!I269</f>
        <v/>
      </c>
      <c r="J269" s="39">
        <f>案件入力!J269</f>
        <v/>
      </c>
      <c r="K269" s="36">
        <f>案件入力!K269</f>
        <v/>
      </c>
      <c r="L269" s="49">
        <f>案件入力!L269</f>
        <v/>
      </c>
      <c r="M269" s="49">
        <f>案件入力!M269</f>
        <v/>
      </c>
      <c r="N269" s="39">
        <f>案件入力!N269</f>
        <v/>
      </c>
      <c r="O269" s="36">
        <f>案件入力!O269</f>
        <v/>
      </c>
      <c r="P269" s="37">
        <f>案件入力!P269</f>
        <v/>
      </c>
      <c r="Q269" s="35">
        <f>案件入力!Q269</f>
        <v/>
      </c>
      <c r="R269" s="35">
        <f>案件入力!R269</f>
        <v/>
      </c>
      <c r="S269" s="35">
        <f>案件入力!S269</f>
        <v/>
      </c>
    </row>
    <row r="270">
      <c r="A270" s="35">
        <f>案件入力!A270</f>
        <v/>
      </c>
      <c r="B270" s="36">
        <f>案件入力!B270</f>
        <v/>
      </c>
      <c r="C270" s="35">
        <f>案件入力!C270</f>
        <v/>
      </c>
      <c r="D270" s="37">
        <f>案件入力!D270</f>
        <v/>
      </c>
      <c r="E270" s="35">
        <f>案件入力!E270</f>
        <v/>
      </c>
      <c r="F270" s="35">
        <f>案件入力!F270</f>
        <v/>
      </c>
      <c r="G270" s="35">
        <f>案件入力!G270</f>
        <v/>
      </c>
      <c r="H270" s="49">
        <f>案件入力!H270</f>
        <v/>
      </c>
      <c r="I270" s="49">
        <f>案件入力!I270</f>
        <v/>
      </c>
      <c r="J270" s="39">
        <f>案件入力!J270</f>
        <v/>
      </c>
      <c r="K270" s="36">
        <f>案件入力!K270</f>
        <v/>
      </c>
      <c r="L270" s="49">
        <f>案件入力!L270</f>
        <v/>
      </c>
      <c r="M270" s="49">
        <f>案件入力!M270</f>
        <v/>
      </c>
      <c r="N270" s="39">
        <f>案件入力!N270</f>
        <v/>
      </c>
      <c r="O270" s="36">
        <f>案件入力!O270</f>
        <v/>
      </c>
      <c r="P270" s="37">
        <f>案件入力!P270</f>
        <v/>
      </c>
      <c r="Q270" s="35">
        <f>案件入力!Q270</f>
        <v/>
      </c>
      <c r="R270" s="35">
        <f>案件入力!R270</f>
        <v/>
      </c>
      <c r="S270" s="35">
        <f>案件入力!S270</f>
        <v/>
      </c>
    </row>
    <row r="271">
      <c r="A271" s="35">
        <f>案件入力!A271</f>
        <v/>
      </c>
      <c r="B271" s="36">
        <f>案件入力!B271</f>
        <v/>
      </c>
      <c r="C271" s="35">
        <f>案件入力!C271</f>
        <v/>
      </c>
      <c r="D271" s="37">
        <f>案件入力!D271</f>
        <v/>
      </c>
      <c r="E271" s="35">
        <f>案件入力!E271</f>
        <v/>
      </c>
      <c r="F271" s="35">
        <f>案件入力!F271</f>
        <v/>
      </c>
      <c r="G271" s="35">
        <f>案件入力!G271</f>
        <v/>
      </c>
      <c r="H271" s="49">
        <f>案件入力!H271</f>
        <v/>
      </c>
      <c r="I271" s="49">
        <f>案件入力!I271</f>
        <v/>
      </c>
      <c r="J271" s="39">
        <f>案件入力!J271</f>
        <v/>
      </c>
      <c r="K271" s="36">
        <f>案件入力!K271</f>
        <v/>
      </c>
      <c r="L271" s="49">
        <f>案件入力!L271</f>
        <v/>
      </c>
      <c r="M271" s="49">
        <f>案件入力!M271</f>
        <v/>
      </c>
      <c r="N271" s="39">
        <f>案件入力!N271</f>
        <v/>
      </c>
      <c r="O271" s="36">
        <f>案件入力!O271</f>
        <v/>
      </c>
      <c r="P271" s="37">
        <f>案件入力!P271</f>
        <v/>
      </c>
      <c r="Q271" s="35">
        <f>案件入力!Q271</f>
        <v/>
      </c>
      <c r="R271" s="35">
        <f>案件入力!R271</f>
        <v/>
      </c>
      <c r="S271" s="35">
        <f>案件入力!S271</f>
        <v/>
      </c>
    </row>
    <row r="272">
      <c r="A272" s="35">
        <f>案件入力!A272</f>
        <v/>
      </c>
      <c r="B272" s="36">
        <f>案件入力!B272</f>
        <v/>
      </c>
      <c r="C272" s="35">
        <f>案件入力!C272</f>
        <v/>
      </c>
      <c r="D272" s="37">
        <f>案件入力!D272</f>
        <v/>
      </c>
      <c r="E272" s="35">
        <f>案件入力!E272</f>
        <v/>
      </c>
      <c r="F272" s="35">
        <f>案件入力!F272</f>
        <v/>
      </c>
      <c r="G272" s="35">
        <f>案件入力!G272</f>
        <v/>
      </c>
      <c r="H272" s="49">
        <f>案件入力!H272</f>
        <v/>
      </c>
      <c r="I272" s="49">
        <f>案件入力!I272</f>
        <v/>
      </c>
      <c r="J272" s="39">
        <f>案件入力!J272</f>
        <v/>
      </c>
      <c r="K272" s="36">
        <f>案件入力!K272</f>
        <v/>
      </c>
      <c r="L272" s="49">
        <f>案件入力!L272</f>
        <v/>
      </c>
      <c r="M272" s="49">
        <f>案件入力!M272</f>
        <v/>
      </c>
      <c r="N272" s="39">
        <f>案件入力!N272</f>
        <v/>
      </c>
      <c r="O272" s="36">
        <f>案件入力!O272</f>
        <v/>
      </c>
      <c r="P272" s="37">
        <f>案件入力!P272</f>
        <v/>
      </c>
      <c r="Q272" s="35">
        <f>案件入力!Q272</f>
        <v/>
      </c>
      <c r="R272" s="35">
        <f>案件入力!R272</f>
        <v/>
      </c>
      <c r="S272" s="35">
        <f>案件入力!S272</f>
        <v/>
      </c>
    </row>
    <row r="273">
      <c r="A273" s="35">
        <f>案件入力!A273</f>
        <v/>
      </c>
      <c r="B273" s="36">
        <f>案件入力!B273</f>
        <v/>
      </c>
      <c r="C273" s="35">
        <f>案件入力!C273</f>
        <v/>
      </c>
      <c r="D273" s="37">
        <f>案件入力!D273</f>
        <v/>
      </c>
      <c r="E273" s="35">
        <f>案件入力!E273</f>
        <v/>
      </c>
      <c r="F273" s="35">
        <f>案件入力!F273</f>
        <v/>
      </c>
      <c r="G273" s="35">
        <f>案件入力!G273</f>
        <v/>
      </c>
      <c r="H273" s="49">
        <f>案件入力!H273</f>
        <v/>
      </c>
      <c r="I273" s="49">
        <f>案件入力!I273</f>
        <v/>
      </c>
      <c r="J273" s="39">
        <f>案件入力!J273</f>
        <v/>
      </c>
      <c r="K273" s="36">
        <f>案件入力!K273</f>
        <v/>
      </c>
      <c r="L273" s="49">
        <f>案件入力!L273</f>
        <v/>
      </c>
      <c r="M273" s="49">
        <f>案件入力!M273</f>
        <v/>
      </c>
      <c r="N273" s="39">
        <f>案件入力!N273</f>
        <v/>
      </c>
      <c r="O273" s="36">
        <f>案件入力!O273</f>
        <v/>
      </c>
      <c r="P273" s="37">
        <f>案件入力!P273</f>
        <v/>
      </c>
      <c r="Q273" s="35">
        <f>案件入力!Q273</f>
        <v/>
      </c>
      <c r="R273" s="35">
        <f>案件入力!R273</f>
        <v/>
      </c>
      <c r="S273" s="35">
        <f>案件入力!S273</f>
        <v/>
      </c>
    </row>
    <row r="274">
      <c r="A274" s="35">
        <f>案件入力!A274</f>
        <v/>
      </c>
      <c r="B274" s="36">
        <f>案件入力!B274</f>
        <v/>
      </c>
      <c r="C274" s="35">
        <f>案件入力!C274</f>
        <v/>
      </c>
      <c r="D274" s="37">
        <f>案件入力!D274</f>
        <v/>
      </c>
      <c r="E274" s="35">
        <f>案件入力!E274</f>
        <v/>
      </c>
      <c r="F274" s="35">
        <f>案件入力!F274</f>
        <v/>
      </c>
      <c r="G274" s="35">
        <f>案件入力!G274</f>
        <v/>
      </c>
      <c r="H274" s="49">
        <f>案件入力!H274</f>
        <v/>
      </c>
      <c r="I274" s="49">
        <f>案件入力!I274</f>
        <v/>
      </c>
      <c r="J274" s="39">
        <f>案件入力!J274</f>
        <v/>
      </c>
      <c r="K274" s="36">
        <f>案件入力!K274</f>
        <v/>
      </c>
      <c r="L274" s="49">
        <f>案件入力!L274</f>
        <v/>
      </c>
      <c r="M274" s="49">
        <f>案件入力!M274</f>
        <v/>
      </c>
      <c r="N274" s="39">
        <f>案件入力!N274</f>
        <v/>
      </c>
      <c r="O274" s="36">
        <f>案件入力!O274</f>
        <v/>
      </c>
      <c r="P274" s="37">
        <f>案件入力!P274</f>
        <v/>
      </c>
      <c r="Q274" s="35">
        <f>案件入力!Q274</f>
        <v/>
      </c>
      <c r="R274" s="35">
        <f>案件入力!R274</f>
        <v/>
      </c>
      <c r="S274" s="35">
        <f>案件入力!S274</f>
        <v/>
      </c>
    </row>
    <row r="275">
      <c r="A275" s="35">
        <f>案件入力!A275</f>
        <v/>
      </c>
      <c r="B275" s="36">
        <f>案件入力!B275</f>
        <v/>
      </c>
      <c r="C275" s="35">
        <f>案件入力!C275</f>
        <v/>
      </c>
      <c r="D275" s="37">
        <f>案件入力!D275</f>
        <v/>
      </c>
      <c r="E275" s="35">
        <f>案件入力!E275</f>
        <v/>
      </c>
      <c r="F275" s="35">
        <f>案件入力!F275</f>
        <v/>
      </c>
      <c r="G275" s="35">
        <f>案件入力!G275</f>
        <v/>
      </c>
      <c r="H275" s="49">
        <f>案件入力!H275</f>
        <v/>
      </c>
      <c r="I275" s="49">
        <f>案件入力!I275</f>
        <v/>
      </c>
      <c r="J275" s="39">
        <f>案件入力!J275</f>
        <v/>
      </c>
      <c r="K275" s="36">
        <f>案件入力!K275</f>
        <v/>
      </c>
      <c r="L275" s="49">
        <f>案件入力!L275</f>
        <v/>
      </c>
      <c r="M275" s="49">
        <f>案件入力!M275</f>
        <v/>
      </c>
      <c r="N275" s="39">
        <f>案件入力!N275</f>
        <v/>
      </c>
      <c r="O275" s="36">
        <f>案件入力!O275</f>
        <v/>
      </c>
      <c r="P275" s="37">
        <f>案件入力!P275</f>
        <v/>
      </c>
      <c r="Q275" s="35">
        <f>案件入力!Q275</f>
        <v/>
      </c>
      <c r="R275" s="35">
        <f>案件入力!R275</f>
        <v/>
      </c>
      <c r="S275" s="35">
        <f>案件入力!S275</f>
        <v/>
      </c>
    </row>
    <row r="276">
      <c r="A276" s="35">
        <f>案件入力!A276</f>
        <v/>
      </c>
      <c r="B276" s="36">
        <f>案件入力!B276</f>
        <v/>
      </c>
      <c r="C276" s="35">
        <f>案件入力!C276</f>
        <v/>
      </c>
      <c r="D276" s="37">
        <f>案件入力!D276</f>
        <v/>
      </c>
      <c r="E276" s="35">
        <f>案件入力!E276</f>
        <v/>
      </c>
      <c r="F276" s="35">
        <f>案件入力!F276</f>
        <v/>
      </c>
      <c r="G276" s="35">
        <f>案件入力!G276</f>
        <v/>
      </c>
      <c r="H276" s="49">
        <f>案件入力!H276</f>
        <v/>
      </c>
      <c r="I276" s="49">
        <f>案件入力!I276</f>
        <v/>
      </c>
      <c r="J276" s="39">
        <f>案件入力!J276</f>
        <v/>
      </c>
      <c r="K276" s="36">
        <f>案件入力!K276</f>
        <v/>
      </c>
      <c r="L276" s="49">
        <f>案件入力!L276</f>
        <v/>
      </c>
      <c r="M276" s="49">
        <f>案件入力!M276</f>
        <v/>
      </c>
      <c r="N276" s="39">
        <f>案件入力!N276</f>
        <v/>
      </c>
      <c r="O276" s="36">
        <f>案件入力!O276</f>
        <v/>
      </c>
      <c r="P276" s="37">
        <f>案件入力!P276</f>
        <v/>
      </c>
      <c r="Q276" s="35">
        <f>案件入力!Q276</f>
        <v/>
      </c>
      <c r="R276" s="35">
        <f>案件入力!R276</f>
        <v/>
      </c>
      <c r="S276" s="35">
        <f>案件入力!S276</f>
        <v/>
      </c>
    </row>
    <row r="277">
      <c r="A277" s="35">
        <f>案件入力!A277</f>
        <v/>
      </c>
      <c r="B277" s="36">
        <f>案件入力!B277</f>
        <v/>
      </c>
      <c r="C277" s="35">
        <f>案件入力!C277</f>
        <v/>
      </c>
      <c r="D277" s="37">
        <f>案件入力!D277</f>
        <v/>
      </c>
      <c r="E277" s="35">
        <f>案件入力!E277</f>
        <v/>
      </c>
      <c r="F277" s="35">
        <f>案件入力!F277</f>
        <v/>
      </c>
      <c r="G277" s="35">
        <f>案件入力!G277</f>
        <v/>
      </c>
      <c r="H277" s="49">
        <f>案件入力!H277</f>
        <v/>
      </c>
      <c r="I277" s="49">
        <f>案件入力!I277</f>
        <v/>
      </c>
      <c r="J277" s="39">
        <f>案件入力!J277</f>
        <v/>
      </c>
      <c r="K277" s="36">
        <f>案件入力!K277</f>
        <v/>
      </c>
      <c r="L277" s="49">
        <f>案件入力!L277</f>
        <v/>
      </c>
      <c r="M277" s="49">
        <f>案件入力!M277</f>
        <v/>
      </c>
      <c r="N277" s="39">
        <f>案件入力!N277</f>
        <v/>
      </c>
      <c r="O277" s="36">
        <f>案件入力!O277</f>
        <v/>
      </c>
      <c r="P277" s="37">
        <f>案件入力!P277</f>
        <v/>
      </c>
      <c r="Q277" s="35">
        <f>案件入力!Q277</f>
        <v/>
      </c>
      <c r="R277" s="35">
        <f>案件入力!R277</f>
        <v/>
      </c>
      <c r="S277" s="35">
        <f>案件入力!S277</f>
        <v/>
      </c>
    </row>
    <row r="278">
      <c r="A278" s="35">
        <f>案件入力!A278</f>
        <v/>
      </c>
      <c r="B278" s="36">
        <f>案件入力!B278</f>
        <v/>
      </c>
      <c r="C278" s="35">
        <f>案件入力!C278</f>
        <v/>
      </c>
      <c r="D278" s="37">
        <f>案件入力!D278</f>
        <v/>
      </c>
      <c r="E278" s="35">
        <f>案件入力!E278</f>
        <v/>
      </c>
      <c r="F278" s="35">
        <f>案件入力!F278</f>
        <v/>
      </c>
      <c r="G278" s="35">
        <f>案件入力!G278</f>
        <v/>
      </c>
      <c r="H278" s="49">
        <f>案件入力!H278</f>
        <v/>
      </c>
      <c r="I278" s="49">
        <f>案件入力!I278</f>
        <v/>
      </c>
      <c r="J278" s="39">
        <f>案件入力!J278</f>
        <v/>
      </c>
      <c r="K278" s="36">
        <f>案件入力!K278</f>
        <v/>
      </c>
      <c r="L278" s="49">
        <f>案件入力!L278</f>
        <v/>
      </c>
      <c r="M278" s="49">
        <f>案件入力!M278</f>
        <v/>
      </c>
      <c r="N278" s="39">
        <f>案件入力!N278</f>
        <v/>
      </c>
      <c r="O278" s="36">
        <f>案件入力!O278</f>
        <v/>
      </c>
      <c r="P278" s="37">
        <f>案件入力!P278</f>
        <v/>
      </c>
      <c r="Q278" s="35">
        <f>案件入力!Q278</f>
        <v/>
      </c>
      <c r="R278" s="35">
        <f>案件入力!R278</f>
        <v/>
      </c>
      <c r="S278" s="35">
        <f>案件入力!S278</f>
        <v/>
      </c>
    </row>
    <row r="279">
      <c r="A279" s="35">
        <f>案件入力!A279</f>
        <v/>
      </c>
      <c r="B279" s="36">
        <f>案件入力!B279</f>
        <v/>
      </c>
      <c r="C279" s="35">
        <f>案件入力!C279</f>
        <v/>
      </c>
      <c r="D279" s="37">
        <f>案件入力!D279</f>
        <v/>
      </c>
      <c r="E279" s="35">
        <f>案件入力!E279</f>
        <v/>
      </c>
      <c r="F279" s="35">
        <f>案件入力!F279</f>
        <v/>
      </c>
      <c r="G279" s="35">
        <f>案件入力!G279</f>
        <v/>
      </c>
      <c r="H279" s="49">
        <f>案件入力!H279</f>
        <v/>
      </c>
      <c r="I279" s="49">
        <f>案件入力!I279</f>
        <v/>
      </c>
      <c r="J279" s="39">
        <f>案件入力!J279</f>
        <v/>
      </c>
      <c r="K279" s="36">
        <f>案件入力!K279</f>
        <v/>
      </c>
      <c r="L279" s="49">
        <f>案件入力!L279</f>
        <v/>
      </c>
      <c r="M279" s="49">
        <f>案件入力!M279</f>
        <v/>
      </c>
      <c r="N279" s="39">
        <f>案件入力!N279</f>
        <v/>
      </c>
      <c r="O279" s="36">
        <f>案件入力!O279</f>
        <v/>
      </c>
      <c r="P279" s="37">
        <f>案件入力!P279</f>
        <v/>
      </c>
      <c r="Q279" s="35">
        <f>案件入力!Q279</f>
        <v/>
      </c>
      <c r="R279" s="35">
        <f>案件入力!R279</f>
        <v/>
      </c>
      <c r="S279" s="35">
        <f>案件入力!S279</f>
        <v/>
      </c>
    </row>
    <row r="280">
      <c r="A280" s="35">
        <f>案件入力!A280</f>
        <v/>
      </c>
      <c r="B280" s="36">
        <f>案件入力!B280</f>
        <v/>
      </c>
      <c r="C280" s="35">
        <f>案件入力!C280</f>
        <v/>
      </c>
      <c r="D280" s="37">
        <f>案件入力!D280</f>
        <v/>
      </c>
      <c r="E280" s="35">
        <f>案件入力!E280</f>
        <v/>
      </c>
      <c r="F280" s="35">
        <f>案件入力!F280</f>
        <v/>
      </c>
      <c r="G280" s="35">
        <f>案件入力!G280</f>
        <v/>
      </c>
      <c r="H280" s="49">
        <f>案件入力!H280</f>
        <v/>
      </c>
      <c r="I280" s="49">
        <f>案件入力!I280</f>
        <v/>
      </c>
      <c r="J280" s="39">
        <f>案件入力!J280</f>
        <v/>
      </c>
      <c r="K280" s="36">
        <f>案件入力!K280</f>
        <v/>
      </c>
      <c r="L280" s="49">
        <f>案件入力!L280</f>
        <v/>
      </c>
      <c r="M280" s="49">
        <f>案件入力!M280</f>
        <v/>
      </c>
      <c r="N280" s="39">
        <f>案件入力!N280</f>
        <v/>
      </c>
      <c r="O280" s="36">
        <f>案件入力!O280</f>
        <v/>
      </c>
      <c r="P280" s="37">
        <f>案件入力!P280</f>
        <v/>
      </c>
      <c r="Q280" s="35">
        <f>案件入力!Q280</f>
        <v/>
      </c>
      <c r="R280" s="35">
        <f>案件入力!R280</f>
        <v/>
      </c>
      <c r="S280" s="35">
        <f>案件入力!S280</f>
        <v/>
      </c>
    </row>
    <row r="281">
      <c r="A281" s="35">
        <f>案件入力!A281</f>
        <v/>
      </c>
      <c r="B281" s="36">
        <f>案件入力!B281</f>
        <v/>
      </c>
      <c r="C281" s="35">
        <f>案件入力!C281</f>
        <v/>
      </c>
      <c r="D281" s="37">
        <f>案件入力!D281</f>
        <v/>
      </c>
      <c r="E281" s="35">
        <f>案件入力!E281</f>
        <v/>
      </c>
      <c r="F281" s="35">
        <f>案件入力!F281</f>
        <v/>
      </c>
      <c r="G281" s="35">
        <f>案件入力!G281</f>
        <v/>
      </c>
      <c r="H281" s="49">
        <f>案件入力!H281</f>
        <v/>
      </c>
      <c r="I281" s="49">
        <f>案件入力!I281</f>
        <v/>
      </c>
      <c r="J281" s="39">
        <f>案件入力!J281</f>
        <v/>
      </c>
      <c r="K281" s="36">
        <f>案件入力!K281</f>
        <v/>
      </c>
      <c r="L281" s="49">
        <f>案件入力!L281</f>
        <v/>
      </c>
      <c r="M281" s="49">
        <f>案件入力!M281</f>
        <v/>
      </c>
      <c r="N281" s="39">
        <f>案件入力!N281</f>
        <v/>
      </c>
      <c r="O281" s="36">
        <f>案件入力!O281</f>
        <v/>
      </c>
      <c r="P281" s="37">
        <f>案件入力!P281</f>
        <v/>
      </c>
      <c r="Q281" s="35">
        <f>案件入力!Q281</f>
        <v/>
      </c>
      <c r="R281" s="35">
        <f>案件入力!R281</f>
        <v/>
      </c>
      <c r="S281" s="35">
        <f>案件入力!S281</f>
        <v/>
      </c>
    </row>
    <row r="282">
      <c r="A282" s="35">
        <f>案件入力!A282</f>
        <v/>
      </c>
      <c r="B282" s="36">
        <f>案件入力!B282</f>
        <v/>
      </c>
      <c r="C282" s="35">
        <f>案件入力!C282</f>
        <v/>
      </c>
      <c r="D282" s="37">
        <f>案件入力!D282</f>
        <v/>
      </c>
      <c r="E282" s="35">
        <f>案件入力!E282</f>
        <v/>
      </c>
      <c r="F282" s="35">
        <f>案件入力!F282</f>
        <v/>
      </c>
      <c r="G282" s="35">
        <f>案件入力!G282</f>
        <v/>
      </c>
      <c r="H282" s="49">
        <f>案件入力!H282</f>
        <v/>
      </c>
      <c r="I282" s="49">
        <f>案件入力!I282</f>
        <v/>
      </c>
      <c r="J282" s="39">
        <f>案件入力!J282</f>
        <v/>
      </c>
      <c r="K282" s="36">
        <f>案件入力!K282</f>
        <v/>
      </c>
      <c r="L282" s="49">
        <f>案件入力!L282</f>
        <v/>
      </c>
      <c r="M282" s="49">
        <f>案件入力!M282</f>
        <v/>
      </c>
      <c r="N282" s="39">
        <f>案件入力!N282</f>
        <v/>
      </c>
      <c r="O282" s="36">
        <f>案件入力!O282</f>
        <v/>
      </c>
      <c r="P282" s="37">
        <f>案件入力!P282</f>
        <v/>
      </c>
      <c r="Q282" s="35">
        <f>案件入力!Q282</f>
        <v/>
      </c>
      <c r="R282" s="35">
        <f>案件入力!R282</f>
        <v/>
      </c>
      <c r="S282" s="35">
        <f>案件入力!S282</f>
        <v/>
      </c>
    </row>
    <row r="283">
      <c r="A283" s="35">
        <f>案件入力!A283</f>
        <v/>
      </c>
      <c r="B283" s="36">
        <f>案件入力!B283</f>
        <v/>
      </c>
      <c r="C283" s="35">
        <f>案件入力!C283</f>
        <v/>
      </c>
      <c r="D283" s="37">
        <f>案件入力!D283</f>
        <v/>
      </c>
      <c r="E283" s="35">
        <f>案件入力!E283</f>
        <v/>
      </c>
      <c r="F283" s="35">
        <f>案件入力!F283</f>
        <v/>
      </c>
      <c r="G283" s="35">
        <f>案件入力!G283</f>
        <v/>
      </c>
      <c r="H283" s="49">
        <f>案件入力!H283</f>
        <v/>
      </c>
      <c r="I283" s="49">
        <f>案件入力!I283</f>
        <v/>
      </c>
      <c r="J283" s="39">
        <f>案件入力!J283</f>
        <v/>
      </c>
      <c r="K283" s="36">
        <f>案件入力!K283</f>
        <v/>
      </c>
      <c r="L283" s="49">
        <f>案件入力!L283</f>
        <v/>
      </c>
      <c r="M283" s="49">
        <f>案件入力!M283</f>
        <v/>
      </c>
      <c r="N283" s="39">
        <f>案件入力!N283</f>
        <v/>
      </c>
      <c r="O283" s="36">
        <f>案件入力!O283</f>
        <v/>
      </c>
      <c r="P283" s="37">
        <f>案件入力!P283</f>
        <v/>
      </c>
      <c r="Q283" s="35">
        <f>案件入力!Q283</f>
        <v/>
      </c>
      <c r="R283" s="35">
        <f>案件入力!R283</f>
        <v/>
      </c>
      <c r="S283" s="35">
        <f>案件入力!S283</f>
        <v/>
      </c>
    </row>
    <row r="284">
      <c r="A284" s="35">
        <f>案件入力!A284</f>
        <v/>
      </c>
      <c r="B284" s="36">
        <f>案件入力!B284</f>
        <v/>
      </c>
      <c r="C284" s="35">
        <f>案件入力!C284</f>
        <v/>
      </c>
      <c r="D284" s="37">
        <f>案件入力!D284</f>
        <v/>
      </c>
      <c r="E284" s="35">
        <f>案件入力!E284</f>
        <v/>
      </c>
      <c r="F284" s="35">
        <f>案件入力!F284</f>
        <v/>
      </c>
      <c r="G284" s="35">
        <f>案件入力!G284</f>
        <v/>
      </c>
      <c r="H284" s="49">
        <f>案件入力!H284</f>
        <v/>
      </c>
      <c r="I284" s="49">
        <f>案件入力!I284</f>
        <v/>
      </c>
      <c r="J284" s="39">
        <f>案件入力!J284</f>
        <v/>
      </c>
      <c r="K284" s="36">
        <f>案件入力!K284</f>
        <v/>
      </c>
      <c r="L284" s="49">
        <f>案件入力!L284</f>
        <v/>
      </c>
      <c r="M284" s="49">
        <f>案件入力!M284</f>
        <v/>
      </c>
      <c r="N284" s="39">
        <f>案件入力!N284</f>
        <v/>
      </c>
      <c r="O284" s="36">
        <f>案件入力!O284</f>
        <v/>
      </c>
      <c r="P284" s="37">
        <f>案件入力!P284</f>
        <v/>
      </c>
      <c r="Q284" s="35">
        <f>案件入力!Q284</f>
        <v/>
      </c>
      <c r="R284" s="35">
        <f>案件入力!R284</f>
        <v/>
      </c>
      <c r="S284" s="35">
        <f>案件入力!S284</f>
        <v/>
      </c>
    </row>
    <row r="285">
      <c r="A285" s="35">
        <f>案件入力!A285</f>
        <v/>
      </c>
      <c r="B285" s="36">
        <f>案件入力!B285</f>
        <v/>
      </c>
      <c r="C285" s="35">
        <f>案件入力!C285</f>
        <v/>
      </c>
      <c r="D285" s="37">
        <f>案件入力!D285</f>
        <v/>
      </c>
      <c r="E285" s="35">
        <f>案件入力!E285</f>
        <v/>
      </c>
      <c r="F285" s="35">
        <f>案件入力!F285</f>
        <v/>
      </c>
      <c r="G285" s="35">
        <f>案件入力!G285</f>
        <v/>
      </c>
      <c r="H285" s="49">
        <f>案件入力!H285</f>
        <v/>
      </c>
      <c r="I285" s="49">
        <f>案件入力!I285</f>
        <v/>
      </c>
      <c r="J285" s="39">
        <f>案件入力!J285</f>
        <v/>
      </c>
      <c r="K285" s="36">
        <f>案件入力!K285</f>
        <v/>
      </c>
      <c r="L285" s="49">
        <f>案件入力!L285</f>
        <v/>
      </c>
      <c r="M285" s="49">
        <f>案件入力!M285</f>
        <v/>
      </c>
      <c r="N285" s="39">
        <f>案件入力!N285</f>
        <v/>
      </c>
      <c r="O285" s="36">
        <f>案件入力!O285</f>
        <v/>
      </c>
      <c r="P285" s="37">
        <f>案件入力!P285</f>
        <v/>
      </c>
      <c r="Q285" s="35">
        <f>案件入力!Q285</f>
        <v/>
      </c>
      <c r="R285" s="35">
        <f>案件入力!R285</f>
        <v/>
      </c>
      <c r="S285" s="35">
        <f>案件入力!S285</f>
        <v/>
      </c>
    </row>
    <row r="286">
      <c r="A286" s="35">
        <f>案件入力!A286</f>
        <v/>
      </c>
      <c r="B286" s="36">
        <f>案件入力!B286</f>
        <v/>
      </c>
      <c r="C286" s="35">
        <f>案件入力!C286</f>
        <v/>
      </c>
      <c r="D286" s="37">
        <f>案件入力!D286</f>
        <v/>
      </c>
      <c r="E286" s="35">
        <f>案件入力!E286</f>
        <v/>
      </c>
      <c r="F286" s="35">
        <f>案件入力!F286</f>
        <v/>
      </c>
      <c r="G286" s="35">
        <f>案件入力!G286</f>
        <v/>
      </c>
      <c r="H286" s="49">
        <f>案件入力!H286</f>
        <v/>
      </c>
      <c r="I286" s="49">
        <f>案件入力!I286</f>
        <v/>
      </c>
      <c r="J286" s="39">
        <f>案件入力!J286</f>
        <v/>
      </c>
      <c r="K286" s="36">
        <f>案件入力!K286</f>
        <v/>
      </c>
      <c r="L286" s="49">
        <f>案件入力!L286</f>
        <v/>
      </c>
      <c r="M286" s="49">
        <f>案件入力!M286</f>
        <v/>
      </c>
      <c r="N286" s="39">
        <f>案件入力!N286</f>
        <v/>
      </c>
      <c r="O286" s="36">
        <f>案件入力!O286</f>
        <v/>
      </c>
      <c r="P286" s="37">
        <f>案件入力!P286</f>
        <v/>
      </c>
      <c r="Q286" s="35">
        <f>案件入力!Q286</f>
        <v/>
      </c>
      <c r="R286" s="35">
        <f>案件入力!R286</f>
        <v/>
      </c>
      <c r="S286" s="35">
        <f>案件入力!S286</f>
        <v/>
      </c>
    </row>
    <row r="287">
      <c r="A287" s="35">
        <f>案件入力!A287</f>
        <v/>
      </c>
      <c r="B287" s="36">
        <f>案件入力!B287</f>
        <v/>
      </c>
      <c r="C287" s="35">
        <f>案件入力!C287</f>
        <v/>
      </c>
      <c r="D287" s="37">
        <f>案件入力!D287</f>
        <v/>
      </c>
      <c r="E287" s="35">
        <f>案件入力!E287</f>
        <v/>
      </c>
      <c r="F287" s="35">
        <f>案件入力!F287</f>
        <v/>
      </c>
      <c r="G287" s="35">
        <f>案件入力!G287</f>
        <v/>
      </c>
      <c r="H287" s="49">
        <f>案件入力!H287</f>
        <v/>
      </c>
      <c r="I287" s="49">
        <f>案件入力!I287</f>
        <v/>
      </c>
      <c r="J287" s="39">
        <f>案件入力!J287</f>
        <v/>
      </c>
      <c r="K287" s="36">
        <f>案件入力!K287</f>
        <v/>
      </c>
      <c r="L287" s="49">
        <f>案件入力!L287</f>
        <v/>
      </c>
      <c r="M287" s="49">
        <f>案件入力!M287</f>
        <v/>
      </c>
      <c r="N287" s="39">
        <f>案件入力!N287</f>
        <v/>
      </c>
      <c r="O287" s="36">
        <f>案件入力!O287</f>
        <v/>
      </c>
      <c r="P287" s="37">
        <f>案件入力!P287</f>
        <v/>
      </c>
      <c r="Q287" s="35">
        <f>案件入力!Q287</f>
        <v/>
      </c>
      <c r="R287" s="35">
        <f>案件入力!R287</f>
        <v/>
      </c>
      <c r="S287" s="35">
        <f>案件入力!S287</f>
        <v/>
      </c>
    </row>
    <row r="288">
      <c r="A288" s="35">
        <f>案件入力!A288</f>
        <v/>
      </c>
      <c r="B288" s="36">
        <f>案件入力!B288</f>
        <v/>
      </c>
      <c r="C288" s="35">
        <f>案件入力!C288</f>
        <v/>
      </c>
      <c r="D288" s="37">
        <f>案件入力!D288</f>
        <v/>
      </c>
      <c r="E288" s="35">
        <f>案件入力!E288</f>
        <v/>
      </c>
      <c r="F288" s="35">
        <f>案件入力!F288</f>
        <v/>
      </c>
      <c r="G288" s="35">
        <f>案件入力!G288</f>
        <v/>
      </c>
      <c r="H288" s="49">
        <f>案件入力!H288</f>
        <v/>
      </c>
      <c r="I288" s="49">
        <f>案件入力!I288</f>
        <v/>
      </c>
      <c r="J288" s="39">
        <f>案件入力!J288</f>
        <v/>
      </c>
      <c r="K288" s="36">
        <f>案件入力!K288</f>
        <v/>
      </c>
      <c r="L288" s="49">
        <f>案件入力!L288</f>
        <v/>
      </c>
      <c r="M288" s="49">
        <f>案件入力!M288</f>
        <v/>
      </c>
      <c r="N288" s="39">
        <f>案件入力!N288</f>
        <v/>
      </c>
      <c r="O288" s="36">
        <f>案件入力!O288</f>
        <v/>
      </c>
      <c r="P288" s="37">
        <f>案件入力!P288</f>
        <v/>
      </c>
      <c r="Q288" s="35">
        <f>案件入力!Q288</f>
        <v/>
      </c>
      <c r="R288" s="35">
        <f>案件入力!R288</f>
        <v/>
      </c>
      <c r="S288" s="35">
        <f>案件入力!S288</f>
        <v/>
      </c>
    </row>
    <row r="289">
      <c r="A289" s="35">
        <f>案件入力!A289</f>
        <v/>
      </c>
      <c r="B289" s="36">
        <f>案件入力!B289</f>
        <v/>
      </c>
      <c r="C289" s="35">
        <f>案件入力!C289</f>
        <v/>
      </c>
      <c r="D289" s="37">
        <f>案件入力!D289</f>
        <v/>
      </c>
      <c r="E289" s="35">
        <f>案件入力!E289</f>
        <v/>
      </c>
      <c r="F289" s="35">
        <f>案件入力!F289</f>
        <v/>
      </c>
      <c r="G289" s="35">
        <f>案件入力!G289</f>
        <v/>
      </c>
      <c r="H289" s="49">
        <f>案件入力!H289</f>
        <v/>
      </c>
      <c r="I289" s="49">
        <f>案件入力!I289</f>
        <v/>
      </c>
      <c r="J289" s="39">
        <f>案件入力!J289</f>
        <v/>
      </c>
      <c r="K289" s="36">
        <f>案件入力!K289</f>
        <v/>
      </c>
      <c r="L289" s="49">
        <f>案件入力!L289</f>
        <v/>
      </c>
      <c r="M289" s="49">
        <f>案件入力!M289</f>
        <v/>
      </c>
      <c r="N289" s="39">
        <f>案件入力!N289</f>
        <v/>
      </c>
      <c r="O289" s="36">
        <f>案件入力!O289</f>
        <v/>
      </c>
      <c r="P289" s="37">
        <f>案件入力!P289</f>
        <v/>
      </c>
      <c r="Q289" s="35">
        <f>案件入力!Q289</f>
        <v/>
      </c>
      <c r="R289" s="35">
        <f>案件入力!R289</f>
        <v/>
      </c>
      <c r="S289" s="35">
        <f>案件入力!S289</f>
        <v/>
      </c>
    </row>
    <row r="290">
      <c r="A290" s="35">
        <f>案件入力!A290</f>
        <v/>
      </c>
      <c r="B290" s="36">
        <f>案件入力!B290</f>
        <v/>
      </c>
      <c r="C290" s="35">
        <f>案件入力!C290</f>
        <v/>
      </c>
      <c r="D290" s="37">
        <f>案件入力!D290</f>
        <v/>
      </c>
      <c r="E290" s="35">
        <f>案件入力!E290</f>
        <v/>
      </c>
      <c r="F290" s="35">
        <f>案件入力!F290</f>
        <v/>
      </c>
      <c r="G290" s="35">
        <f>案件入力!G290</f>
        <v/>
      </c>
      <c r="H290" s="49">
        <f>案件入力!H290</f>
        <v/>
      </c>
      <c r="I290" s="49">
        <f>案件入力!I290</f>
        <v/>
      </c>
      <c r="J290" s="39">
        <f>案件入力!J290</f>
        <v/>
      </c>
      <c r="K290" s="36">
        <f>案件入力!K290</f>
        <v/>
      </c>
      <c r="L290" s="49">
        <f>案件入力!L290</f>
        <v/>
      </c>
      <c r="M290" s="49">
        <f>案件入力!M290</f>
        <v/>
      </c>
      <c r="N290" s="39">
        <f>案件入力!N290</f>
        <v/>
      </c>
      <c r="O290" s="36">
        <f>案件入力!O290</f>
        <v/>
      </c>
      <c r="P290" s="37">
        <f>案件入力!P290</f>
        <v/>
      </c>
      <c r="Q290" s="35">
        <f>案件入力!Q290</f>
        <v/>
      </c>
      <c r="R290" s="35">
        <f>案件入力!R290</f>
        <v/>
      </c>
      <c r="S290" s="35">
        <f>案件入力!S290</f>
        <v/>
      </c>
    </row>
    <row r="291">
      <c r="A291" s="35">
        <f>案件入力!A291</f>
        <v/>
      </c>
      <c r="B291" s="36">
        <f>案件入力!B291</f>
        <v/>
      </c>
      <c r="C291" s="35">
        <f>案件入力!C291</f>
        <v/>
      </c>
      <c r="D291" s="37">
        <f>案件入力!D291</f>
        <v/>
      </c>
      <c r="E291" s="35">
        <f>案件入力!E291</f>
        <v/>
      </c>
      <c r="F291" s="35">
        <f>案件入力!F291</f>
        <v/>
      </c>
      <c r="G291" s="35">
        <f>案件入力!G291</f>
        <v/>
      </c>
      <c r="H291" s="49">
        <f>案件入力!H291</f>
        <v/>
      </c>
      <c r="I291" s="49">
        <f>案件入力!I291</f>
        <v/>
      </c>
      <c r="J291" s="39">
        <f>案件入力!J291</f>
        <v/>
      </c>
      <c r="K291" s="36">
        <f>案件入力!K291</f>
        <v/>
      </c>
      <c r="L291" s="49">
        <f>案件入力!L291</f>
        <v/>
      </c>
      <c r="M291" s="49">
        <f>案件入力!M291</f>
        <v/>
      </c>
      <c r="N291" s="39">
        <f>案件入力!N291</f>
        <v/>
      </c>
      <c r="O291" s="36">
        <f>案件入力!O291</f>
        <v/>
      </c>
      <c r="P291" s="37">
        <f>案件入力!P291</f>
        <v/>
      </c>
      <c r="Q291" s="35">
        <f>案件入力!Q291</f>
        <v/>
      </c>
      <c r="R291" s="35">
        <f>案件入力!R291</f>
        <v/>
      </c>
      <c r="S291" s="35">
        <f>案件入力!S291</f>
        <v/>
      </c>
    </row>
    <row r="292">
      <c r="A292" s="35">
        <f>案件入力!A292</f>
        <v/>
      </c>
      <c r="B292" s="36">
        <f>案件入力!B292</f>
        <v/>
      </c>
      <c r="C292" s="35">
        <f>案件入力!C292</f>
        <v/>
      </c>
      <c r="D292" s="37">
        <f>案件入力!D292</f>
        <v/>
      </c>
      <c r="E292" s="35">
        <f>案件入力!E292</f>
        <v/>
      </c>
      <c r="F292" s="35">
        <f>案件入力!F292</f>
        <v/>
      </c>
      <c r="G292" s="35">
        <f>案件入力!G292</f>
        <v/>
      </c>
      <c r="H292" s="49">
        <f>案件入力!H292</f>
        <v/>
      </c>
      <c r="I292" s="49">
        <f>案件入力!I292</f>
        <v/>
      </c>
      <c r="J292" s="39">
        <f>案件入力!J292</f>
        <v/>
      </c>
      <c r="K292" s="36">
        <f>案件入力!K292</f>
        <v/>
      </c>
      <c r="L292" s="49">
        <f>案件入力!L292</f>
        <v/>
      </c>
      <c r="M292" s="49">
        <f>案件入力!M292</f>
        <v/>
      </c>
      <c r="N292" s="39">
        <f>案件入力!N292</f>
        <v/>
      </c>
      <c r="O292" s="36">
        <f>案件入力!O292</f>
        <v/>
      </c>
      <c r="P292" s="37">
        <f>案件入力!P292</f>
        <v/>
      </c>
      <c r="Q292" s="35">
        <f>案件入力!Q292</f>
        <v/>
      </c>
      <c r="R292" s="35">
        <f>案件入力!R292</f>
        <v/>
      </c>
      <c r="S292" s="35">
        <f>案件入力!S292</f>
        <v/>
      </c>
    </row>
    <row r="293">
      <c r="A293" s="35">
        <f>案件入力!A293</f>
        <v/>
      </c>
      <c r="B293" s="36">
        <f>案件入力!B293</f>
        <v/>
      </c>
      <c r="C293" s="35">
        <f>案件入力!C293</f>
        <v/>
      </c>
      <c r="D293" s="37">
        <f>案件入力!D293</f>
        <v/>
      </c>
      <c r="E293" s="35">
        <f>案件入力!E293</f>
        <v/>
      </c>
      <c r="F293" s="35">
        <f>案件入力!F293</f>
        <v/>
      </c>
      <c r="G293" s="35">
        <f>案件入力!G293</f>
        <v/>
      </c>
      <c r="H293" s="49">
        <f>案件入力!H293</f>
        <v/>
      </c>
      <c r="I293" s="49">
        <f>案件入力!I293</f>
        <v/>
      </c>
      <c r="J293" s="39">
        <f>案件入力!J293</f>
        <v/>
      </c>
      <c r="K293" s="36">
        <f>案件入力!K293</f>
        <v/>
      </c>
      <c r="L293" s="49">
        <f>案件入力!L293</f>
        <v/>
      </c>
      <c r="M293" s="49">
        <f>案件入力!M293</f>
        <v/>
      </c>
      <c r="N293" s="39">
        <f>案件入力!N293</f>
        <v/>
      </c>
      <c r="O293" s="36">
        <f>案件入力!O293</f>
        <v/>
      </c>
      <c r="P293" s="37">
        <f>案件入力!P293</f>
        <v/>
      </c>
      <c r="Q293" s="35">
        <f>案件入力!Q293</f>
        <v/>
      </c>
      <c r="R293" s="35">
        <f>案件入力!R293</f>
        <v/>
      </c>
      <c r="S293" s="35">
        <f>案件入力!S293</f>
        <v/>
      </c>
    </row>
    <row r="294">
      <c r="A294" s="35">
        <f>案件入力!A294</f>
        <v/>
      </c>
      <c r="B294" s="36">
        <f>案件入力!B294</f>
        <v/>
      </c>
      <c r="C294" s="35">
        <f>案件入力!C294</f>
        <v/>
      </c>
      <c r="D294" s="37">
        <f>案件入力!D294</f>
        <v/>
      </c>
      <c r="E294" s="35">
        <f>案件入力!E294</f>
        <v/>
      </c>
      <c r="F294" s="35">
        <f>案件入力!F294</f>
        <v/>
      </c>
      <c r="G294" s="35">
        <f>案件入力!G294</f>
        <v/>
      </c>
      <c r="H294" s="49">
        <f>案件入力!H294</f>
        <v/>
      </c>
      <c r="I294" s="49">
        <f>案件入力!I294</f>
        <v/>
      </c>
      <c r="J294" s="39">
        <f>案件入力!J294</f>
        <v/>
      </c>
      <c r="K294" s="36">
        <f>案件入力!K294</f>
        <v/>
      </c>
      <c r="L294" s="49">
        <f>案件入力!L294</f>
        <v/>
      </c>
      <c r="M294" s="49">
        <f>案件入力!M294</f>
        <v/>
      </c>
      <c r="N294" s="39">
        <f>案件入力!N294</f>
        <v/>
      </c>
      <c r="O294" s="36">
        <f>案件入力!O294</f>
        <v/>
      </c>
      <c r="P294" s="37">
        <f>案件入力!P294</f>
        <v/>
      </c>
      <c r="Q294" s="35">
        <f>案件入力!Q294</f>
        <v/>
      </c>
      <c r="R294" s="35">
        <f>案件入力!R294</f>
        <v/>
      </c>
      <c r="S294" s="35">
        <f>案件入力!S294</f>
        <v/>
      </c>
    </row>
    <row r="295">
      <c r="A295" s="35">
        <f>案件入力!A295</f>
        <v/>
      </c>
      <c r="B295" s="36">
        <f>案件入力!B295</f>
        <v/>
      </c>
      <c r="C295" s="35">
        <f>案件入力!C295</f>
        <v/>
      </c>
      <c r="D295" s="37">
        <f>案件入力!D295</f>
        <v/>
      </c>
      <c r="E295" s="35">
        <f>案件入力!E295</f>
        <v/>
      </c>
      <c r="F295" s="35">
        <f>案件入力!F295</f>
        <v/>
      </c>
      <c r="G295" s="35">
        <f>案件入力!G295</f>
        <v/>
      </c>
      <c r="H295" s="49">
        <f>案件入力!H295</f>
        <v/>
      </c>
      <c r="I295" s="49">
        <f>案件入力!I295</f>
        <v/>
      </c>
      <c r="J295" s="39">
        <f>案件入力!J295</f>
        <v/>
      </c>
      <c r="K295" s="36">
        <f>案件入力!K295</f>
        <v/>
      </c>
      <c r="L295" s="49">
        <f>案件入力!L295</f>
        <v/>
      </c>
      <c r="M295" s="49">
        <f>案件入力!M295</f>
        <v/>
      </c>
      <c r="N295" s="39">
        <f>案件入力!N295</f>
        <v/>
      </c>
      <c r="O295" s="36">
        <f>案件入力!O295</f>
        <v/>
      </c>
      <c r="P295" s="37">
        <f>案件入力!P295</f>
        <v/>
      </c>
      <c r="Q295" s="35">
        <f>案件入力!Q295</f>
        <v/>
      </c>
      <c r="R295" s="35">
        <f>案件入力!R295</f>
        <v/>
      </c>
      <c r="S295" s="35">
        <f>案件入力!S295</f>
        <v/>
      </c>
    </row>
    <row r="296">
      <c r="A296" s="35">
        <f>案件入力!A296</f>
        <v/>
      </c>
      <c r="B296" s="36">
        <f>案件入力!B296</f>
        <v/>
      </c>
      <c r="C296" s="35">
        <f>案件入力!C296</f>
        <v/>
      </c>
      <c r="D296" s="37">
        <f>案件入力!D296</f>
        <v/>
      </c>
      <c r="E296" s="35">
        <f>案件入力!E296</f>
        <v/>
      </c>
      <c r="F296" s="35">
        <f>案件入力!F296</f>
        <v/>
      </c>
      <c r="G296" s="35">
        <f>案件入力!G296</f>
        <v/>
      </c>
      <c r="H296" s="49">
        <f>案件入力!H296</f>
        <v/>
      </c>
      <c r="I296" s="49">
        <f>案件入力!I296</f>
        <v/>
      </c>
      <c r="J296" s="39">
        <f>案件入力!J296</f>
        <v/>
      </c>
      <c r="K296" s="36">
        <f>案件入力!K296</f>
        <v/>
      </c>
      <c r="L296" s="49">
        <f>案件入力!L296</f>
        <v/>
      </c>
      <c r="M296" s="49">
        <f>案件入力!M296</f>
        <v/>
      </c>
      <c r="N296" s="39">
        <f>案件入力!N296</f>
        <v/>
      </c>
      <c r="O296" s="36">
        <f>案件入力!O296</f>
        <v/>
      </c>
      <c r="P296" s="37">
        <f>案件入力!P296</f>
        <v/>
      </c>
      <c r="Q296" s="35">
        <f>案件入力!Q296</f>
        <v/>
      </c>
      <c r="R296" s="35">
        <f>案件入力!R296</f>
        <v/>
      </c>
      <c r="S296" s="35">
        <f>案件入力!S296</f>
        <v/>
      </c>
    </row>
    <row r="297">
      <c r="A297" s="35">
        <f>案件入力!A297</f>
        <v/>
      </c>
      <c r="B297" s="36">
        <f>案件入力!B297</f>
        <v/>
      </c>
      <c r="C297" s="35">
        <f>案件入力!C297</f>
        <v/>
      </c>
      <c r="D297" s="37">
        <f>案件入力!D297</f>
        <v/>
      </c>
      <c r="E297" s="35">
        <f>案件入力!E297</f>
        <v/>
      </c>
      <c r="F297" s="35">
        <f>案件入力!F297</f>
        <v/>
      </c>
      <c r="G297" s="35">
        <f>案件入力!G297</f>
        <v/>
      </c>
      <c r="H297" s="49">
        <f>案件入力!H297</f>
        <v/>
      </c>
      <c r="I297" s="49">
        <f>案件入力!I297</f>
        <v/>
      </c>
      <c r="J297" s="39">
        <f>案件入力!J297</f>
        <v/>
      </c>
      <c r="K297" s="36">
        <f>案件入力!K297</f>
        <v/>
      </c>
      <c r="L297" s="49">
        <f>案件入力!L297</f>
        <v/>
      </c>
      <c r="M297" s="49">
        <f>案件入力!M297</f>
        <v/>
      </c>
      <c r="N297" s="39">
        <f>案件入力!N297</f>
        <v/>
      </c>
      <c r="O297" s="36">
        <f>案件入力!O297</f>
        <v/>
      </c>
      <c r="P297" s="37">
        <f>案件入力!P297</f>
        <v/>
      </c>
      <c r="Q297" s="35">
        <f>案件入力!Q297</f>
        <v/>
      </c>
      <c r="R297" s="35">
        <f>案件入力!R297</f>
        <v/>
      </c>
      <c r="S297" s="35">
        <f>案件入力!S297</f>
        <v/>
      </c>
    </row>
    <row r="298">
      <c r="A298" s="35">
        <f>案件入力!A298</f>
        <v/>
      </c>
      <c r="B298" s="36">
        <f>案件入力!B298</f>
        <v/>
      </c>
      <c r="C298" s="35">
        <f>案件入力!C298</f>
        <v/>
      </c>
      <c r="D298" s="37">
        <f>案件入力!D298</f>
        <v/>
      </c>
      <c r="E298" s="35">
        <f>案件入力!E298</f>
        <v/>
      </c>
      <c r="F298" s="35">
        <f>案件入力!F298</f>
        <v/>
      </c>
      <c r="G298" s="35">
        <f>案件入力!G298</f>
        <v/>
      </c>
      <c r="H298" s="49">
        <f>案件入力!H298</f>
        <v/>
      </c>
      <c r="I298" s="49">
        <f>案件入力!I298</f>
        <v/>
      </c>
      <c r="J298" s="39">
        <f>案件入力!J298</f>
        <v/>
      </c>
      <c r="K298" s="36">
        <f>案件入力!K298</f>
        <v/>
      </c>
      <c r="L298" s="49">
        <f>案件入力!L298</f>
        <v/>
      </c>
      <c r="M298" s="49">
        <f>案件入力!M298</f>
        <v/>
      </c>
      <c r="N298" s="39">
        <f>案件入力!N298</f>
        <v/>
      </c>
      <c r="O298" s="36">
        <f>案件入力!O298</f>
        <v/>
      </c>
      <c r="P298" s="37">
        <f>案件入力!P298</f>
        <v/>
      </c>
      <c r="Q298" s="35">
        <f>案件入力!Q298</f>
        <v/>
      </c>
      <c r="R298" s="35">
        <f>案件入力!R298</f>
        <v/>
      </c>
      <c r="S298" s="35">
        <f>案件入力!S298</f>
        <v/>
      </c>
    </row>
    <row r="299">
      <c r="A299" s="35">
        <f>案件入力!A299</f>
        <v/>
      </c>
      <c r="B299" s="36">
        <f>案件入力!B299</f>
        <v/>
      </c>
      <c r="C299" s="35">
        <f>案件入力!C299</f>
        <v/>
      </c>
      <c r="D299" s="37">
        <f>案件入力!D299</f>
        <v/>
      </c>
      <c r="E299" s="35">
        <f>案件入力!E299</f>
        <v/>
      </c>
      <c r="F299" s="35">
        <f>案件入力!F299</f>
        <v/>
      </c>
      <c r="G299" s="35">
        <f>案件入力!G299</f>
        <v/>
      </c>
      <c r="H299" s="49">
        <f>案件入力!H299</f>
        <v/>
      </c>
      <c r="I299" s="49">
        <f>案件入力!I299</f>
        <v/>
      </c>
      <c r="J299" s="39">
        <f>案件入力!J299</f>
        <v/>
      </c>
      <c r="K299" s="36">
        <f>案件入力!K299</f>
        <v/>
      </c>
      <c r="L299" s="49">
        <f>案件入力!L299</f>
        <v/>
      </c>
      <c r="M299" s="49">
        <f>案件入力!M299</f>
        <v/>
      </c>
      <c r="N299" s="39">
        <f>案件入力!N299</f>
        <v/>
      </c>
      <c r="O299" s="36">
        <f>案件入力!O299</f>
        <v/>
      </c>
      <c r="P299" s="37">
        <f>案件入力!P299</f>
        <v/>
      </c>
      <c r="Q299" s="35">
        <f>案件入力!Q299</f>
        <v/>
      </c>
      <c r="R299" s="35">
        <f>案件入力!R299</f>
        <v/>
      </c>
      <c r="S299" s="35">
        <f>案件入力!S299</f>
        <v/>
      </c>
    </row>
    <row r="300">
      <c r="A300" s="35">
        <f>案件入力!A300</f>
        <v/>
      </c>
      <c r="B300" s="36">
        <f>案件入力!B300</f>
        <v/>
      </c>
      <c r="C300" s="35">
        <f>案件入力!C300</f>
        <v/>
      </c>
      <c r="D300" s="37">
        <f>案件入力!D300</f>
        <v/>
      </c>
      <c r="E300" s="35">
        <f>案件入力!E300</f>
        <v/>
      </c>
      <c r="F300" s="35">
        <f>案件入力!F300</f>
        <v/>
      </c>
      <c r="G300" s="35">
        <f>案件入力!G300</f>
        <v/>
      </c>
      <c r="H300" s="49">
        <f>案件入力!H300</f>
        <v/>
      </c>
      <c r="I300" s="49">
        <f>案件入力!I300</f>
        <v/>
      </c>
      <c r="J300" s="39">
        <f>案件入力!J300</f>
        <v/>
      </c>
      <c r="K300" s="36">
        <f>案件入力!K300</f>
        <v/>
      </c>
      <c r="L300" s="49">
        <f>案件入力!L300</f>
        <v/>
      </c>
      <c r="M300" s="49">
        <f>案件入力!M300</f>
        <v/>
      </c>
      <c r="N300" s="39">
        <f>案件入力!N300</f>
        <v/>
      </c>
      <c r="O300" s="36">
        <f>案件入力!O300</f>
        <v/>
      </c>
      <c r="P300" s="37">
        <f>案件入力!P300</f>
        <v/>
      </c>
      <c r="Q300" s="35">
        <f>案件入力!Q300</f>
        <v/>
      </c>
      <c r="R300" s="35">
        <f>案件入力!R300</f>
        <v/>
      </c>
      <c r="S300" s="35">
        <f>案件入力!S300</f>
        <v/>
      </c>
    </row>
    <row r="301">
      <c r="A301" s="35">
        <f>案件入力!A301</f>
        <v/>
      </c>
      <c r="B301" s="36">
        <f>案件入力!B301</f>
        <v/>
      </c>
      <c r="C301" s="35">
        <f>案件入力!C301</f>
        <v/>
      </c>
      <c r="D301" s="37">
        <f>案件入力!D301</f>
        <v/>
      </c>
      <c r="E301" s="35">
        <f>案件入力!E301</f>
        <v/>
      </c>
      <c r="F301" s="35">
        <f>案件入力!F301</f>
        <v/>
      </c>
      <c r="G301" s="35">
        <f>案件入力!G301</f>
        <v/>
      </c>
      <c r="H301" s="49">
        <f>案件入力!H301</f>
        <v/>
      </c>
      <c r="I301" s="49">
        <f>案件入力!I301</f>
        <v/>
      </c>
      <c r="J301" s="39">
        <f>案件入力!J301</f>
        <v/>
      </c>
      <c r="K301" s="36">
        <f>案件入力!K301</f>
        <v/>
      </c>
      <c r="L301" s="49">
        <f>案件入力!L301</f>
        <v/>
      </c>
      <c r="M301" s="49">
        <f>案件入力!M301</f>
        <v/>
      </c>
      <c r="N301" s="39">
        <f>案件入力!N301</f>
        <v/>
      </c>
      <c r="O301" s="36">
        <f>案件入力!O301</f>
        <v/>
      </c>
      <c r="P301" s="37">
        <f>案件入力!P301</f>
        <v/>
      </c>
      <c r="Q301" s="35">
        <f>案件入力!Q301</f>
        <v/>
      </c>
      <c r="R301" s="35">
        <f>案件入力!R301</f>
        <v/>
      </c>
      <c r="S301" s="35">
        <f>案件入力!S301</f>
        <v/>
      </c>
    </row>
    <row r="303">
      <c r="A303" s="6" t="inlineStr">
        <is>
          <t>検索方法: 各列の見出し右にある▼（オートフィルター）から「商品名」「仕入先」「得意先」「仕入適用日/売価適用日」などで絞り込みできます。</t>
        </is>
      </c>
    </row>
  </sheetData>
  <conditionalFormatting sqref="A2:S301">
    <cfRule type="expression" priority="1" dxfId="0" stopIfTrue="1">
      <formula>$R2="完了"</formula>
    </cfRule>
    <cfRule type="expression" priority="2" dxfId="1" stopIfTrue="1">
      <formula>AND($R2&lt;&gt;"完了",$K2&lt;&gt;"",$K2&lt;TODAY())</formula>
    </cfRule>
    <cfRule type="expression" priority="3" dxfId="2" stopIfTrue="1">
      <formula>AND($R2&lt;&gt;"完了",$K2&lt;&gt;"",$K2&gt;TODAY())</formula>
    </cfRule>
    <cfRule type="expression" priority="4" dxfId="3" stopIfTrue="1">
      <formula>AND($Q2="済",$R2&lt;&gt;"完了")</formula>
    </cfRule>
  </conditionalFormatting>
  <pageMargins left="0.75" right="0.75" top="1" bottom="1" header="0.5" footer="0.5"/>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T304"/>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20" customWidth="1" min="4" max="4"/>
    <col width="16" customWidth="1" min="5" max="5"/>
    <col width="20" customWidth="1" min="6" max="6"/>
    <col width="20" customWidth="1" min="7" max="7"/>
    <col width="11" customWidth="1" min="8" max="8"/>
    <col width="11" customWidth="1" min="9" max="9"/>
    <col width="10" customWidth="1" min="10" max="10"/>
    <col width="12" customWidth="1" min="11" max="11"/>
    <col width="11" customWidth="1" min="12" max="12"/>
    <col width="11" customWidth="1" min="13" max="13"/>
    <col width="10" customWidth="1" min="14" max="14"/>
    <col width="12" customWidth="1" min="15" max="15"/>
    <col width="24" customWidth="1" min="16" max="16"/>
    <col width="12" customWidth="1" min="17" max="17"/>
    <col width="10" customWidth="1" min="18" max="18"/>
    <col width="12" customWidth="1" min="19" max="19"/>
    <col hidden="1" width="4" customWidth="1" min="20" max="20"/>
  </cols>
  <sheetData>
    <row r="1">
      <c r="A1" s="5" t="inlineStr">
        <is>
          <t>管理番号</t>
        </is>
      </c>
      <c r="B1" s="5" t="inlineStr">
        <is>
          <t>記入日</t>
        </is>
      </c>
      <c r="C1" s="5" t="inlineStr">
        <is>
          <t>区分</t>
        </is>
      </c>
      <c r="D1" s="5" t="inlineStr">
        <is>
          <t>商品名</t>
        </is>
      </c>
      <c r="E1" s="5" t="inlineStr">
        <is>
          <t>荷姿</t>
        </is>
      </c>
      <c r="F1" s="5" t="inlineStr">
        <is>
          <t>仕入先</t>
        </is>
      </c>
      <c r="G1" s="5" t="inlineStr">
        <is>
          <t>得意先</t>
        </is>
      </c>
      <c r="H1" s="5" t="inlineStr">
        <is>
          <t>旧仕入値</t>
        </is>
      </c>
      <c r="I1" s="5" t="inlineStr">
        <is>
          <t>新仕入値</t>
        </is>
      </c>
      <c r="J1" s="5" t="inlineStr">
        <is>
          <t>仕入変動率</t>
        </is>
      </c>
      <c r="K1" s="5" t="inlineStr">
        <is>
          <t>仕入適用日</t>
        </is>
      </c>
      <c r="L1" s="5" t="inlineStr">
        <is>
          <t>旧売価</t>
        </is>
      </c>
      <c r="M1" s="5" t="inlineStr">
        <is>
          <t>新売価</t>
        </is>
      </c>
      <c r="N1" s="5" t="inlineStr">
        <is>
          <t>売価変動率</t>
        </is>
      </c>
      <c r="O1" s="5" t="inlineStr">
        <is>
          <t>売価適用日</t>
        </is>
      </c>
      <c r="P1" s="5" t="inlineStr">
        <is>
          <t>備考</t>
        </is>
      </c>
      <c r="Q1" s="5" t="inlineStr">
        <is>
          <t>カード印刷済</t>
        </is>
      </c>
      <c r="R1" s="5" t="inlineStr">
        <is>
          <t>完了</t>
        </is>
      </c>
      <c r="S1" s="5" t="inlineStr">
        <is>
          <t>担当者</t>
        </is>
      </c>
    </row>
    <row r="2">
      <c r="A2" s="35">
        <f>IF($T2="","",INDEX(案件入力!$A$2:$A$301,$T2-1))</f>
        <v/>
      </c>
      <c r="B2" s="36">
        <f>IF($T2="","",INDEX(案件入力!$B$2:$B$301,$T2-1))</f>
        <v/>
      </c>
      <c r="C2" s="35">
        <f>IF($T2="","",INDEX(案件入力!$C$2:$C$301,$T2-1))</f>
        <v/>
      </c>
      <c r="D2" s="37">
        <f>IF($T2="","",INDEX(案件入力!$D$2:$D$301,$T2-1))</f>
        <v/>
      </c>
      <c r="E2" s="35">
        <f>IF($T2="","",INDEX(案件入力!$E$2:$E$301,$T2-1))</f>
        <v/>
      </c>
      <c r="F2" s="35">
        <f>IF($T2="","",INDEX(案件入力!$F$2:$F$301,$T2-1))</f>
        <v/>
      </c>
      <c r="G2" s="35">
        <f>IF($T2="","",INDEX(案件入力!$G$2:$G$301,$T2-1))</f>
        <v/>
      </c>
      <c r="H2" s="49">
        <f>IF($T2="","",INDEX(案件入力!$H$2:$H$301,$T2-1))</f>
        <v/>
      </c>
      <c r="I2" s="49">
        <f>IF($T2="","",INDEX(案件入力!$I$2:$I$301,$T2-1))</f>
        <v/>
      </c>
      <c r="J2" s="39">
        <f>IF($T2="","",INDEX(案件入力!$J$2:$J$301,$T2-1))</f>
        <v/>
      </c>
      <c r="K2" s="36">
        <f>IF($T2="","",INDEX(案件入力!$K$2:$K$301,$T2-1))</f>
        <v/>
      </c>
      <c r="L2" s="49">
        <f>IF($T2="","",INDEX(案件入力!$L$2:$L$301,$T2-1))</f>
        <v/>
      </c>
      <c r="M2" s="49">
        <f>IF($T2="","",INDEX(案件入力!$M$2:$M$301,$T2-1))</f>
        <v/>
      </c>
      <c r="N2" s="39">
        <f>IF($T2="","",INDEX(案件入力!$N$2:$N$301,$T2-1))</f>
        <v/>
      </c>
      <c r="O2" s="36">
        <f>IF($T2="","",INDEX(案件入力!$O$2:$O$301,$T2-1))</f>
        <v/>
      </c>
      <c r="P2" s="37">
        <f>IF($T2="","",INDEX(案件入力!$P$2:$P$301,$T2-1))</f>
        <v/>
      </c>
      <c r="Q2" s="35">
        <f>IF($T2="","",INDEX(案件入力!$Q$2:$Q$301,$T2-1))</f>
        <v/>
      </c>
      <c r="R2" s="35">
        <f>IF($T2="","",INDEX(案件入力!$R$2:$R$301,$T2-1))</f>
        <v/>
      </c>
      <c r="S2" s="35">
        <f>IF($T2="","",INDEX(案件入力!$S$2:$S$301,$T2-1))</f>
        <v/>
      </c>
      <c r="T2">
        <f t="array" ref="T2">IFERROR(SMALL(IF((案件入力!$A$2:$A$301&lt;&gt;"")*(案件入力!$R$2:$R$301&lt;&gt;"完了"),ROW(案件入力!$A$2:$A$301)),ROW()-1),"")</f>
        <v/>
      </c>
    </row>
    <row r="3">
      <c r="A3" s="35">
        <f>IF($T3="","",INDEX(案件入力!$A$2:$A$301,$T3-1))</f>
        <v/>
      </c>
      <c r="B3" s="36">
        <f>IF($T3="","",INDEX(案件入力!$B$2:$B$301,$T3-1))</f>
        <v/>
      </c>
      <c r="C3" s="35">
        <f>IF($T3="","",INDEX(案件入力!$C$2:$C$301,$T3-1))</f>
        <v/>
      </c>
      <c r="D3" s="37">
        <f>IF($T3="","",INDEX(案件入力!$D$2:$D$301,$T3-1))</f>
        <v/>
      </c>
      <c r="E3" s="35">
        <f>IF($T3="","",INDEX(案件入力!$E$2:$E$301,$T3-1))</f>
        <v/>
      </c>
      <c r="F3" s="35">
        <f>IF($T3="","",INDEX(案件入力!$F$2:$F$301,$T3-1))</f>
        <v/>
      </c>
      <c r="G3" s="35">
        <f>IF($T3="","",INDEX(案件入力!$G$2:$G$301,$T3-1))</f>
        <v/>
      </c>
      <c r="H3" s="49">
        <f>IF($T3="","",INDEX(案件入力!$H$2:$H$301,$T3-1))</f>
        <v/>
      </c>
      <c r="I3" s="49">
        <f>IF($T3="","",INDEX(案件入力!$I$2:$I$301,$T3-1))</f>
        <v/>
      </c>
      <c r="J3" s="39">
        <f>IF($T3="","",INDEX(案件入力!$J$2:$J$301,$T3-1))</f>
        <v/>
      </c>
      <c r="K3" s="36">
        <f>IF($T3="","",INDEX(案件入力!$K$2:$K$301,$T3-1))</f>
        <v/>
      </c>
      <c r="L3" s="49">
        <f>IF($T3="","",INDEX(案件入力!$L$2:$L$301,$T3-1))</f>
        <v/>
      </c>
      <c r="M3" s="49">
        <f>IF($T3="","",INDEX(案件入力!$M$2:$M$301,$T3-1))</f>
        <v/>
      </c>
      <c r="N3" s="39">
        <f>IF($T3="","",INDEX(案件入力!$N$2:$N$301,$T3-1))</f>
        <v/>
      </c>
      <c r="O3" s="36">
        <f>IF($T3="","",INDEX(案件入力!$O$2:$O$301,$T3-1))</f>
        <v/>
      </c>
      <c r="P3" s="37">
        <f>IF($T3="","",INDEX(案件入力!$P$2:$P$301,$T3-1))</f>
        <v/>
      </c>
      <c r="Q3" s="35">
        <f>IF($T3="","",INDEX(案件入力!$Q$2:$Q$301,$T3-1))</f>
        <v/>
      </c>
      <c r="R3" s="35">
        <f>IF($T3="","",INDEX(案件入力!$R$2:$R$301,$T3-1))</f>
        <v/>
      </c>
      <c r="S3" s="35">
        <f>IF($T3="","",INDEX(案件入力!$S$2:$S$301,$T3-1))</f>
        <v/>
      </c>
      <c r="T3">
        <f t="array" ref="T3">IFERROR(SMALL(IF((案件入力!$A$2:$A$301&lt;&gt;"")*(案件入力!$R$2:$R$301&lt;&gt;"完了"),ROW(案件入力!$A$2:$A$301)),ROW()-1),"")</f>
        <v/>
      </c>
    </row>
    <row r="4">
      <c r="A4" s="35">
        <f>IF($T4="","",INDEX(案件入力!$A$2:$A$301,$T4-1))</f>
        <v/>
      </c>
      <c r="B4" s="36">
        <f>IF($T4="","",INDEX(案件入力!$B$2:$B$301,$T4-1))</f>
        <v/>
      </c>
      <c r="C4" s="35">
        <f>IF($T4="","",INDEX(案件入力!$C$2:$C$301,$T4-1))</f>
        <v/>
      </c>
      <c r="D4" s="37">
        <f>IF($T4="","",INDEX(案件入力!$D$2:$D$301,$T4-1))</f>
        <v/>
      </c>
      <c r="E4" s="35">
        <f>IF($T4="","",INDEX(案件入力!$E$2:$E$301,$T4-1))</f>
        <v/>
      </c>
      <c r="F4" s="35">
        <f>IF($T4="","",INDEX(案件入力!$F$2:$F$301,$T4-1))</f>
        <v/>
      </c>
      <c r="G4" s="35">
        <f>IF($T4="","",INDEX(案件入力!$G$2:$G$301,$T4-1))</f>
        <v/>
      </c>
      <c r="H4" s="49">
        <f>IF($T4="","",INDEX(案件入力!$H$2:$H$301,$T4-1))</f>
        <v/>
      </c>
      <c r="I4" s="49">
        <f>IF($T4="","",INDEX(案件入力!$I$2:$I$301,$T4-1))</f>
        <v/>
      </c>
      <c r="J4" s="39">
        <f>IF($T4="","",INDEX(案件入力!$J$2:$J$301,$T4-1))</f>
        <v/>
      </c>
      <c r="K4" s="36">
        <f>IF($T4="","",INDEX(案件入力!$K$2:$K$301,$T4-1))</f>
        <v/>
      </c>
      <c r="L4" s="49">
        <f>IF($T4="","",INDEX(案件入力!$L$2:$L$301,$T4-1))</f>
        <v/>
      </c>
      <c r="M4" s="49">
        <f>IF($T4="","",INDEX(案件入力!$M$2:$M$301,$T4-1))</f>
        <v/>
      </c>
      <c r="N4" s="39">
        <f>IF($T4="","",INDEX(案件入力!$N$2:$N$301,$T4-1))</f>
        <v/>
      </c>
      <c r="O4" s="36">
        <f>IF($T4="","",INDEX(案件入力!$O$2:$O$301,$T4-1))</f>
        <v/>
      </c>
      <c r="P4" s="37">
        <f>IF($T4="","",INDEX(案件入力!$P$2:$P$301,$T4-1))</f>
        <v/>
      </c>
      <c r="Q4" s="35">
        <f>IF($T4="","",INDEX(案件入力!$Q$2:$Q$301,$T4-1))</f>
        <v/>
      </c>
      <c r="R4" s="35">
        <f>IF($T4="","",INDEX(案件入力!$R$2:$R$301,$T4-1))</f>
        <v/>
      </c>
      <c r="S4" s="35">
        <f>IF($T4="","",INDEX(案件入力!$S$2:$S$301,$T4-1))</f>
        <v/>
      </c>
      <c r="T4">
        <f t="array" ref="T4">IFERROR(SMALL(IF((案件入力!$A$2:$A$301&lt;&gt;"")*(案件入力!$R$2:$R$301&lt;&gt;"完了"),ROW(案件入力!$A$2:$A$301)),ROW()-1),"")</f>
        <v/>
      </c>
    </row>
    <row r="5">
      <c r="A5" s="35">
        <f>IF($T5="","",INDEX(案件入力!$A$2:$A$301,$T5-1))</f>
        <v/>
      </c>
      <c r="B5" s="36">
        <f>IF($T5="","",INDEX(案件入力!$B$2:$B$301,$T5-1))</f>
        <v/>
      </c>
      <c r="C5" s="35">
        <f>IF($T5="","",INDEX(案件入力!$C$2:$C$301,$T5-1))</f>
        <v/>
      </c>
      <c r="D5" s="37">
        <f>IF($T5="","",INDEX(案件入力!$D$2:$D$301,$T5-1))</f>
        <v/>
      </c>
      <c r="E5" s="35">
        <f>IF($T5="","",INDEX(案件入力!$E$2:$E$301,$T5-1))</f>
        <v/>
      </c>
      <c r="F5" s="35">
        <f>IF($T5="","",INDEX(案件入力!$F$2:$F$301,$T5-1))</f>
        <v/>
      </c>
      <c r="G5" s="35">
        <f>IF($T5="","",INDEX(案件入力!$G$2:$G$301,$T5-1))</f>
        <v/>
      </c>
      <c r="H5" s="49">
        <f>IF($T5="","",INDEX(案件入力!$H$2:$H$301,$T5-1))</f>
        <v/>
      </c>
      <c r="I5" s="49">
        <f>IF($T5="","",INDEX(案件入力!$I$2:$I$301,$T5-1))</f>
        <v/>
      </c>
      <c r="J5" s="39">
        <f>IF($T5="","",INDEX(案件入力!$J$2:$J$301,$T5-1))</f>
        <v/>
      </c>
      <c r="K5" s="36">
        <f>IF($T5="","",INDEX(案件入力!$K$2:$K$301,$T5-1))</f>
        <v/>
      </c>
      <c r="L5" s="49">
        <f>IF($T5="","",INDEX(案件入力!$L$2:$L$301,$T5-1))</f>
        <v/>
      </c>
      <c r="M5" s="49">
        <f>IF($T5="","",INDEX(案件入力!$M$2:$M$301,$T5-1))</f>
        <v/>
      </c>
      <c r="N5" s="39">
        <f>IF($T5="","",INDEX(案件入力!$N$2:$N$301,$T5-1))</f>
        <v/>
      </c>
      <c r="O5" s="36">
        <f>IF($T5="","",INDEX(案件入力!$O$2:$O$301,$T5-1))</f>
        <v/>
      </c>
      <c r="P5" s="37">
        <f>IF($T5="","",INDEX(案件入力!$P$2:$P$301,$T5-1))</f>
        <v/>
      </c>
      <c r="Q5" s="35">
        <f>IF($T5="","",INDEX(案件入力!$Q$2:$Q$301,$T5-1))</f>
        <v/>
      </c>
      <c r="R5" s="35">
        <f>IF($T5="","",INDEX(案件入力!$R$2:$R$301,$T5-1))</f>
        <v/>
      </c>
      <c r="S5" s="35">
        <f>IF($T5="","",INDEX(案件入力!$S$2:$S$301,$T5-1))</f>
        <v/>
      </c>
      <c r="T5">
        <f t="array" ref="T5">IFERROR(SMALL(IF((案件入力!$A$2:$A$301&lt;&gt;"")*(案件入力!$R$2:$R$301&lt;&gt;"完了"),ROW(案件入力!$A$2:$A$301)),ROW()-1),"")</f>
        <v/>
      </c>
    </row>
    <row r="6">
      <c r="A6" s="35">
        <f>IF($T6="","",INDEX(案件入力!$A$2:$A$301,$T6-1))</f>
        <v/>
      </c>
      <c r="B6" s="36">
        <f>IF($T6="","",INDEX(案件入力!$B$2:$B$301,$T6-1))</f>
        <v/>
      </c>
      <c r="C6" s="35">
        <f>IF($T6="","",INDEX(案件入力!$C$2:$C$301,$T6-1))</f>
        <v/>
      </c>
      <c r="D6" s="37">
        <f>IF($T6="","",INDEX(案件入力!$D$2:$D$301,$T6-1))</f>
        <v/>
      </c>
      <c r="E6" s="35">
        <f>IF($T6="","",INDEX(案件入力!$E$2:$E$301,$T6-1))</f>
        <v/>
      </c>
      <c r="F6" s="35">
        <f>IF($T6="","",INDEX(案件入力!$F$2:$F$301,$T6-1))</f>
        <v/>
      </c>
      <c r="G6" s="35">
        <f>IF($T6="","",INDEX(案件入力!$G$2:$G$301,$T6-1))</f>
        <v/>
      </c>
      <c r="H6" s="49">
        <f>IF($T6="","",INDEX(案件入力!$H$2:$H$301,$T6-1))</f>
        <v/>
      </c>
      <c r="I6" s="49">
        <f>IF($T6="","",INDEX(案件入力!$I$2:$I$301,$T6-1))</f>
        <v/>
      </c>
      <c r="J6" s="39">
        <f>IF($T6="","",INDEX(案件入力!$J$2:$J$301,$T6-1))</f>
        <v/>
      </c>
      <c r="K6" s="36">
        <f>IF($T6="","",INDEX(案件入力!$K$2:$K$301,$T6-1))</f>
        <v/>
      </c>
      <c r="L6" s="49">
        <f>IF($T6="","",INDEX(案件入力!$L$2:$L$301,$T6-1))</f>
        <v/>
      </c>
      <c r="M6" s="49">
        <f>IF($T6="","",INDEX(案件入力!$M$2:$M$301,$T6-1))</f>
        <v/>
      </c>
      <c r="N6" s="39">
        <f>IF($T6="","",INDEX(案件入力!$N$2:$N$301,$T6-1))</f>
        <v/>
      </c>
      <c r="O6" s="36">
        <f>IF($T6="","",INDEX(案件入力!$O$2:$O$301,$T6-1))</f>
        <v/>
      </c>
      <c r="P6" s="37">
        <f>IF($T6="","",INDEX(案件入力!$P$2:$P$301,$T6-1))</f>
        <v/>
      </c>
      <c r="Q6" s="35">
        <f>IF($T6="","",INDEX(案件入力!$Q$2:$Q$301,$T6-1))</f>
        <v/>
      </c>
      <c r="R6" s="35">
        <f>IF($T6="","",INDEX(案件入力!$R$2:$R$301,$T6-1))</f>
        <v/>
      </c>
      <c r="S6" s="35">
        <f>IF($T6="","",INDEX(案件入力!$S$2:$S$301,$T6-1))</f>
        <v/>
      </c>
      <c r="T6">
        <f t="array" ref="T6">IFERROR(SMALL(IF((案件入力!$A$2:$A$301&lt;&gt;"")*(案件入力!$R$2:$R$301&lt;&gt;"完了"),ROW(案件入力!$A$2:$A$301)),ROW()-1),"")</f>
        <v/>
      </c>
    </row>
    <row r="7">
      <c r="A7" s="35">
        <f>IF($T7="","",INDEX(案件入力!$A$2:$A$301,$T7-1))</f>
        <v/>
      </c>
      <c r="B7" s="36">
        <f>IF($T7="","",INDEX(案件入力!$B$2:$B$301,$T7-1))</f>
        <v/>
      </c>
      <c r="C7" s="35">
        <f>IF($T7="","",INDEX(案件入力!$C$2:$C$301,$T7-1))</f>
        <v/>
      </c>
      <c r="D7" s="37">
        <f>IF($T7="","",INDEX(案件入力!$D$2:$D$301,$T7-1))</f>
        <v/>
      </c>
      <c r="E7" s="35">
        <f>IF($T7="","",INDEX(案件入力!$E$2:$E$301,$T7-1))</f>
        <v/>
      </c>
      <c r="F7" s="35">
        <f>IF($T7="","",INDEX(案件入力!$F$2:$F$301,$T7-1))</f>
        <v/>
      </c>
      <c r="G7" s="35">
        <f>IF($T7="","",INDEX(案件入力!$G$2:$G$301,$T7-1))</f>
        <v/>
      </c>
      <c r="H7" s="49">
        <f>IF($T7="","",INDEX(案件入力!$H$2:$H$301,$T7-1))</f>
        <v/>
      </c>
      <c r="I7" s="49">
        <f>IF($T7="","",INDEX(案件入力!$I$2:$I$301,$T7-1))</f>
        <v/>
      </c>
      <c r="J7" s="39">
        <f>IF($T7="","",INDEX(案件入力!$J$2:$J$301,$T7-1))</f>
        <v/>
      </c>
      <c r="K7" s="36">
        <f>IF($T7="","",INDEX(案件入力!$K$2:$K$301,$T7-1))</f>
        <v/>
      </c>
      <c r="L7" s="49">
        <f>IF($T7="","",INDEX(案件入力!$L$2:$L$301,$T7-1))</f>
        <v/>
      </c>
      <c r="M7" s="49">
        <f>IF($T7="","",INDEX(案件入力!$M$2:$M$301,$T7-1))</f>
        <v/>
      </c>
      <c r="N7" s="39">
        <f>IF($T7="","",INDEX(案件入力!$N$2:$N$301,$T7-1))</f>
        <v/>
      </c>
      <c r="O7" s="36">
        <f>IF($T7="","",INDEX(案件入力!$O$2:$O$301,$T7-1))</f>
        <v/>
      </c>
      <c r="P7" s="37">
        <f>IF($T7="","",INDEX(案件入力!$P$2:$P$301,$T7-1))</f>
        <v/>
      </c>
      <c r="Q7" s="35">
        <f>IF($T7="","",INDEX(案件入力!$Q$2:$Q$301,$T7-1))</f>
        <v/>
      </c>
      <c r="R7" s="35">
        <f>IF($T7="","",INDEX(案件入力!$R$2:$R$301,$T7-1))</f>
        <v/>
      </c>
      <c r="S7" s="35">
        <f>IF($T7="","",INDEX(案件入力!$S$2:$S$301,$T7-1))</f>
        <v/>
      </c>
      <c r="T7">
        <f t="array" ref="T7">IFERROR(SMALL(IF((案件入力!$A$2:$A$301&lt;&gt;"")*(案件入力!$R$2:$R$301&lt;&gt;"完了"),ROW(案件入力!$A$2:$A$301)),ROW()-1),"")</f>
        <v/>
      </c>
    </row>
    <row r="8">
      <c r="A8" s="35">
        <f>IF($T8="","",INDEX(案件入力!$A$2:$A$301,$T8-1))</f>
        <v/>
      </c>
      <c r="B8" s="36">
        <f>IF($T8="","",INDEX(案件入力!$B$2:$B$301,$T8-1))</f>
        <v/>
      </c>
      <c r="C8" s="35">
        <f>IF($T8="","",INDEX(案件入力!$C$2:$C$301,$T8-1))</f>
        <v/>
      </c>
      <c r="D8" s="37">
        <f>IF($T8="","",INDEX(案件入力!$D$2:$D$301,$T8-1))</f>
        <v/>
      </c>
      <c r="E8" s="35">
        <f>IF($T8="","",INDEX(案件入力!$E$2:$E$301,$T8-1))</f>
        <v/>
      </c>
      <c r="F8" s="35">
        <f>IF($T8="","",INDEX(案件入力!$F$2:$F$301,$T8-1))</f>
        <v/>
      </c>
      <c r="G8" s="35">
        <f>IF($T8="","",INDEX(案件入力!$G$2:$G$301,$T8-1))</f>
        <v/>
      </c>
      <c r="H8" s="49">
        <f>IF($T8="","",INDEX(案件入力!$H$2:$H$301,$T8-1))</f>
        <v/>
      </c>
      <c r="I8" s="49">
        <f>IF($T8="","",INDEX(案件入力!$I$2:$I$301,$T8-1))</f>
        <v/>
      </c>
      <c r="J8" s="39">
        <f>IF($T8="","",INDEX(案件入力!$J$2:$J$301,$T8-1))</f>
        <v/>
      </c>
      <c r="K8" s="36">
        <f>IF($T8="","",INDEX(案件入力!$K$2:$K$301,$T8-1))</f>
        <v/>
      </c>
      <c r="L8" s="49">
        <f>IF($T8="","",INDEX(案件入力!$L$2:$L$301,$T8-1))</f>
        <v/>
      </c>
      <c r="M8" s="49">
        <f>IF($T8="","",INDEX(案件入力!$M$2:$M$301,$T8-1))</f>
        <v/>
      </c>
      <c r="N8" s="39">
        <f>IF($T8="","",INDEX(案件入力!$N$2:$N$301,$T8-1))</f>
        <v/>
      </c>
      <c r="O8" s="36">
        <f>IF($T8="","",INDEX(案件入力!$O$2:$O$301,$T8-1))</f>
        <v/>
      </c>
      <c r="P8" s="37">
        <f>IF($T8="","",INDEX(案件入力!$P$2:$P$301,$T8-1))</f>
        <v/>
      </c>
      <c r="Q8" s="35">
        <f>IF($T8="","",INDEX(案件入力!$Q$2:$Q$301,$T8-1))</f>
        <v/>
      </c>
      <c r="R8" s="35">
        <f>IF($T8="","",INDEX(案件入力!$R$2:$R$301,$T8-1))</f>
        <v/>
      </c>
      <c r="S8" s="35">
        <f>IF($T8="","",INDEX(案件入力!$S$2:$S$301,$T8-1))</f>
        <v/>
      </c>
      <c r="T8">
        <f t="array" ref="T8">IFERROR(SMALL(IF((案件入力!$A$2:$A$301&lt;&gt;"")*(案件入力!$R$2:$R$301&lt;&gt;"完了"),ROW(案件入力!$A$2:$A$301)),ROW()-1),"")</f>
        <v/>
      </c>
    </row>
    <row r="9">
      <c r="A9" s="35">
        <f>IF($T9="","",INDEX(案件入力!$A$2:$A$301,$T9-1))</f>
        <v/>
      </c>
      <c r="B9" s="36">
        <f>IF($T9="","",INDEX(案件入力!$B$2:$B$301,$T9-1))</f>
        <v/>
      </c>
      <c r="C9" s="35">
        <f>IF($T9="","",INDEX(案件入力!$C$2:$C$301,$T9-1))</f>
        <v/>
      </c>
      <c r="D9" s="37">
        <f>IF($T9="","",INDEX(案件入力!$D$2:$D$301,$T9-1))</f>
        <v/>
      </c>
      <c r="E9" s="35">
        <f>IF($T9="","",INDEX(案件入力!$E$2:$E$301,$T9-1))</f>
        <v/>
      </c>
      <c r="F9" s="35">
        <f>IF($T9="","",INDEX(案件入力!$F$2:$F$301,$T9-1))</f>
        <v/>
      </c>
      <c r="G9" s="35">
        <f>IF($T9="","",INDEX(案件入力!$G$2:$G$301,$T9-1))</f>
        <v/>
      </c>
      <c r="H9" s="49">
        <f>IF($T9="","",INDEX(案件入力!$H$2:$H$301,$T9-1))</f>
        <v/>
      </c>
      <c r="I9" s="49">
        <f>IF($T9="","",INDEX(案件入力!$I$2:$I$301,$T9-1))</f>
        <v/>
      </c>
      <c r="J9" s="39">
        <f>IF($T9="","",INDEX(案件入力!$J$2:$J$301,$T9-1))</f>
        <v/>
      </c>
      <c r="K9" s="36">
        <f>IF($T9="","",INDEX(案件入力!$K$2:$K$301,$T9-1))</f>
        <v/>
      </c>
      <c r="L9" s="49">
        <f>IF($T9="","",INDEX(案件入力!$L$2:$L$301,$T9-1))</f>
        <v/>
      </c>
      <c r="M9" s="49">
        <f>IF($T9="","",INDEX(案件入力!$M$2:$M$301,$T9-1))</f>
        <v/>
      </c>
      <c r="N9" s="39">
        <f>IF($T9="","",INDEX(案件入力!$N$2:$N$301,$T9-1))</f>
        <v/>
      </c>
      <c r="O9" s="36">
        <f>IF($T9="","",INDEX(案件入力!$O$2:$O$301,$T9-1))</f>
        <v/>
      </c>
      <c r="P9" s="37">
        <f>IF($T9="","",INDEX(案件入力!$P$2:$P$301,$T9-1))</f>
        <v/>
      </c>
      <c r="Q9" s="35">
        <f>IF($T9="","",INDEX(案件入力!$Q$2:$Q$301,$T9-1))</f>
        <v/>
      </c>
      <c r="R9" s="35">
        <f>IF($T9="","",INDEX(案件入力!$R$2:$R$301,$T9-1))</f>
        <v/>
      </c>
      <c r="S9" s="35">
        <f>IF($T9="","",INDEX(案件入力!$S$2:$S$301,$T9-1))</f>
        <v/>
      </c>
      <c r="T9">
        <f t="array" ref="T9">IFERROR(SMALL(IF((案件入力!$A$2:$A$301&lt;&gt;"")*(案件入力!$R$2:$R$301&lt;&gt;"完了"),ROW(案件入力!$A$2:$A$301)),ROW()-1),"")</f>
        <v/>
      </c>
    </row>
    <row r="10">
      <c r="A10" s="35">
        <f>IF($T10="","",INDEX(案件入力!$A$2:$A$301,$T10-1))</f>
        <v/>
      </c>
      <c r="B10" s="36">
        <f>IF($T10="","",INDEX(案件入力!$B$2:$B$301,$T10-1))</f>
        <v/>
      </c>
      <c r="C10" s="35">
        <f>IF($T10="","",INDEX(案件入力!$C$2:$C$301,$T10-1))</f>
        <v/>
      </c>
      <c r="D10" s="37">
        <f>IF($T10="","",INDEX(案件入力!$D$2:$D$301,$T10-1))</f>
        <v/>
      </c>
      <c r="E10" s="35">
        <f>IF($T10="","",INDEX(案件入力!$E$2:$E$301,$T10-1))</f>
        <v/>
      </c>
      <c r="F10" s="35">
        <f>IF($T10="","",INDEX(案件入力!$F$2:$F$301,$T10-1))</f>
        <v/>
      </c>
      <c r="G10" s="35">
        <f>IF($T10="","",INDEX(案件入力!$G$2:$G$301,$T10-1))</f>
        <v/>
      </c>
      <c r="H10" s="49">
        <f>IF($T10="","",INDEX(案件入力!$H$2:$H$301,$T10-1))</f>
        <v/>
      </c>
      <c r="I10" s="49">
        <f>IF($T10="","",INDEX(案件入力!$I$2:$I$301,$T10-1))</f>
        <v/>
      </c>
      <c r="J10" s="39">
        <f>IF($T10="","",INDEX(案件入力!$J$2:$J$301,$T10-1))</f>
        <v/>
      </c>
      <c r="K10" s="36">
        <f>IF($T10="","",INDEX(案件入力!$K$2:$K$301,$T10-1))</f>
        <v/>
      </c>
      <c r="L10" s="49">
        <f>IF($T10="","",INDEX(案件入力!$L$2:$L$301,$T10-1))</f>
        <v/>
      </c>
      <c r="M10" s="49">
        <f>IF($T10="","",INDEX(案件入力!$M$2:$M$301,$T10-1))</f>
        <v/>
      </c>
      <c r="N10" s="39">
        <f>IF($T10="","",INDEX(案件入力!$N$2:$N$301,$T10-1))</f>
        <v/>
      </c>
      <c r="O10" s="36">
        <f>IF($T10="","",INDEX(案件入力!$O$2:$O$301,$T10-1))</f>
        <v/>
      </c>
      <c r="P10" s="37">
        <f>IF($T10="","",INDEX(案件入力!$P$2:$P$301,$T10-1))</f>
        <v/>
      </c>
      <c r="Q10" s="35">
        <f>IF($T10="","",INDEX(案件入力!$Q$2:$Q$301,$T10-1))</f>
        <v/>
      </c>
      <c r="R10" s="35">
        <f>IF($T10="","",INDEX(案件入力!$R$2:$R$301,$T10-1))</f>
        <v/>
      </c>
      <c r="S10" s="35">
        <f>IF($T10="","",INDEX(案件入力!$S$2:$S$301,$T10-1))</f>
        <v/>
      </c>
      <c r="T10">
        <f t="array" ref="T10">IFERROR(SMALL(IF((案件入力!$A$2:$A$301&lt;&gt;"")*(案件入力!$R$2:$R$301&lt;&gt;"完了"),ROW(案件入力!$A$2:$A$301)),ROW()-1),"")</f>
        <v/>
      </c>
    </row>
    <row r="11">
      <c r="A11" s="35">
        <f>IF($T11="","",INDEX(案件入力!$A$2:$A$301,$T11-1))</f>
        <v/>
      </c>
      <c r="B11" s="36">
        <f>IF($T11="","",INDEX(案件入力!$B$2:$B$301,$T11-1))</f>
        <v/>
      </c>
      <c r="C11" s="35">
        <f>IF($T11="","",INDEX(案件入力!$C$2:$C$301,$T11-1))</f>
        <v/>
      </c>
      <c r="D11" s="37">
        <f>IF($T11="","",INDEX(案件入力!$D$2:$D$301,$T11-1))</f>
        <v/>
      </c>
      <c r="E11" s="35">
        <f>IF($T11="","",INDEX(案件入力!$E$2:$E$301,$T11-1))</f>
        <v/>
      </c>
      <c r="F11" s="35">
        <f>IF($T11="","",INDEX(案件入力!$F$2:$F$301,$T11-1))</f>
        <v/>
      </c>
      <c r="G11" s="35">
        <f>IF($T11="","",INDEX(案件入力!$G$2:$G$301,$T11-1))</f>
        <v/>
      </c>
      <c r="H11" s="49">
        <f>IF($T11="","",INDEX(案件入力!$H$2:$H$301,$T11-1))</f>
        <v/>
      </c>
      <c r="I11" s="49">
        <f>IF($T11="","",INDEX(案件入力!$I$2:$I$301,$T11-1))</f>
        <v/>
      </c>
      <c r="J11" s="39">
        <f>IF($T11="","",INDEX(案件入力!$J$2:$J$301,$T11-1))</f>
        <v/>
      </c>
      <c r="K11" s="36">
        <f>IF($T11="","",INDEX(案件入力!$K$2:$K$301,$T11-1))</f>
        <v/>
      </c>
      <c r="L11" s="49">
        <f>IF($T11="","",INDEX(案件入力!$L$2:$L$301,$T11-1))</f>
        <v/>
      </c>
      <c r="M11" s="49">
        <f>IF($T11="","",INDEX(案件入力!$M$2:$M$301,$T11-1))</f>
        <v/>
      </c>
      <c r="N11" s="39">
        <f>IF($T11="","",INDEX(案件入力!$N$2:$N$301,$T11-1))</f>
        <v/>
      </c>
      <c r="O11" s="36">
        <f>IF($T11="","",INDEX(案件入力!$O$2:$O$301,$T11-1))</f>
        <v/>
      </c>
      <c r="P11" s="37">
        <f>IF($T11="","",INDEX(案件入力!$P$2:$P$301,$T11-1))</f>
        <v/>
      </c>
      <c r="Q11" s="35">
        <f>IF($T11="","",INDEX(案件入力!$Q$2:$Q$301,$T11-1))</f>
        <v/>
      </c>
      <c r="R11" s="35">
        <f>IF($T11="","",INDEX(案件入力!$R$2:$R$301,$T11-1))</f>
        <v/>
      </c>
      <c r="S11" s="35">
        <f>IF($T11="","",INDEX(案件入力!$S$2:$S$301,$T11-1))</f>
        <v/>
      </c>
      <c r="T11">
        <f t="array" ref="T11">IFERROR(SMALL(IF((案件入力!$A$2:$A$301&lt;&gt;"")*(案件入力!$R$2:$R$301&lt;&gt;"完了"),ROW(案件入力!$A$2:$A$301)),ROW()-1),"")</f>
        <v/>
      </c>
    </row>
    <row r="12">
      <c r="A12" s="35">
        <f>IF($T12="","",INDEX(案件入力!$A$2:$A$301,$T12-1))</f>
        <v/>
      </c>
      <c r="B12" s="36">
        <f>IF($T12="","",INDEX(案件入力!$B$2:$B$301,$T12-1))</f>
        <v/>
      </c>
      <c r="C12" s="35">
        <f>IF($T12="","",INDEX(案件入力!$C$2:$C$301,$T12-1))</f>
        <v/>
      </c>
      <c r="D12" s="37">
        <f>IF($T12="","",INDEX(案件入力!$D$2:$D$301,$T12-1))</f>
        <v/>
      </c>
      <c r="E12" s="35">
        <f>IF($T12="","",INDEX(案件入力!$E$2:$E$301,$T12-1))</f>
        <v/>
      </c>
      <c r="F12" s="35">
        <f>IF($T12="","",INDEX(案件入力!$F$2:$F$301,$T12-1))</f>
        <v/>
      </c>
      <c r="G12" s="35">
        <f>IF($T12="","",INDEX(案件入力!$G$2:$G$301,$T12-1))</f>
        <v/>
      </c>
      <c r="H12" s="49">
        <f>IF($T12="","",INDEX(案件入力!$H$2:$H$301,$T12-1))</f>
        <v/>
      </c>
      <c r="I12" s="49">
        <f>IF($T12="","",INDEX(案件入力!$I$2:$I$301,$T12-1))</f>
        <v/>
      </c>
      <c r="J12" s="39">
        <f>IF($T12="","",INDEX(案件入力!$J$2:$J$301,$T12-1))</f>
        <v/>
      </c>
      <c r="K12" s="36">
        <f>IF($T12="","",INDEX(案件入力!$K$2:$K$301,$T12-1))</f>
        <v/>
      </c>
      <c r="L12" s="49">
        <f>IF($T12="","",INDEX(案件入力!$L$2:$L$301,$T12-1))</f>
        <v/>
      </c>
      <c r="M12" s="49">
        <f>IF($T12="","",INDEX(案件入力!$M$2:$M$301,$T12-1))</f>
        <v/>
      </c>
      <c r="N12" s="39">
        <f>IF($T12="","",INDEX(案件入力!$N$2:$N$301,$T12-1))</f>
        <v/>
      </c>
      <c r="O12" s="36">
        <f>IF($T12="","",INDEX(案件入力!$O$2:$O$301,$T12-1))</f>
        <v/>
      </c>
      <c r="P12" s="37">
        <f>IF($T12="","",INDEX(案件入力!$P$2:$P$301,$T12-1))</f>
        <v/>
      </c>
      <c r="Q12" s="35">
        <f>IF($T12="","",INDEX(案件入力!$Q$2:$Q$301,$T12-1))</f>
        <v/>
      </c>
      <c r="R12" s="35">
        <f>IF($T12="","",INDEX(案件入力!$R$2:$R$301,$T12-1))</f>
        <v/>
      </c>
      <c r="S12" s="35">
        <f>IF($T12="","",INDEX(案件入力!$S$2:$S$301,$T12-1))</f>
        <v/>
      </c>
      <c r="T12">
        <f t="array" ref="T12">IFERROR(SMALL(IF((案件入力!$A$2:$A$301&lt;&gt;"")*(案件入力!$R$2:$R$301&lt;&gt;"完了"),ROW(案件入力!$A$2:$A$301)),ROW()-1),"")</f>
        <v/>
      </c>
    </row>
    <row r="13">
      <c r="A13" s="35">
        <f>IF($T13="","",INDEX(案件入力!$A$2:$A$301,$T13-1))</f>
        <v/>
      </c>
      <c r="B13" s="36">
        <f>IF($T13="","",INDEX(案件入力!$B$2:$B$301,$T13-1))</f>
        <v/>
      </c>
      <c r="C13" s="35">
        <f>IF($T13="","",INDEX(案件入力!$C$2:$C$301,$T13-1))</f>
        <v/>
      </c>
      <c r="D13" s="37">
        <f>IF($T13="","",INDEX(案件入力!$D$2:$D$301,$T13-1))</f>
        <v/>
      </c>
      <c r="E13" s="35">
        <f>IF($T13="","",INDEX(案件入力!$E$2:$E$301,$T13-1))</f>
        <v/>
      </c>
      <c r="F13" s="35">
        <f>IF($T13="","",INDEX(案件入力!$F$2:$F$301,$T13-1))</f>
        <v/>
      </c>
      <c r="G13" s="35">
        <f>IF($T13="","",INDEX(案件入力!$G$2:$G$301,$T13-1))</f>
        <v/>
      </c>
      <c r="H13" s="49">
        <f>IF($T13="","",INDEX(案件入力!$H$2:$H$301,$T13-1))</f>
        <v/>
      </c>
      <c r="I13" s="49">
        <f>IF($T13="","",INDEX(案件入力!$I$2:$I$301,$T13-1))</f>
        <v/>
      </c>
      <c r="J13" s="39">
        <f>IF($T13="","",INDEX(案件入力!$J$2:$J$301,$T13-1))</f>
        <v/>
      </c>
      <c r="K13" s="36">
        <f>IF($T13="","",INDEX(案件入力!$K$2:$K$301,$T13-1))</f>
        <v/>
      </c>
      <c r="L13" s="49">
        <f>IF($T13="","",INDEX(案件入力!$L$2:$L$301,$T13-1))</f>
        <v/>
      </c>
      <c r="M13" s="49">
        <f>IF($T13="","",INDEX(案件入力!$M$2:$M$301,$T13-1))</f>
        <v/>
      </c>
      <c r="N13" s="39">
        <f>IF($T13="","",INDEX(案件入力!$N$2:$N$301,$T13-1))</f>
        <v/>
      </c>
      <c r="O13" s="36">
        <f>IF($T13="","",INDEX(案件入力!$O$2:$O$301,$T13-1))</f>
        <v/>
      </c>
      <c r="P13" s="37">
        <f>IF($T13="","",INDEX(案件入力!$P$2:$P$301,$T13-1))</f>
        <v/>
      </c>
      <c r="Q13" s="35">
        <f>IF($T13="","",INDEX(案件入力!$Q$2:$Q$301,$T13-1))</f>
        <v/>
      </c>
      <c r="R13" s="35">
        <f>IF($T13="","",INDEX(案件入力!$R$2:$R$301,$T13-1))</f>
        <v/>
      </c>
      <c r="S13" s="35">
        <f>IF($T13="","",INDEX(案件入力!$S$2:$S$301,$T13-1))</f>
        <v/>
      </c>
      <c r="T13">
        <f t="array" ref="T13">IFERROR(SMALL(IF((案件入力!$A$2:$A$301&lt;&gt;"")*(案件入力!$R$2:$R$301&lt;&gt;"完了"),ROW(案件入力!$A$2:$A$301)),ROW()-1),"")</f>
        <v/>
      </c>
    </row>
    <row r="14">
      <c r="A14" s="35">
        <f>IF($T14="","",INDEX(案件入力!$A$2:$A$301,$T14-1))</f>
        <v/>
      </c>
      <c r="B14" s="36">
        <f>IF($T14="","",INDEX(案件入力!$B$2:$B$301,$T14-1))</f>
        <v/>
      </c>
      <c r="C14" s="35">
        <f>IF($T14="","",INDEX(案件入力!$C$2:$C$301,$T14-1))</f>
        <v/>
      </c>
      <c r="D14" s="37">
        <f>IF($T14="","",INDEX(案件入力!$D$2:$D$301,$T14-1))</f>
        <v/>
      </c>
      <c r="E14" s="35">
        <f>IF($T14="","",INDEX(案件入力!$E$2:$E$301,$T14-1))</f>
        <v/>
      </c>
      <c r="F14" s="35">
        <f>IF($T14="","",INDEX(案件入力!$F$2:$F$301,$T14-1))</f>
        <v/>
      </c>
      <c r="G14" s="35">
        <f>IF($T14="","",INDEX(案件入力!$G$2:$G$301,$T14-1))</f>
        <v/>
      </c>
      <c r="H14" s="49">
        <f>IF($T14="","",INDEX(案件入力!$H$2:$H$301,$T14-1))</f>
        <v/>
      </c>
      <c r="I14" s="49">
        <f>IF($T14="","",INDEX(案件入力!$I$2:$I$301,$T14-1))</f>
        <v/>
      </c>
      <c r="J14" s="39">
        <f>IF($T14="","",INDEX(案件入力!$J$2:$J$301,$T14-1))</f>
        <v/>
      </c>
      <c r="K14" s="36">
        <f>IF($T14="","",INDEX(案件入力!$K$2:$K$301,$T14-1))</f>
        <v/>
      </c>
      <c r="L14" s="49">
        <f>IF($T14="","",INDEX(案件入力!$L$2:$L$301,$T14-1))</f>
        <v/>
      </c>
      <c r="M14" s="49">
        <f>IF($T14="","",INDEX(案件入力!$M$2:$M$301,$T14-1))</f>
        <v/>
      </c>
      <c r="N14" s="39">
        <f>IF($T14="","",INDEX(案件入力!$N$2:$N$301,$T14-1))</f>
        <v/>
      </c>
      <c r="O14" s="36">
        <f>IF($T14="","",INDEX(案件入力!$O$2:$O$301,$T14-1))</f>
        <v/>
      </c>
      <c r="P14" s="37">
        <f>IF($T14="","",INDEX(案件入力!$P$2:$P$301,$T14-1))</f>
        <v/>
      </c>
      <c r="Q14" s="35">
        <f>IF($T14="","",INDEX(案件入力!$Q$2:$Q$301,$T14-1))</f>
        <v/>
      </c>
      <c r="R14" s="35">
        <f>IF($T14="","",INDEX(案件入力!$R$2:$R$301,$T14-1))</f>
        <v/>
      </c>
      <c r="S14" s="35">
        <f>IF($T14="","",INDEX(案件入力!$S$2:$S$301,$T14-1))</f>
        <v/>
      </c>
      <c r="T14">
        <f t="array" ref="T14">IFERROR(SMALL(IF((案件入力!$A$2:$A$301&lt;&gt;"")*(案件入力!$R$2:$R$301&lt;&gt;"完了"),ROW(案件入力!$A$2:$A$301)),ROW()-1),"")</f>
        <v/>
      </c>
    </row>
    <row r="15">
      <c r="A15" s="35">
        <f>IF($T15="","",INDEX(案件入力!$A$2:$A$301,$T15-1))</f>
        <v/>
      </c>
      <c r="B15" s="36">
        <f>IF($T15="","",INDEX(案件入力!$B$2:$B$301,$T15-1))</f>
        <v/>
      </c>
      <c r="C15" s="35">
        <f>IF($T15="","",INDEX(案件入力!$C$2:$C$301,$T15-1))</f>
        <v/>
      </c>
      <c r="D15" s="37">
        <f>IF($T15="","",INDEX(案件入力!$D$2:$D$301,$T15-1))</f>
        <v/>
      </c>
      <c r="E15" s="35">
        <f>IF($T15="","",INDEX(案件入力!$E$2:$E$301,$T15-1))</f>
        <v/>
      </c>
      <c r="F15" s="35">
        <f>IF($T15="","",INDEX(案件入力!$F$2:$F$301,$T15-1))</f>
        <v/>
      </c>
      <c r="G15" s="35">
        <f>IF($T15="","",INDEX(案件入力!$G$2:$G$301,$T15-1))</f>
        <v/>
      </c>
      <c r="H15" s="49">
        <f>IF($T15="","",INDEX(案件入力!$H$2:$H$301,$T15-1))</f>
        <v/>
      </c>
      <c r="I15" s="49">
        <f>IF($T15="","",INDEX(案件入力!$I$2:$I$301,$T15-1))</f>
        <v/>
      </c>
      <c r="J15" s="39">
        <f>IF($T15="","",INDEX(案件入力!$J$2:$J$301,$T15-1))</f>
        <v/>
      </c>
      <c r="K15" s="36">
        <f>IF($T15="","",INDEX(案件入力!$K$2:$K$301,$T15-1))</f>
        <v/>
      </c>
      <c r="L15" s="49">
        <f>IF($T15="","",INDEX(案件入力!$L$2:$L$301,$T15-1))</f>
        <v/>
      </c>
      <c r="M15" s="49">
        <f>IF($T15="","",INDEX(案件入力!$M$2:$M$301,$T15-1))</f>
        <v/>
      </c>
      <c r="N15" s="39">
        <f>IF($T15="","",INDEX(案件入力!$N$2:$N$301,$T15-1))</f>
        <v/>
      </c>
      <c r="O15" s="36">
        <f>IF($T15="","",INDEX(案件入力!$O$2:$O$301,$T15-1))</f>
        <v/>
      </c>
      <c r="P15" s="37">
        <f>IF($T15="","",INDEX(案件入力!$P$2:$P$301,$T15-1))</f>
        <v/>
      </c>
      <c r="Q15" s="35">
        <f>IF($T15="","",INDEX(案件入力!$Q$2:$Q$301,$T15-1))</f>
        <v/>
      </c>
      <c r="R15" s="35">
        <f>IF($T15="","",INDEX(案件入力!$R$2:$R$301,$T15-1))</f>
        <v/>
      </c>
      <c r="S15" s="35">
        <f>IF($T15="","",INDEX(案件入力!$S$2:$S$301,$T15-1))</f>
        <v/>
      </c>
      <c r="T15">
        <f t="array" ref="T15">IFERROR(SMALL(IF((案件入力!$A$2:$A$301&lt;&gt;"")*(案件入力!$R$2:$R$301&lt;&gt;"完了"),ROW(案件入力!$A$2:$A$301)),ROW()-1),"")</f>
        <v/>
      </c>
    </row>
    <row r="16">
      <c r="A16" s="35">
        <f>IF($T16="","",INDEX(案件入力!$A$2:$A$301,$T16-1))</f>
        <v/>
      </c>
      <c r="B16" s="36">
        <f>IF($T16="","",INDEX(案件入力!$B$2:$B$301,$T16-1))</f>
        <v/>
      </c>
      <c r="C16" s="35">
        <f>IF($T16="","",INDEX(案件入力!$C$2:$C$301,$T16-1))</f>
        <v/>
      </c>
      <c r="D16" s="37">
        <f>IF($T16="","",INDEX(案件入力!$D$2:$D$301,$T16-1))</f>
        <v/>
      </c>
      <c r="E16" s="35">
        <f>IF($T16="","",INDEX(案件入力!$E$2:$E$301,$T16-1))</f>
        <v/>
      </c>
      <c r="F16" s="35">
        <f>IF($T16="","",INDEX(案件入力!$F$2:$F$301,$T16-1))</f>
        <v/>
      </c>
      <c r="G16" s="35">
        <f>IF($T16="","",INDEX(案件入力!$G$2:$G$301,$T16-1))</f>
        <v/>
      </c>
      <c r="H16" s="49">
        <f>IF($T16="","",INDEX(案件入力!$H$2:$H$301,$T16-1))</f>
        <v/>
      </c>
      <c r="I16" s="49">
        <f>IF($T16="","",INDEX(案件入力!$I$2:$I$301,$T16-1))</f>
        <v/>
      </c>
      <c r="J16" s="39">
        <f>IF($T16="","",INDEX(案件入力!$J$2:$J$301,$T16-1))</f>
        <v/>
      </c>
      <c r="K16" s="36">
        <f>IF($T16="","",INDEX(案件入力!$K$2:$K$301,$T16-1))</f>
        <v/>
      </c>
      <c r="L16" s="49">
        <f>IF($T16="","",INDEX(案件入力!$L$2:$L$301,$T16-1))</f>
        <v/>
      </c>
      <c r="M16" s="49">
        <f>IF($T16="","",INDEX(案件入力!$M$2:$M$301,$T16-1))</f>
        <v/>
      </c>
      <c r="N16" s="39">
        <f>IF($T16="","",INDEX(案件入力!$N$2:$N$301,$T16-1))</f>
        <v/>
      </c>
      <c r="O16" s="36">
        <f>IF($T16="","",INDEX(案件入力!$O$2:$O$301,$T16-1))</f>
        <v/>
      </c>
      <c r="P16" s="37">
        <f>IF($T16="","",INDEX(案件入力!$P$2:$P$301,$T16-1))</f>
        <v/>
      </c>
      <c r="Q16" s="35">
        <f>IF($T16="","",INDEX(案件入力!$Q$2:$Q$301,$T16-1))</f>
        <v/>
      </c>
      <c r="R16" s="35">
        <f>IF($T16="","",INDEX(案件入力!$R$2:$R$301,$T16-1))</f>
        <v/>
      </c>
      <c r="S16" s="35">
        <f>IF($T16="","",INDEX(案件入力!$S$2:$S$301,$T16-1))</f>
        <v/>
      </c>
      <c r="T16">
        <f t="array" ref="T16">IFERROR(SMALL(IF((案件入力!$A$2:$A$301&lt;&gt;"")*(案件入力!$R$2:$R$301&lt;&gt;"完了"),ROW(案件入力!$A$2:$A$301)),ROW()-1),"")</f>
        <v/>
      </c>
    </row>
    <row r="17">
      <c r="A17" s="35">
        <f>IF($T17="","",INDEX(案件入力!$A$2:$A$301,$T17-1))</f>
        <v/>
      </c>
      <c r="B17" s="36">
        <f>IF($T17="","",INDEX(案件入力!$B$2:$B$301,$T17-1))</f>
        <v/>
      </c>
      <c r="C17" s="35">
        <f>IF($T17="","",INDEX(案件入力!$C$2:$C$301,$T17-1))</f>
        <v/>
      </c>
      <c r="D17" s="37">
        <f>IF($T17="","",INDEX(案件入力!$D$2:$D$301,$T17-1))</f>
        <v/>
      </c>
      <c r="E17" s="35">
        <f>IF($T17="","",INDEX(案件入力!$E$2:$E$301,$T17-1))</f>
        <v/>
      </c>
      <c r="F17" s="35">
        <f>IF($T17="","",INDEX(案件入力!$F$2:$F$301,$T17-1))</f>
        <v/>
      </c>
      <c r="G17" s="35">
        <f>IF($T17="","",INDEX(案件入力!$G$2:$G$301,$T17-1))</f>
        <v/>
      </c>
      <c r="H17" s="49">
        <f>IF($T17="","",INDEX(案件入力!$H$2:$H$301,$T17-1))</f>
        <v/>
      </c>
      <c r="I17" s="49">
        <f>IF($T17="","",INDEX(案件入力!$I$2:$I$301,$T17-1))</f>
        <v/>
      </c>
      <c r="J17" s="39">
        <f>IF($T17="","",INDEX(案件入力!$J$2:$J$301,$T17-1))</f>
        <v/>
      </c>
      <c r="K17" s="36">
        <f>IF($T17="","",INDEX(案件入力!$K$2:$K$301,$T17-1))</f>
        <v/>
      </c>
      <c r="L17" s="49">
        <f>IF($T17="","",INDEX(案件入力!$L$2:$L$301,$T17-1))</f>
        <v/>
      </c>
      <c r="M17" s="49">
        <f>IF($T17="","",INDEX(案件入力!$M$2:$M$301,$T17-1))</f>
        <v/>
      </c>
      <c r="N17" s="39">
        <f>IF($T17="","",INDEX(案件入力!$N$2:$N$301,$T17-1))</f>
        <v/>
      </c>
      <c r="O17" s="36">
        <f>IF($T17="","",INDEX(案件入力!$O$2:$O$301,$T17-1))</f>
        <v/>
      </c>
      <c r="P17" s="37">
        <f>IF($T17="","",INDEX(案件入力!$P$2:$P$301,$T17-1))</f>
        <v/>
      </c>
      <c r="Q17" s="35">
        <f>IF($T17="","",INDEX(案件入力!$Q$2:$Q$301,$T17-1))</f>
        <v/>
      </c>
      <c r="R17" s="35">
        <f>IF($T17="","",INDEX(案件入力!$R$2:$R$301,$T17-1))</f>
        <v/>
      </c>
      <c r="S17" s="35">
        <f>IF($T17="","",INDEX(案件入力!$S$2:$S$301,$T17-1))</f>
        <v/>
      </c>
      <c r="T17">
        <f t="array" ref="T17">IFERROR(SMALL(IF((案件入力!$A$2:$A$301&lt;&gt;"")*(案件入力!$R$2:$R$301&lt;&gt;"完了"),ROW(案件入力!$A$2:$A$301)),ROW()-1),"")</f>
        <v/>
      </c>
    </row>
    <row r="18">
      <c r="A18" s="35">
        <f>IF($T18="","",INDEX(案件入力!$A$2:$A$301,$T18-1))</f>
        <v/>
      </c>
      <c r="B18" s="36">
        <f>IF($T18="","",INDEX(案件入力!$B$2:$B$301,$T18-1))</f>
        <v/>
      </c>
      <c r="C18" s="35">
        <f>IF($T18="","",INDEX(案件入力!$C$2:$C$301,$T18-1))</f>
        <v/>
      </c>
      <c r="D18" s="37">
        <f>IF($T18="","",INDEX(案件入力!$D$2:$D$301,$T18-1))</f>
        <v/>
      </c>
      <c r="E18" s="35">
        <f>IF($T18="","",INDEX(案件入力!$E$2:$E$301,$T18-1))</f>
        <v/>
      </c>
      <c r="F18" s="35">
        <f>IF($T18="","",INDEX(案件入力!$F$2:$F$301,$T18-1))</f>
        <v/>
      </c>
      <c r="G18" s="35">
        <f>IF($T18="","",INDEX(案件入力!$G$2:$G$301,$T18-1))</f>
        <v/>
      </c>
      <c r="H18" s="49">
        <f>IF($T18="","",INDEX(案件入力!$H$2:$H$301,$T18-1))</f>
        <v/>
      </c>
      <c r="I18" s="49">
        <f>IF($T18="","",INDEX(案件入力!$I$2:$I$301,$T18-1))</f>
        <v/>
      </c>
      <c r="J18" s="39">
        <f>IF($T18="","",INDEX(案件入力!$J$2:$J$301,$T18-1))</f>
        <v/>
      </c>
      <c r="K18" s="36">
        <f>IF($T18="","",INDEX(案件入力!$K$2:$K$301,$T18-1))</f>
        <v/>
      </c>
      <c r="L18" s="49">
        <f>IF($T18="","",INDEX(案件入力!$L$2:$L$301,$T18-1))</f>
        <v/>
      </c>
      <c r="M18" s="49">
        <f>IF($T18="","",INDEX(案件入力!$M$2:$M$301,$T18-1))</f>
        <v/>
      </c>
      <c r="N18" s="39">
        <f>IF($T18="","",INDEX(案件入力!$N$2:$N$301,$T18-1))</f>
        <v/>
      </c>
      <c r="O18" s="36">
        <f>IF($T18="","",INDEX(案件入力!$O$2:$O$301,$T18-1))</f>
        <v/>
      </c>
      <c r="P18" s="37">
        <f>IF($T18="","",INDEX(案件入力!$P$2:$P$301,$T18-1))</f>
        <v/>
      </c>
      <c r="Q18" s="35">
        <f>IF($T18="","",INDEX(案件入力!$Q$2:$Q$301,$T18-1))</f>
        <v/>
      </c>
      <c r="R18" s="35">
        <f>IF($T18="","",INDEX(案件入力!$R$2:$R$301,$T18-1))</f>
        <v/>
      </c>
      <c r="S18" s="35">
        <f>IF($T18="","",INDEX(案件入力!$S$2:$S$301,$T18-1))</f>
        <v/>
      </c>
      <c r="T18">
        <f t="array" ref="T18">IFERROR(SMALL(IF((案件入力!$A$2:$A$301&lt;&gt;"")*(案件入力!$R$2:$R$301&lt;&gt;"完了"),ROW(案件入力!$A$2:$A$301)),ROW()-1),"")</f>
        <v/>
      </c>
    </row>
    <row r="19">
      <c r="A19" s="35">
        <f>IF($T19="","",INDEX(案件入力!$A$2:$A$301,$T19-1))</f>
        <v/>
      </c>
      <c r="B19" s="36">
        <f>IF($T19="","",INDEX(案件入力!$B$2:$B$301,$T19-1))</f>
        <v/>
      </c>
      <c r="C19" s="35">
        <f>IF($T19="","",INDEX(案件入力!$C$2:$C$301,$T19-1))</f>
        <v/>
      </c>
      <c r="D19" s="37">
        <f>IF($T19="","",INDEX(案件入力!$D$2:$D$301,$T19-1))</f>
        <v/>
      </c>
      <c r="E19" s="35">
        <f>IF($T19="","",INDEX(案件入力!$E$2:$E$301,$T19-1))</f>
        <v/>
      </c>
      <c r="F19" s="35">
        <f>IF($T19="","",INDEX(案件入力!$F$2:$F$301,$T19-1))</f>
        <v/>
      </c>
      <c r="G19" s="35">
        <f>IF($T19="","",INDEX(案件入力!$G$2:$G$301,$T19-1))</f>
        <v/>
      </c>
      <c r="H19" s="49">
        <f>IF($T19="","",INDEX(案件入力!$H$2:$H$301,$T19-1))</f>
        <v/>
      </c>
      <c r="I19" s="49">
        <f>IF($T19="","",INDEX(案件入力!$I$2:$I$301,$T19-1))</f>
        <v/>
      </c>
      <c r="J19" s="39">
        <f>IF($T19="","",INDEX(案件入力!$J$2:$J$301,$T19-1))</f>
        <v/>
      </c>
      <c r="K19" s="36">
        <f>IF($T19="","",INDEX(案件入力!$K$2:$K$301,$T19-1))</f>
        <v/>
      </c>
      <c r="L19" s="49">
        <f>IF($T19="","",INDEX(案件入力!$L$2:$L$301,$T19-1))</f>
        <v/>
      </c>
      <c r="M19" s="49">
        <f>IF($T19="","",INDEX(案件入力!$M$2:$M$301,$T19-1))</f>
        <v/>
      </c>
      <c r="N19" s="39">
        <f>IF($T19="","",INDEX(案件入力!$N$2:$N$301,$T19-1))</f>
        <v/>
      </c>
      <c r="O19" s="36">
        <f>IF($T19="","",INDEX(案件入力!$O$2:$O$301,$T19-1))</f>
        <v/>
      </c>
      <c r="P19" s="37">
        <f>IF($T19="","",INDEX(案件入力!$P$2:$P$301,$T19-1))</f>
        <v/>
      </c>
      <c r="Q19" s="35">
        <f>IF($T19="","",INDEX(案件入力!$Q$2:$Q$301,$T19-1))</f>
        <v/>
      </c>
      <c r="R19" s="35">
        <f>IF($T19="","",INDEX(案件入力!$R$2:$R$301,$T19-1))</f>
        <v/>
      </c>
      <c r="S19" s="35">
        <f>IF($T19="","",INDEX(案件入力!$S$2:$S$301,$T19-1))</f>
        <v/>
      </c>
      <c r="T19">
        <f t="array" ref="T19">IFERROR(SMALL(IF((案件入力!$A$2:$A$301&lt;&gt;"")*(案件入力!$R$2:$R$301&lt;&gt;"完了"),ROW(案件入力!$A$2:$A$301)),ROW()-1),"")</f>
        <v/>
      </c>
    </row>
    <row r="20">
      <c r="A20" s="35">
        <f>IF($T20="","",INDEX(案件入力!$A$2:$A$301,$T20-1))</f>
        <v/>
      </c>
      <c r="B20" s="36">
        <f>IF($T20="","",INDEX(案件入力!$B$2:$B$301,$T20-1))</f>
        <v/>
      </c>
      <c r="C20" s="35">
        <f>IF($T20="","",INDEX(案件入力!$C$2:$C$301,$T20-1))</f>
        <v/>
      </c>
      <c r="D20" s="37">
        <f>IF($T20="","",INDEX(案件入力!$D$2:$D$301,$T20-1))</f>
        <v/>
      </c>
      <c r="E20" s="35">
        <f>IF($T20="","",INDEX(案件入力!$E$2:$E$301,$T20-1))</f>
        <v/>
      </c>
      <c r="F20" s="35">
        <f>IF($T20="","",INDEX(案件入力!$F$2:$F$301,$T20-1))</f>
        <v/>
      </c>
      <c r="G20" s="35">
        <f>IF($T20="","",INDEX(案件入力!$G$2:$G$301,$T20-1))</f>
        <v/>
      </c>
      <c r="H20" s="49">
        <f>IF($T20="","",INDEX(案件入力!$H$2:$H$301,$T20-1))</f>
        <v/>
      </c>
      <c r="I20" s="49">
        <f>IF($T20="","",INDEX(案件入力!$I$2:$I$301,$T20-1))</f>
        <v/>
      </c>
      <c r="J20" s="39">
        <f>IF($T20="","",INDEX(案件入力!$J$2:$J$301,$T20-1))</f>
        <v/>
      </c>
      <c r="K20" s="36">
        <f>IF($T20="","",INDEX(案件入力!$K$2:$K$301,$T20-1))</f>
        <v/>
      </c>
      <c r="L20" s="49">
        <f>IF($T20="","",INDEX(案件入力!$L$2:$L$301,$T20-1))</f>
        <v/>
      </c>
      <c r="M20" s="49">
        <f>IF($T20="","",INDEX(案件入力!$M$2:$M$301,$T20-1))</f>
        <v/>
      </c>
      <c r="N20" s="39">
        <f>IF($T20="","",INDEX(案件入力!$N$2:$N$301,$T20-1))</f>
        <v/>
      </c>
      <c r="O20" s="36">
        <f>IF($T20="","",INDEX(案件入力!$O$2:$O$301,$T20-1))</f>
        <v/>
      </c>
      <c r="P20" s="37">
        <f>IF($T20="","",INDEX(案件入力!$P$2:$P$301,$T20-1))</f>
        <v/>
      </c>
      <c r="Q20" s="35">
        <f>IF($T20="","",INDEX(案件入力!$Q$2:$Q$301,$T20-1))</f>
        <v/>
      </c>
      <c r="R20" s="35">
        <f>IF($T20="","",INDEX(案件入力!$R$2:$R$301,$T20-1))</f>
        <v/>
      </c>
      <c r="S20" s="35">
        <f>IF($T20="","",INDEX(案件入力!$S$2:$S$301,$T20-1))</f>
        <v/>
      </c>
      <c r="T20">
        <f t="array" ref="T20">IFERROR(SMALL(IF((案件入力!$A$2:$A$301&lt;&gt;"")*(案件入力!$R$2:$R$301&lt;&gt;"完了"),ROW(案件入力!$A$2:$A$301)),ROW()-1),"")</f>
        <v/>
      </c>
    </row>
    <row r="21">
      <c r="A21" s="35">
        <f>IF($T21="","",INDEX(案件入力!$A$2:$A$301,$T21-1))</f>
        <v/>
      </c>
      <c r="B21" s="36">
        <f>IF($T21="","",INDEX(案件入力!$B$2:$B$301,$T21-1))</f>
        <v/>
      </c>
      <c r="C21" s="35">
        <f>IF($T21="","",INDEX(案件入力!$C$2:$C$301,$T21-1))</f>
        <v/>
      </c>
      <c r="D21" s="37">
        <f>IF($T21="","",INDEX(案件入力!$D$2:$D$301,$T21-1))</f>
        <v/>
      </c>
      <c r="E21" s="35">
        <f>IF($T21="","",INDEX(案件入力!$E$2:$E$301,$T21-1))</f>
        <v/>
      </c>
      <c r="F21" s="35">
        <f>IF($T21="","",INDEX(案件入力!$F$2:$F$301,$T21-1))</f>
        <v/>
      </c>
      <c r="G21" s="35">
        <f>IF($T21="","",INDEX(案件入力!$G$2:$G$301,$T21-1))</f>
        <v/>
      </c>
      <c r="H21" s="49">
        <f>IF($T21="","",INDEX(案件入力!$H$2:$H$301,$T21-1))</f>
        <v/>
      </c>
      <c r="I21" s="49">
        <f>IF($T21="","",INDEX(案件入力!$I$2:$I$301,$T21-1))</f>
        <v/>
      </c>
      <c r="J21" s="39">
        <f>IF($T21="","",INDEX(案件入力!$J$2:$J$301,$T21-1))</f>
        <v/>
      </c>
      <c r="K21" s="36">
        <f>IF($T21="","",INDEX(案件入力!$K$2:$K$301,$T21-1))</f>
        <v/>
      </c>
      <c r="L21" s="49">
        <f>IF($T21="","",INDEX(案件入力!$L$2:$L$301,$T21-1))</f>
        <v/>
      </c>
      <c r="M21" s="49">
        <f>IF($T21="","",INDEX(案件入力!$M$2:$M$301,$T21-1))</f>
        <v/>
      </c>
      <c r="N21" s="39">
        <f>IF($T21="","",INDEX(案件入力!$N$2:$N$301,$T21-1))</f>
        <v/>
      </c>
      <c r="O21" s="36">
        <f>IF($T21="","",INDEX(案件入力!$O$2:$O$301,$T21-1))</f>
        <v/>
      </c>
      <c r="P21" s="37">
        <f>IF($T21="","",INDEX(案件入力!$P$2:$P$301,$T21-1))</f>
        <v/>
      </c>
      <c r="Q21" s="35">
        <f>IF($T21="","",INDEX(案件入力!$Q$2:$Q$301,$T21-1))</f>
        <v/>
      </c>
      <c r="R21" s="35">
        <f>IF($T21="","",INDEX(案件入力!$R$2:$R$301,$T21-1))</f>
        <v/>
      </c>
      <c r="S21" s="35">
        <f>IF($T21="","",INDEX(案件入力!$S$2:$S$301,$T21-1))</f>
        <v/>
      </c>
      <c r="T21">
        <f t="array" ref="T21">IFERROR(SMALL(IF((案件入力!$A$2:$A$301&lt;&gt;"")*(案件入力!$R$2:$R$301&lt;&gt;"完了"),ROW(案件入力!$A$2:$A$301)),ROW()-1),"")</f>
        <v/>
      </c>
    </row>
    <row r="22">
      <c r="A22" s="35">
        <f>IF($T22="","",INDEX(案件入力!$A$2:$A$301,$T22-1))</f>
        <v/>
      </c>
      <c r="B22" s="36">
        <f>IF($T22="","",INDEX(案件入力!$B$2:$B$301,$T22-1))</f>
        <v/>
      </c>
      <c r="C22" s="35">
        <f>IF($T22="","",INDEX(案件入力!$C$2:$C$301,$T22-1))</f>
        <v/>
      </c>
      <c r="D22" s="37">
        <f>IF($T22="","",INDEX(案件入力!$D$2:$D$301,$T22-1))</f>
        <v/>
      </c>
      <c r="E22" s="35">
        <f>IF($T22="","",INDEX(案件入力!$E$2:$E$301,$T22-1))</f>
        <v/>
      </c>
      <c r="F22" s="35">
        <f>IF($T22="","",INDEX(案件入力!$F$2:$F$301,$T22-1))</f>
        <v/>
      </c>
      <c r="G22" s="35">
        <f>IF($T22="","",INDEX(案件入力!$G$2:$G$301,$T22-1))</f>
        <v/>
      </c>
      <c r="H22" s="49">
        <f>IF($T22="","",INDEX(案件入力!$H$2:$H$301,$T22-1))</f>
        <v/>
      </c>
      <c r="I22" s="49">
        <f>IF($T22="","",INDEX(案件入力!$I$2:$I$301,$T22-1))</f>
        <v/>
      </c>
      <c r="J22" s="39">
        <f>IF($T22="","",INDEX(案件入力!$J$2:$J$301,$T22-1))</f>
        <v/>
      </c>
      <c r="K22" s="36">
        <f>IF($T22="","",INDEX(案件入力!$K$2:$K$301,$T22-1))</f>
        <v/>
      </c>
      <c r="L22" s="49">
        <f>IF($T22="","",INDEX(案件入力!$L$2:$L$301,$T22-1))</f>
        <v/>
      </c>
      <c r="M22" s="49">
        <f>IF($T22="","",INDEX(案件入力!$M$2:$M$301,$T22-1))</f>
        <v/>
      </c>
      <c r="N22" s="39">
        <f>IF($T22="","",INDEX(案件入力!$N$2:$N$301,$T22-1))</f>
        <v/>
      </c>
      <c r="O22" s="36">
        <f>IF($T22="","",INDEX(案件入力!$O$2:$O$301,$T22-1))</f>
        <v/>
      </c>
      <c r="P22" s="37">
        <f>IF($T22="","",INDEX(案件入力!$P$2:$P$301,$T22-1))</f>
        <v/>
      </c>
      <c r="Q22" s="35">
        <f>IF($T22="","",INDEX(案件入力!$Q$2:$Q$301,$T22-1))</f>
        <v/>
      </c>
      <c r="R22" s="35">
        <f>IF($T22="","",INDEX(案件入力!$R$2:$R$301,$T22-1))</f>
        <v/>
      </c>
      <c r="S22" s="35">
        <f>IF($T22="","",INDEX(案件入力!$S$2:$S$301,$T22-1))</f>
        <v/>
      </c>
      <c r="T22">
        <f t="array" ref="T22">IFERROR(SMALL(IF((案件入力!$A$2:$A$301&lt;&gt;"")*(案件入力!$R$2:$R$301&lt;&gt;"完了"),ROW(案件入力!$A$2:$A$301)),ROW()-1),"")</f>
        <v/>
      </c>
    </row>
    <row r="23">
      <c r="A23" s="35">
        <f>IF($T23="","",INDEX(案件入力!$A$2:$A$301,$T23-1))</f>
        <v/>
      </c>
      <c r="B23" s="36">
        <f>IF($T23="","",INDEX(案件入力!$B$2:$B$301,$T23-1))</f>
        <v/>
      </c>
      <c r="C23" s="35">
        <f>IF($T23="","",INDEX(案件入力!$C$2:$C$301,$T23-1))</f>
        <v/>
      </c>
      <c r="D23" s="37">
        <f>IF($T23="","",INDEX(案件入力!$D$2:$D$301,$T23-1))</f>
        <v/>
      </c>
      <c r="E23" s="35">
        <f>IF($T23="","",INDEX(案件入力!$E$2:$E$301,$T23-1))</f>
        <v/>
      </c>
      <c r="F23" s="35">
        <f>IF($T23="","",INDEX(案件入力!$F$2:$F$301,$T23-1))</f>
        <v/>
      </c>
      <c r="G23" s="35">
        <f>IF($T23="","",INDEX(案件入力!$G$2:$G$301,$T23-1))</f>
        <v/>
      </c>
      <c r="H23" s="49">
        <f>IF($T23="","",INDEX(案件入力!$H$2:$H$301,$T23-1))</f>
        <v/>
      </c>
      <c r="I23" s="49">
        <f>IF($T23="","",INDEX(案件入力!$I$2:$I$301,$T23-1))</f>
        <v/>
      </c>
      <c r="J23" s="39">
        <f>IF($T23="","",INDEX(案件入力!$J$2:$J$301,$T23-1))</f>
        <v/>
      </c>
      <c r="K23" s="36">
        <f>IF($T23="","",INDEX(案件入力!$K$2:$K$301,$T23-1))</f>
        <v/>
      </c>
      <c r="L23" s="49">
        <f>IF($T23="","",INDEX(案件入力!$L$2:$L$301,$T23-1))</f>
        <v/>
      </c>
      <c r="M23" s="49">
        <f>IF($T23="","",INDEX(案件入力!$M$2:$M$301,$T23-1))</f>
        <v/>
      </c>
      <c r="N23" s="39">
        <f>IF($T23="","",INDEX(案件入力!$N$2:$N$301,$T23-1))</f>
        <v/>
      </c>
      <c r="O23" s="36">
        <f>IF($T23="","",INDEX(案件入力!$O$2:$O$301,$T23-1))</f>
        <v/>
      </c>
      <c r="P23" s="37">
        <f>IF($T23="","",INDEX(案件入力!$P$2:$P$301,$T23-1))</f>
        <v/>
      </c>
      <c r="Q23" s="35">
        <f>IF($T23="","",INDEX(案件入力!$Q$2:$Q$301,$T23-1))</f>
        <v/>
      </c>
      <c r="R23" s="35">
        <f>IF($T23="","",INDEX(案件入力!$R$2:$R$301,$T23-1))</f>
        <v/>
      </c>
      <c r="S23" s="35">
        <f>IF($T23="","",INDEX(案件入力!$S$2:$S$301,$T23-1))</f>
        <v/>
      </c>
      <c r="T23">
        <f t="array" ref="T23">IFERROR(SMALL(IF((案件入力!$A$2:$A$301&lt;&gt;"")*(案件入力!$R$2:$R$301&lt;&gt;"完了"),ROW(案件入力!$A$2:$A$301)),ROW()-1),"")</f>
        <v/>
      </c>
    </row>
    <row r="24">
      <c r="A24" s="35">
        <f>IF($T24="","",INDEX(案件入力!$A$2:$A$301,$T24-1))</f>
        <v/>
      </c>
      <c r="B24" s="36">
        <f>IF($T24="","",INDEX(案件入力!$B$2:$B$301,$T24-1))</f>
        <v/>
      </c>
      <c r="C24" s="35">
        <f>IF($T24="","",INDEX(案件入力!$C$2:$C$301,$T24-1))</f>
        <v/>
      </c>
      <c r="D24" s="37">
        <f>IF($T24="","",INDEX(案件入力!$D$2:$D$301,$T24-1))</f>
        <v/>
      </c>
      <c r="E24" s="35">
        <f>IF($T24="","",INDEX(案件入力!$E$2:$E$301,$T24-1))</f>
        <v/>
      </c>
      <c r="F24" s="35">
        <f>IF($T24="","",INDEX(案件入力!$F$2:$F$301,$T24-1))</f>
        <v/>
      </c>
      <c r="G24" s="35">
        <f>IF($T24="","",INDEX(案件入力!$G$2:$G$301,$T24-1))</f>
        <v/>
      </c>
      <c r="H24" s="49">
        <f>IF($T24="","",INDEX(案件入力!$H$2:$H$301,$T24-1))</f>
        <v/>
      </c>
      <c r="I24" s="49">
        <f>IF($T24="","",INDEX(案件入力!$I$2:$I$301,$T24-1))</f>
        <v/>
      </c>
      <c r="J24" s="39">
        <f>IF($T24="","",INDEX(案件入力!$J$2:$J$301,$T24-1))</f>
        <v/>
      </c>
      <c r="K24" s="36">
        <f>IF($T24="","",INDEX(案件入力!$K$2:$K$301,$T24-1))</f>
        <v/>
      </c>
      <c r="L24" s="49">
        <f>IF($T24="","",INDEX(案件入力!$L$2:$L$301,$T24-1))</f>
        <v/>
      </c>
      <c r="M24" s="49">
        <f>IF($T24="","",INDEX(案件入力!$M$2:$M$301,$T24-1))</f>
        <v/>
      </c>
      <c r="N24" s="39">
        <f>IF($T24="","",INDEX(案件入力!$N$2:$N$301,$T24-1))</f>
        <v/>
      </c>
      <c r="O24" s="36">
        <f>IF($T24="","",INDEX(案件入力!$O$2:$O$301,$T24-1))</f>
        <v/>
      </c>
      <c r="P24" s="37">
        <f>IF($T24="","",INDEX(案件入力!$P$2:$P$301,$T24-1))</f>
        <v/>
      </c>
      <c r="Q24" s="35">
        <f>IF($T24="","",INDEX(案件入力!$Q$2:$Q$301,$T24-1))</f>
        <v/>
      </c>
      <c r="R24" s="35">
        <f>IF($T24="","",INDEX(案件入力!$R$2:$R$301,$T24-1))</f>
        <v/>
      </c>
      <c r="S24" s="35">
        <f>IF($T24="","",INDEX(案件入力!$S$2:$S$301,$T24-1))</f>
        <v/>
      </c>
      <c r="T24">
        <f t="array" ref="T24">IFERROR(SMALL(IF((案件入力!$A$2:$A$301&lt;&gt;"")*(案件入力!$R$2:$R$301&lt;&gt;"完了"),ROW(案件入力!$A$2:$A$301)),ROW()-1),"")</f>
        <v/>
      </c>
    </row>
    <row r="25">
      <c r="A25" s="35">
        <f>IF($T25="","",INDEX(案件入力!$A$2:$A$301,$T25-1))</f>
        <v/>
      </c>
      <c r="B25" s="36">
        <f>IF($T25="","",INDEX(案件入力!$B$2:$B$301,$T25-1))</f>
        <v/>
      </c>
      <c r="C25" s="35">
        <f>IF($T25="","",INDEX(案件入力!$C$2:$C$301,$T25-1))</f>
        <v/>
      </c>
      <c r="D25" s="37">
        <f>IF($T25="","",INDEX(案件入力!$D$2:$D$301,$T25-1))</f>
        <v/>
      </c>
      <c r="E25" s="35">
        <f>IF($T25="","",INDEX(案件入力!$E$2:$E$301,$T25-1))</f>
        <v/>
      </c>
      <c r="F25" s="35">
        <f>IF($T25="","",INDEX(案件入力!$F$2:$F$301,$T25-1))</f>
        <v/>
      </c>
      <c r="G25" s="35">
        <f>IF($T25="","",INDEX(案件入力!$G$2:$G$301,$T25-1))</f>
        <v/>
      </c>
      <c r="H25" s="49">
        <f>IF($T25="","",INDEX(案件入力!$H$2:$H$301,$T25-1))</f>
        <v/>
      </c>
      <c r="I25" s="49">
        <f>IF($T25="","",INDEX(案件入力!$I$2:$I$301,$T25-1))</f>
        <v/>
      </c>
      <c r="J25" s="39">
        <f>IF($T25="","",INDEX(案件入力!$J$2:$J$301,$T25-1))</f>
        <v/>
      </c>
      <c r="K25" s="36">
        <f>IF($T25="","",INDEX(案件入力!$K$2:$K$301,$T25-1))</f>
        <v/>
      </c>
      <c r="L25" s="49">
        <f>IF($T25="","",INDEX(案件入力!$L$2:$L$301,$T25-1))</f>
        <v/>
      </c>
      <c r="M25" s="49">
        <f>IF($T25="","",INDEX(案件入力!$M$2:$M$301,$T25-1))</f>
        <v/>
      </c>
      <c r="N25" s="39">
        <f>IF($T25="","",INDEX(案件入力!$N$2:$N$301,$T25-1))</f>
        <v/>
      </c>
      <c r="O25" s="36">
        <f>IF($T25="","",INDEX(案件入力!$O$2:$O$301,$T25-1))</f>
        <v/>
      </c>
      <c r="P25" s="37">
        <f>IF($T25="","",INDEX(案件入力!$P$2:$P$301,$T25-1))</f>
        <v/>
      </c>
      <c r="Q25" s="35">
        <f>IF($T25="","",INDEX(案件入力!$Q$2:$Q$301,$T25-1))</f>
        <v/>
      </c>
      <c r="R25" s="35">
        <f>IF($T25="","",INDEX(案件入力!$R$2:$R$301,$T25-1))</f>
        <v/>
      </c>
      <c r="S25" s="35">
        <f>IF($T25="","",INDEX(案件入力!$S$2:$S$301,$T25-1))</f>
        <v/>
      </c>
      <c r="T25">
        <f t="array" ref="T25">IFERROR(SMALL(IF((案件入力!$A$2:$A$301&lt;&gt;"")*(案件入力!$R$2:$R$301&lt;&gt;"完了"),ROW(案件入力!$A$2:$A$301)),ROW()-1),"")</f>
        <v/>
      </c>
    </row>
    <row r="26">
      <c r="A26" s="35">
        <f>IF($T26="","",INDEX(案件入力!$A$2:$A$301,$T26-1))</f>
        <v/>
      </c>
      <c r="B26" s="36">
        <f>IF($T26="","",INDEX(案件入力!$B$2:$B$301,$T26-1))</f>
        <v/>
      </c>
      <c r="C26" s="35">
        <f>IF($T26="","",INDEX(案件入力!$C$2:$C$301,$T26-1))</f>
        <v/>
      </c>
      <c r="D26" s="37">
        <f>IF($T26="","",INDEX(案件入力!$D$2:$D$301,$T26-1))</f>
        <v/>
      </c>
      <c r="E26" s="35">
        <f>IF($T26="","",INDEX(案件入力!$E$2:$E$301,$T26-1))</f>
        <v/>
      </c>
      <c r="F26" s="35">
        <f>IF($T26="","",INDEX(案件入力!$F$2:$F$301,$T26-1))</f>
        <v/>
      </c>
      <c r="G26" s="35">
        <f>IF($T26="","",INDEX(案件入力!$G$2:$G$301,$T26-1))</f>
        <v/>
      </c>
      <c r="H26" s="49">
        <f>IF($T26="","",INDEX(案件入力!$H$2:$H$301,$T26-1))</f>
        <v/>
      </c>
      <c r="I26" s="49">
        <f>IF($T26="","",INDEX(案件入力!$I$2:$I$301,$T26-1))</f>
        <v/>
      </c>
      <c r="J26" s="39">
        <f>IF($T26="","",INDEX(案件入力!$J$2:$J$301,$T26-1))</f>
        <v/>
      </c>
      <c r="K26" s="36">
        <f>IF($T26="","",INDEX(案件入力!$K$2:$K$301,$T26-1))</f>
        <v/>
      </c>
      <c r="L26" s="49">
        <f>IF($T26="","",INDEX(案件入力!$L$2:$L$301,$T26-1))</f>
        <v/>
      </c>
      <c r="M26" s="49">
        <f>IF($T26="","",INDEX(案件入力!$M$2:$M$301,$T26-1))</f>
        <v/>
      </c>
      <c r="N26" s="39">
        <f>IF($T26="","",INDEX(案件入力!$N$2:$N$301,$T26-1))</f>
        <v/>
      </c>
      <c r="O26" s="36">
        <f>IF($T26="","",INDEX(案件入力!$O$2:$O$301,$T26-1))</f>
        <v/>
      </c>
      <c r="P26" s="37">
        <f>IF($T26="","",INDEX(案件入力!$P$2:$P$301,$T26-1))</f>
        <v/>
      </c>
      <c r="Q26" s="35">
        <f>IF($T26="","",INDEX(案件入力!$Q$2:$Q$301,$T26-1))</f>
        <v/>
      </c>
      <c r="R26" s="35">
        <f>IF($T26="","",INDEX(案件入力!$R$2:$R$301,$T26-1))</f>
        <v/>
      </c>
      <c r="S26" s="35">
        <f>IF($T26="","",INDEX(案件入力!$S$2:$S$301,$T26-1))</f>
        <v/>
      </c>
      <c r="T26">
        <f t="array" ref="T26">IFERROR(SMALL(IF((案件入力!$A$2:$A$301&lt;&gt;"")*(案件入力!$R$2:$R$301&lt;&gt;"完了"),ROW(案件入力!$A$2:$A$301)),ROW()-1),"")</f>
        <v/>
      </c>
    </row>
    <row r="27">
      <c r="A27" s="35">
        <f>IF($T27="","",INDEX(案件入力!$A$2:$A$301,$T27-1))</f>
        <v/>
      </c>
      <c r="B27" s="36">
        <f>IF($T27="","",INDEX(案件入力!$B$2:$B$301,$T27-1))</f>
        <v/>
      </c>
      <c r="C27" s="35">
        <f>IF($T27="","",INDEX(案件入力!$C$2:$C$301,$T27-1))</f>
        <v/>
      </c>
      <c r="D27" s="37">
        <f>IF($T27="","",INDEX(案件入力!$D$2:$D$301,$T27-1))</f>
        <v/>
      </c>
      <c r="E27" s="35">
        <f>IF($T27="","",INDEX(案件入力!$E$2:$E$301,$T27-1))</f>
        <v/>
      </c>
      <c r="F27" s="35">
        <f>IF($T27="","",INDEX(案件入力!$F$2:$F$301,$T27-1))</f>
        <v/>
      </c>
      <c r="G27" s="35">
        <f>IF($T27="","",INDEX(案件入力!$G$2:$G$301,$T27-1))</f>
        <v/>
      </c>
      <c r="H27" s="49">
        <f>IF($T27="","",INDEX(案件入力!$H$2:$H$301,$T27-1))</f>
        <v/>
      </c>
      <c r="I27" s="49">
        <f>IF($T27="","",INDEX(案件入力!$I$2:$I$301,$T27-1))</f>
        <v/>
      </c>
      <c r="J27" s="39">
        <f>IF($T27="","",INDEX(案件入力!$J$2:$J$301,$T27-1))</f>
        <v/>
      </c>
      <c r="K27" s="36">
        <f>IF($T27="","",INDEX(案件入力!$K$2:$K$301,$T27-1))</f>
        <v/>
      </c>
      <c r="L27" s="49">
        <f>IF($T27="","",INDEX(案件入力!$L$2:$L$301,$T27-1))</f>
        <v/>
      </c>
      <c r="M27" s="49">
        <f>IF($T27="","",INDEX(案件入力!$M$2:$M$301,$T27-1))</f>
        <v/>
      </c>
      <c r="N27" s="39">
        <f>IF($T27="","",INDEX(案件入力!$N$2:$N$301,$T27-1))</f>
        <v/>
      </c>
      <c r="O27" s="36">
        <f>IF($T27="","",INDEX(案件入力!$O$2:$O$301,$T27-1))</f>
        <v/>
      </c>
      <c r="P27" s="37">
        <f>IF($T27="","",INDEX(案件入力!$P$2:$P$301,$T27-1))</f>
        <v/>
      </c>
      <c r="Q27" s="35">
        <f>IF($T27="","",INDEX(案件入力!$Q$2:$Q$301,$T27-1))</f>
        <v/>
      </c>
      <c r="R27" s="35">
        <f>IF($T27="","",INDEX(案件入力!$R$2:$R$301,$T27-1))</f>
        <v/>
      </c>
      <c r="S27" s="35">
        <f>IF($T27="","",INDEX(案件入力!$S$2:$S$301,$T27-1))</f>
        <v/>
      </c>
      <c r="T27">
        <f t="array" ref="T27">IFERROR(SMALL(IF((案件入力!$A$2:$A$301&lt;&gt;"")*(案件入力!$R$2:$R$301&lt;&gt;"完了"),ROW(案件入力!$A$2:$A$301)),ROW()-1),"")</f>
        <v/>
      </c>
    </row>
    <row r="28">
      <c r="A28" s="35">
        <f>IF($T28="","",INDEX(案件入力!$A$2:$A$301,$T28-1))</f>
        <v/>
      </c>
      <c r="B28" s="36">
        <f>IF($T28="","",INDEX(案件入力!$B$2:$B$301,$T28-1))</f>
        <v/>
      </c>
      <c r="C28" s="35">
        <f>IF($T28="","",INDEX(案件入力!$C$2:$C$301,$T28-1))</f>
        <v/>
      </c>
      <c r="D28" s="37">
        <f>IF($T28="","",INDEX(案件入力!$D$2:$D$301,$T28-1))</f>
        <v/>
      </c>
      <c r="E28" s="35">
        <f>IF($T28="","",INDEX(案件入力!$E$2:$E$301,$T28-1))</f>
        <v/>
      </c>
      <c r="F28" s="35">
        <f>IF($T28="","",INDEX(案件入力!$F$2:$F$301,$T28-1))</f>
        <v/>
      </c>
      <c r="G28" s="35">
        <f>IF($T28="","",INDEX(案件入力!$G$2:$G$301,$T28-1))</f>
        <v/>
      </c>
      <c r="H28" s="49">
        <f>IF($T28="","",INDEX(案件入力!$H$2:$H$301,$T28-1))</f>
        <v/>
      </c>
      <c r="I28" s="49">
        <f>IF($T28="","",INDEX(案件入力!$I$2:$I$301,$T28-1))</f>
        <v/>
      </c>
      <c r="J28" s="39">
        <f>IF($T28="","",INDEX(案件入力!$J$2:$J$301,$T28-1))</f>
        <v/>
      </c>
      <c r="K28" s="36">
        <f>IF($T28="","",INDEX(案件入力!$K$2:$K$301,$T28-1))</f>
        <v/>
      </c>
      <c r="L28" s="49">
        <f>IF($T28="","",INDEX(案件入力!$L$2:$L$301,$T28-1))</f>
        <v/>
      </c>
      <c r="M28" s="49">
        <f>IF($T28="","",INDEX(案件入力!$M$2:$M$301,$T28-1))</f>
        <v/>
      </c>
      <c r="N28" s="39">
        <f>IF($T28="","",INDEX(案件入力!$N$2:$N$301,$T28-1))</f>
        <v/>
      </c>
      <c r="O28" s="36">
        <f>IF($T28="","",INDEX(案件入力!$O$2:$O$301,$T28-1))</f>
        <v/>
      </c>
      <c r="P28" s="37">
        <f>IF($T28="","",INDEX(案件入力!$P$2:$P$301,$T28-1))</f>
        <v/>
      </c>
      <c r="Q28" s="35">
        <f>IF($T28="","",INDEX(案件入力!$Q$2:$Q$301,$T28-1))</f>
        <v/>
      </c>
      <c r="R28" s="35">
        <f>IF($T28="","",INDEX(案件入力!$R$2:$R$301,$T28-1))</f>
        <v/>
      </c>
      <c r="S28" s="35">
        <f>IF($T28="","",INDEX(案件入力!$S$2:$S$301,$T28-1))</f>
        <v/>
      </c>
      <c r="T28">
        <f t="array" ref="T28">IFERROR(SMALL(IF((案件入力!$A$2:$A$301&lt;&gt;"")*(案件入力!$R$2:$R$301&lt;&gt;"完了"),ROW(案件入力!$A$2:$A$301)),ROW()-1),"")</f>
        <v/>
      </c>
    </row>
    <row r="29">
      <c r="A29" s="35">
        <f>IF($T29="","",INDEX(案件入力!$A$2:$A$301,$T29-1))</f>
        <v/>
      </c>
      <c r="B29" s="36">
        <f>IF($T29="","",INDEX(案件入力!$B$2:$B$301,$T29-1))</f>
        <v/>
      </c>
      <c r="C29" s="35">
        <f>IF($T29="","",INDEX(案件入力!$C$2:$C$301,$T29-1))</f>
        <v/>
      </c>
      <c r="D29" s="37">
        <f>IF($T29="","",INDEX(案件入力!$D$2:$D$301,$T29-1))</f>
        <v/>
      </c>
      <c r="E29" s="35">
        <f>IF($T29="","",INDEX(案件入力!$E$2:$E$301,$T29-1))</f>
        <v/>
      </c>
      <c r="F29" s="35">
        <f>IF($T29="","",INDEX(案件入力!$F$2:$F$301,$T29-1))</f>
        <v/>
      </c>
      <c r="G29" s="35">
        <f>IF($T29="","",INDEX(案件入力!$G$2:$G$301,$T29-1))</f>
        <v/>
      </c>
      <c r="H29" s="49">
        <f>IF($T29="","",INDEX(案件入力!$H$2:$H$301,$T29-1))</f>
        <v/>
      </c>
      <c r="I29" s="49">
        <f>IF($T29="","",INDEX(案件入力!$I$2:$I$301,$T29-1))</f>
        <v/>
      </c>
      <c r="J29" s="39">
        <f>IF($T29="","",INDEX(案件入力!$J$2:$J$301,$T29-1))</f>
        <v/>
      </c>
      <c r="K29" s="36">
        <f>IF($T29="","",INDEX(案件入力!$K$2:$K$301,$T29-1))</f>
        <v/>
      </c>
      <c r="L29" s="49">
        <f>IF($T29="","",INDEX(案件入力!$L$2:$L$301,$T29-1))</f>
        <v/>
      </c>
      <c r="M29" s="49">
        <f>IF($T29="","",INDEX(案件入力!$M$2:$M$301,$T29-1))</f>
        <v/>
      </c>
      <c r="N29" s="39">
        <f>IF($T29="","",INDEX(案件入力!$N$2:$N$301,$T29-1))</f>
        <v/>
      </c>
      <c r="O29" s="36">
        <f>IF($T29="","",INDEX(案件入力!$O$2:$O$301,$T29-1))</f>
        <v/>
      </c>
      <c r="P29" s="37">
        <f>IF($T29="","",INDEX(案件入力!$P$2:$P$301,$T29-1))</f>
        <v/>
      </c>
      <c r="Q29" s="35">
        <f>IF($T29="","",INDEX(案件入力!$Q$2:$Q$301,$T29-1))</f>
        <v/>
      </c>
      <c r="R29" s="35">
        <f>IF($T29="","",INDEX(案件入力!$R$2:$R$301,$T29-1))</f>
        <v/>
      </c>
      <c r="S29" s="35">
        <f>IF($T29="","",INDEX(案件入力!$S$2:$S$301,$T29-1))</f>
        <v/>
      </c>
      <c r="T29">
        <f t="array" ref="T29">IFERROR(SMALL(IF((案件入力!$A$2:$A$301&lt;&gt;"")*(案件入力!$R$2:$R$301&lt;&gt;"完了"),ROW(案件入力!$A$2:$A$301)),ROW()-1),"")</f>
        <v/>
      </c>
    </row>
    <row r="30">
      <c r="A30" s="35">
        <f>IF($T30="","",INDEX(案件入力!$A$2:$A$301,$T30-1))</f>
        <v/>
      </c>
      <c r="B30" s="36">
        <f>IF($T30="","",INDEX(案件入力!$B$2:$B$301,$T30-1))</f>
        <v/>
      </c>
      <c r="C30" s="35">
        <f>IF($T30="","",INDEX(案件入力!$C$2:$C$301,$T30-1))</f>
        <v/>
      </c>
      <c r="D30" s="37">
        <f>IF($T30="","",INDEX(案件入力!$D$2:$D$301,$T30-1))</f>
        <v/>
      </c>
      <c r="E30" s="35">
        <f>IF($T30="","",INDEX(案件入力!$E$2:$E$301,$T30-1))</f>
        <v/>
      </c>
      <c r="F30" s="35">
        <f>IF($T30="","",INDEX(案件入力!$F$2:$F$301,$T30-1))</f>
        <v/>
      </c>
      <c r="G30" s="35">
        <f>IF($T30="","",INDEX(案件入力!$G$2:$G$301,$T30-1))</f>
        <v/>
      </c>
      <c r="H30" s="49">
        <f>IF($T30="","",INDEX(案件入力!$H$2:$H$301,$T30-1))</f>
        <v/>
      </c>
      <c r="I30" s="49">
        <f>IF($T30="","",INDEX(案件入力!$I$2:$I$301,$T30-1))</f>
        <v/>
      </c>
      <c r="J30" s="39">
        <f>IF($T30="","",INDEX(案件入力!$J$2:$J$301,$T30-1))</f>
        <v/>
      </c>
      <c r="K30" s="36">
        <f>IF($T30="","",INDEX(案件入力!$K$2:$K$301,$T30-1))</f>
        <v/>
      </c>
      <c r="L30" s="49">
        <f>IF($T30="","",INDEX(案件入力!$L$2:$L$301,$T30-1))</f>
        <v/>
      </c>
      <c r="M30" s="49">
        <f>IF($T30="","",INDEX(案件入力!$M$2:$M$301,$T30-1))</f>
        <v/>
      </c>
      <c r="N30" s="39">
        <f>IF($T30="","",INDEX(案件入力!$N$2:$N$301,$T30-1))</f>
        <v/>
      </c>
      <c r="O30" s="36">
        <f>IF($T30="","",INDEX(案件入力!$O$2:$O$301,$T30-1))</f>
        <v/>
      </c>
      <c r="P30" s="37">
        <f>IF($T30="","",INDEX(案件入力!$P$2:$P$301,$T30-1))</f>
        <v/>
      </c>
      <c r="Q30" s="35">
        <f>IF($T30="","",INDEX(案件入力!$Q$2:$Q$301,$T30-1))</f>
        <v/>
      </c>
      <c r="R30" s="35">
        <f>IF($T30="","",INDEX(案件入力!$R$2:$R$301,$T30-1))</f>
        <v/>
      </c>
      <c r="S30" s="35">
        <f>IF($T30="","",INDEX(案件入力!$S$2:$S$301,$T30-1))</f>
        <v/>
      </c>
      <c r="T30">
        <f t="array" ref="T30">IFERROR(SMALL(IF((案件入力!$A$2:$A$301&lt;&gt;"")*(案件入力!$R$2:$R$301&lt;&gt;"完了"),ROW(案件入力!$A$2:$A$301)),ROW()-1),"")</f>
        <v/>
      </c>
    </row>
    <row r="31">
      <c r="A31" s="35">
        <f>IF($T31="","",INDEX(案件入力!$A$2:$A$301,$T31-1))</f>
        <v/>
      </c>
      <c r="B31" s="36">
        <f>IF($T31="","",INDEX(案件入力!$B$2:$B$301,$T31-1))</f>
        <v/>
      </c>
      <c r="C31" s="35">
        <f>IF($T31="","",INDEX(案件入力!$C$2:$C$301,$T31-1))</f>
        <v/>
      </c>
      <c r="D31" s="37">
        <f>IF($T31="","",INDEX(案件入力!$D$2:$D$301,$T31-1))</f>
        <v/>
      </c>
      <c r="E31" s="35">
        <f>IF($T31="","",INDEX(案件入力!$E$2:$E$301,$T31-1))</f>
        <v/>
      </c>
      <c r="F31" s="35">
        <f>IF($T31="","",INDEX(案件入力!$F$2:$F$301,$T31-1))</f>
        <v/>
      </c>
      <c r="G31" s="35">
        <f>IF($T31="","",INDEX(案件入力!$G$2:$G$301,$T31-1))</f>
        <v/>
      </c>
      <c r="H31" s="49">
        <f>IF($T31="","",INDEX(案件入力!$H$2:$H$301,$T31-1))</f>
        <v/>
      </c>
      <c r="I31" s="49">
        <f>IF($T31="","",INDEX(案件入力!$I$2:$I$301,$T31-1))</f>
        <v/>
      </c>
      <c r="J31" s="39">
        <f>IF($T31="","",INDEX(案件入力!$J$2:$J$301,$T31-1))</f>
        <v/>
      </c>
      <c r="K31" s="36">
        <f>IF($T31="","",INDEX(案件入力!$K$2:$K$301,$T31-1))</f>
        <v/>
      </c>
      <c r="L31" s="49">
        <f>IF($T31="","",INDEX(案件入力!$L$2:$L$301,$T31-1))</f>
        <v/>
      </c>
      <c r="M31" s="49">
        <f>IF($T31="","",INDEX(案件入力!$M$2:$M$301,$T31-1))</f>
        <v/>
      </c>
      <c r="N31" s="39">
        <f>IF($T31="","",INDEX(案件入力!$N$2:$N$301,$T31-1))</f>
        <v/>
      </c>
      <c r="O31" s="36">
        <f>IF($T31="","",INDEX(案件入力!$O$2:$O$301,$T31-1))</f>
        <v/>
      </c>
      <c r="P31" s="37">
        <f>IF($T31="","",INDEX(案件入力!$P$2:$P$301,$T31-1))</f>
        <v/>
      </c>
      <c r="Q31" s="35">
        <f>IF($T31="","",INDEX(案件入力!$Q$2:$Q$301,$T31-1))</f>
        <v/>
      </c>
      <c r="R31" s="35">
        <f>IF($T31="","",INDEX(案件入力!$R$2:$R$301,$T31-1))</f>
        <v/>
      </c>
      <c r="S31" s="35">
        <f>IF($T31="","",INDEX(案件入力!$S$2:$S$301,$T31-1))</f>
        <v/>
      </c>
      <c r="T31">
        <f t="array" ref="T31">IFERROR(SMALL(IF((案件入力!$A$2:$A$301&lt;&gt;"")*(案件入力!$R$2:$R$301&lt;&gt;"完了"),ROW(案件入力!$A$2:$A$301)),ROW()-1),"")</f>
        <v/>
      </c>
    </row>
    <row r="32">
      <c r="A32" s="35">
        <f>IF($T32="","",INDEX(案件入力!$A$2:$A$301,$T32-1))</f>
        <v/>
      </c>
      <c r="B32" s="36">
        <f>IF($T32="","",INDEX(案件入力!$B$2:$B$301,$T32-1))</f>
        <v/>
      </c>
      <c r="C32" s="35">
        <f>IF($T32="","",INDEX(案件入力!$C$2:$C$301,$T32-1))</f>
        <v/>
      </c>
      <c r="D32" s="37">
        <f>IF($T32="","",INDEX(案件入力!$D$2:$D$301,$T32-1))</f>
        <v/>
      </c>
      <c r="E32" s="35">
        <f>IF($T32="","",INDEX(案件入力!$E$2:$E$301,$T32-1))</f>
        <v/>
      </c>
      <c r="F32" s="35">
        <f>IF($T32="","",INDEX(案件入力!$F$2:$F$301,$T32-1))</f>
        <v/>
      </c>
      <c r="G32" s="35">
        <f>IF($T32="","",INDEX(案件入力!$G$2:$G$301,$T32-1))</f>
        <v/>
      </c>
      <c r="H32" s="49">
        <f>IF($T32="","",INDEX(案件入力!$H$2:$H$301,$T32-1))</f>
        <v/>
      </c>
      <c r="I32" s="49">
        <f>IF($T32="","",INDEX(案件入力!$I$2:$I$301,$T32-1))</f>
        <v/>
      </c>
      <c r="J32" s="39">
        <f>IF($T32="","",INDEX(案件入力!$J$2:$J$301,$T32-1))</f>
        <v/>
      </c>
      <c r="K32" s="36">
        <f>IF($T32="","",INDEX(案件入力!$K$2:$K$301,$T32-1))</f>
        <v/>
      </c>
      <c r="L32" s="49">
        <f>IF($T32="","",INDEX(案件入力!$L$2:$L$301,$T32-1))</f>
        <v/>
      </c>
      <c r="M32" s="49">
        <f>IF($T32="","",INDEX(案件入力!$M$2:$M$301,$T32-1))</f>
        <v/>
      </c>
      <c r="N32" s="39">
        <f>IF($T32="","",INDEX(案件入力!$N$2:$N$301,$T32-1))</f>
        <v/>
      </c>
      <c r="O32" s="36">
        <f>IF($T32="","",INDEX(案件入力!$O$2:$O$301,$T32-1))</f>
        <v/>
      </c>
      <c r="P32" s="37">
        <f>IF($T32="","",INDEX(案件入力!$P$2:$P$301,$T32-1))</f>
        <v/>
      </c>
      <c r="Q32" s="35">
        <f>IF($T32="","",INDEX(案件入力!$Q$2:$Q$301,$T32-1))</f>
        <v/>
      </c>
      <c r="R32" s="35">
        <f>IF($T32="","",INDEX(案件入力!$R$2:$R$301,$T32-1))</f>
        <v/>
      </c>
      <c r="S32" s="35">
        <f>IF($T32="","",INDEX(案件入力!$S$2:$S$301,$T32-1))</f>
        <v/>
      </c>
      <c r="T32">
        <f t="array" ref="T32">IFERROR(SMALL(IF((案件入力!$A$2:$A$301&lt;&gt;"")*(案件入力!$R$2:$R$301&lt;&gt;"完了"),ROW(案件入力!$A$2:$A$301)),ROW()-1),"")</f>
        <v/>
      </c>
    </row>
    <row r="33">
      <c r="A33" s="35">
        <f>IF($T33="","",INDEX(案件入力!$A$2:$A$301,$T33-1))</f>
        <v/>
      </c>
      <c r="B33" s="36">
        <f>IF($T33="","",INDEX(案件入力!$B$2:$B$301,$T33-1))</f>
        <v/>
      </c>
      <c r="C33" s="35">
        <f>IF($T33="","",INDEX(案件入力!$C$2:$C$301,$T33-1))</f>
        <v/>
      </c>
      <c r="D33" s="37">
        <f>IF($T33="","",INDEX(案件入力!$D$2:$D$301,$T33-1))</f>
        <v/>
      </c>
      <c r="E33" s="35">
        <f>IF($T33="","",INDEX(案件入力!$E$2:$E$301,$T33-1))</f>
        <v/>
      </c>
      <c r="F33" s="35">
        <f>IF($T33="","",INDEX(案件入力!$F$2:$F$301,$T33-1))</f>
        <v/>
      </c>
      <c r="G33" s="35">
        <f>IF($T33="","",INDEX(案件入力!$G$2:$G$301,$T33-1))</f>
        <v/>
      </c>
      <c r="H33" s="49">
        <f>IF($T33="","",INDEX(案件入力!$H$2:$H$301,$T33-1))</f>
        <v/>
      </c>
      <c r="I33" s="49">
        <f>IF($T33="","",INDEX(案件入力!$I$2:$I$301,$T33-1))</f>
        <v/>
      </c>
      <c r="J33" s="39">
        <f>IF($T33="","",INDEX(案件入力!$J$2:$J$301,$T33-1))</f>
        <v/>
      </c>
      <c r="K33" s="36">
        <f>IF($T33="","",INDEX(案件入力!$K$2:$K$301,$T33-1))</f>
        <v/>
      </c>
      <c r="L33" s="49">
        <f>IF($T33="","",INDEX(案件入力!$L$2:$L$301,$T33-1))</f>
        <v/>
      </c>
      <c r="M33" s="49">
        <f>IF($T33="","",INDEX(案件入力!$M$2:$M$301,$T33-1))</f>
        <v/>
      </c>
      <c r="N33" s="39">
        <f>IF($T33="","",INDEX(案件入力!$N$2:$N$301,$T33-1))</f>
        <v/>
      </c>
      <c r="O33" s="36">
        <f>IF($T33="","",INDEX(案件入力!$O$2:$O$301,$T33-1))</f>
        <v/>
      </c>
      <c r="P33" s="37">
        <f>IF($T33="","",INDEX(案件入力!$P$2:$P$301,$T33-1))</f>
        <v/>
      </c>
      <c r="Q33" s="35">
        <f>IF($T33="","",INDEX(案件入力!$Q$2:$Q$301,$T33-1))</f>
        <v/>
      </c>
      <c r="R33" s="35">
        <f>IF($T33="","",INDEX(案件入力!$R$2:$R$301,$T33-1))</f>
        <v/>
      </c>
      <c r="S33" s="35">
        <f>IF($T33="","",INDEX(案件入力!$S$2:$S$301,$T33-1))</f>
        <v/>
      </c>
      <c r="T33">
        <f t="array" ref="T33">IFERROR(SMALL(IF((案件入力!$A$2:$A$301&lt;&gt;"")*(案件入力!$R$2:$R$301&lt;&gt;"完了"),ROW(案件入力!$A$2:$A$301)),ROW()-1),"")</f>
        <v/>
      </c>
    </row>
    <row r="34">
      <c r="A34" s="35">
        <f>IF($T34="","",INDEX(案件入力!$A$2:$A$301,$T34-1))</f>
        <v/>
      </c>
      <c r="B34" s="36">
        <f>IF($T34="","",INDEX(案件入力!$B$2:$B$301,$T34-1))</f>
        <v/>
      </c>
      <c r="C34" s="35">
        <f>IF($T34="","",INDEX(案件入力!$C$2:$C$301,$T34-1))</f>
        <v/>
      </c>
      <c r="D34" s="37">
        <f>IF($T34="","",INDEX(案件入力!$D$2:$D$301,$T34-1))</f>
        <v/>
      </c>
      <c r="E34" s="35">
        <f>IF($T34="","",INDEX(案件入力!$E$2:$E$301,$T34-1))</f>
        <v/>
      </c>
      <c r="F34" s="35">
        <f>IF($T34="","",INDEX(案件入力!$F$2:$F$301,$T34-1))</f>
        <v/>
      </c>
      <c r="G34" s="35">
        <f>IF($T34="","",INDEX(案件入力!$G$2:$G$301,$T34-1))</f>
        <v/>
      </c>
      <c r="H34" s="49">
        <f>IF($T34="","",INDEX(案件入力!$H$2:$H$301,$T34-1))</f>
        <v/>
      </c>
      <c r="I34" s="49">
        <f>IF($T34="","",INDEX(案件入力!$I$2:$I$301,$T34-1))</f>
        <v/>
      </c>
      <c r="J34" s="39">
        <f>IF($T34="","",INDEX(案件入力!$J$2:$J$301,$T34-1))</f>
        <v/>
      </c>
      <c r="K34" s="36">
        <f>IF($T34="","",INDEX(案件入力!$K$2:$K$301,$T34-1))</f>
        <v/>
      </c>
      <c r="L34" s="49">
        <f>IF($T34="","",INDEX(案件入力!$L$2:$L$301,$T34-1))</f>
        <v/>
      </c>
      <c r="M34" s="49">
        <f>IF($T34="","",INDEX(案件入力!$M$2:$M$301,$T34-1))</f>
        <v/>
      </c>
      <c r="N34" s="39">
        <f>IF($T34="","",INDEX(案件入力!$N$2:$N$301,$T34-1))</f>
        <v/>
      </c>
      <c r="O34" s="36">
        <f>IF($T34="","",INDEX(案件入力!$O$2:$O$301,$T34-1))</f>
        <v/>
      </c>
      <c r="P34" s="37">
        <f>IF($T34="","",INDEX(案件入力!$P$2:$P$301,$T34-1))</f>
        <v/>
      </c>
      <c r="Q34" s="35">
        <f>IF($T34="","",INDEX(案件入力!$Q$2:$Q$301,$T34-1))</f>
        <v/>
      </c>
      <c r="R34" s="35">
        <f>IF($T34="","",INDEX(案件入力!$R$2:$R$301,$T34-1))</f>
        <v/>
      </c>
      <c r="S34" s="35">
        <f>IF($T34="","",INDEX(案件入力!$S$2:$S$301,$T34-1))</f>
        <v/>
      </c>
      <c r="T34">
        <f t="array" ref="T34">IFERROR(SMALL(IF((案件入力!$A$2:$A$301&lt;&gt;"")*(案件入力!$R$2:$R$301&lt;&gt;"完了"),ROW(案件入力!$A$2:$A$301)),ROW()-1),"")</f>
        <v/>
      </c>
    </row>
    <row r="35">
      <c r="A35" s="35">
        <f>IF($T35="","",INDEX(案件入力!$A$2:$A$301,$T35-1))</f>
        <v/>
      </c>
      <c r="B35" s="36">
        <f>IF($T35="","",INDEX(案件入力!$B$2:$B$301,$T35-1))</f>
        <v/>
      </c>
      <c r="C35" s="35">
        <f>IF($T35="","",INDEX(案件入力!$C$2:$C$301,$T35-1))</f>
        <v/>
      </c>
      <c r="D35" s="37">
        <f>IF($T35="","",INDEX(案件入力!$D$2:$D$301,$T35-1))</f>
        <v/>
      </c>
      <c r="E35" s="35">
        <f>IF($T35="","",INDEX(案件入力!$E$2:$E$301,$T35-1))</f>
        <v/>
      </c>
      <c r="F35" s="35">
        <f>IF($T35="","",INDEX(案件入力!$F$2:$F$301,$T35-1))</f>
        <v/>
      </c>
      <c r="G35" s="35">
        <f>IF($T35="","",INDEX(案件入力!$G$2:$G$301,$T35-1))</f>
        <v/>
      </c>
      <c r="H35" s="49">
        <f>IF($T35="","",INDEX(案件入力!$H$2:$H$301,$T35-1))</f>
        <v/>
      </c>
      <c r="I35" s="49">
        <f>IF($T35="","",INDEX(案件入力!$I$2:$I$301,$T35-1))</f>
        <v/>
      </c>
      <c r="J35" s="39">
        <f>IF($T35="","",INDEX(案件入力!$J$2:$J$301,$T35-1))</f>
        <v/>
      </c>
      <c r="K35" s="36">
        <f>IF($T35="","",INDEX(案件入力!$K$2:$K$301,$T35-1))</f>
        <v/>
      </c>
      <c r="L35" s="49">
        <f>IF($T35="","",INDEX(案件入力!$L$2:$L$301,$T35-1))</f>
        <v/>
      </c>
      <c r="M35" s="49">
        <f>IF($T35="","",INDEX(案件入力!$M$2:$M$301,$T35-1))</f>
        <v/>
      </c>
      <c r="N35" s="39">
        <f>IF($T35="","",INDEX(案件入力!$N$2:$N$301,$T35-1))</f>
        <v/>
      </c>
      <c r="O35" s="36">
        <f>IF($T35="","",INDEX(案件入力!$O$2:$O$301,$T35-1))</f>
        <v/>
      </c>
      <c r="P35" s="37">
        <f>IF($T35="","",INDEX(案件入力!$P$2:$P$301,$T35-1))</f>
        <v/>
      </c>
      <c r="Q35" s="35">
        <f>IF($T35="","",INDEX(案件入力!$Q$2:$Q$301,$T35-1))</f>
        <v/>
      </c>
      <c r="R35" s="35">
        <f>IF($T35="","",INDEX(案件入力!$R$2:$R$301,$T35-1))</f>
        <v/>
      </c>
      <c r="S35" s="35">
        <f>IF($T35="","",INDEX(案件入力!$S$2:$S$301,$T35-1))</f>
        <v/>
      </c>
      <c r="T35">
        <f t="array" ref="T35">IFERROR(SMALL(IF((案件入力!$A$2:$A$301&lt;&gt;"")*(案件入力!$R$2:$R$301&lt;&gt;"完了"),ROW(案件入力!$A$2:$A$301)),ROW()-1),"")</f>
        <v/>
      </c>
    </row>
    <row r="36">
      <c r="A36" s="35">
        <f>IF($T36="","",INDEX(案件入力!$A$2:$A$301,$T36-1))</f>
        <v/>
      </c>
      <c r="B36" s="36">
        <f>IF($T36="","",INDEX(案件入力!$B$2:$B$301,$T36-1))</f>
        <v/>
      </c>
      <c r="C36" s="35">
        <f>IF($T36="","",INDEX(案件入力!$C$2:$C$301,$T36-1))</f>
        <v/>
      </c>
      <c r="D36" s="37">
        <f>IF($T36="","",INDEX(案件入力!$D$2:$D$301,$T36-1))</f>
        <v/>
      </c>
      <c r="E36" s="35">
        <f>IF($T36="","",INDEX(案件入力!$E$2:$E$301,$T36-1))</f>
        <v/>
      </c>
      <c r="F36" s="35">
        <f>IF($T36="","",INDEX(案件入力!$F$2:$F$301,$T36-1))</f>
        <v/>
      </c>
      <c r="G36" s="35">
        <f>IF($T36="","",INDEX(案件入力!$G$2:$G$301,$T36-1))</f>
        <v/>
      </c>
      <c r="H36" s="49">
        <f>IF($T36="","",INDEX(案件入力!$H$2:$H$301,$T36-1))</f>
        <v/>
      </c>
      <c r="I36" s="49">
        <f>IF($T36="","",INDEX(案件入力!$I$2:$I$301,$T36-1))</f>
        <v/>
      </c>
      <c r="J36" s="39">
        <f>IF($T36="","",INDEX(案件入力!$J$2:$J$301,$T36-1))</f>
        <v/>
      </c>
      <c r="K36" s="36">
        <f>IF($T36="","",INDEX(案件入力!$K$2:$K$301,$T36-1))</f>
        <v/>
      </c>
      <c r="L36" s="49">
        <f>IF($T36="","",INDEX(案件入力!$L$2:$L$301,$T36-1))</f>
        <v/>
      </c>
      <c r="M36" s="49">
        <f>IF($T36="","",INDEX(案件入力!$M$2:$M$301,$T36-1))</f>
        <v/>
      </c>
      <c r="N36" s="39">
        <f>IF($T36="","",INDEX(案件入力!$N$2:$N$301,$T36-1))</f>
        <v/>
      </c>
      <c r="O36" s="36">
        <f>IF($T36="","",INDEX(案件入力!$O$2:$O$301,$T36-1))</f>
        <v/>
      </c>
      <c r="P36" s="37">
        <f>IF($T36="","",INDEX(案件入力!$P$2:$P$301,$T36-1))</f>
        <v/>
      </c>
      <c r="Q36" s="35">
        <f>IF($T36="","",INDEX(案件入力!$Q$2:$Q$301,$T36-1))</f>
        <v/>
      </c>
      <c r="R36" s="35">
        <f>IF($T36="","",INDEX(案件入力!$R$2:$R$301,$T36-1))</f>
        <v/>
      </c>
      <c r="S36" s="35">
        <f>IF($T36="","",INDEX(案件入力!$S$2:$S$301,$T36-1))</f>
        <v/>
      </c>
      <c r="T36">
        <f t="array" ref="T36">IFERROR(SMALL(IF((案件入力!$A$2:$A$301&lt;&gt;"")*(案件入力!$R$2:$R$301&lt;&gt;"完了"),ROW(案件入力!$A$2:$A$301)),ROW()-1),"")</f>
        <v/>
      </c>
    </row>
    <row r="37">
      <c r="A37" s="35">
        <f>IF($T37="","",INDEX(案件入力!$A$2:$A$301,$T37-1))</f>
        <v/>
      </c>
      <c r="B37" s="36">
        <f>IF($T37="","",INDEX(案件入力!$B$2:$B$301,$T37-1))</f>
        <v/>
      </c>
      <c r="C37" s="35">
        <f>IF($T37="","",INDEX(案件入力!$C$2:$C$301,$T37-1))</f>
        <v/>
      </c>
      <c r="D37" s="37">
        <f>IF($T37="","",INDEX(案件入力!$D$2:$D$301,$T37-1))</f>
        <v/>
      </c>
      <c r="E37" s="35">
        <f>IF($T37="","",INDEX(案件入力!$E$2:$E$301,$T37-1))</f>
        <v/>
      </c>
      <c r="F37" s="35">
        <f>IF($T37="","",INDEX(案件入力!$F$2:$F$301,$T37-1))</f>
        <v/>
      </c>
      <c r="G37" s="35">
        <f>IF($T37="","",INDEX(案件入力!$G$2:$G$301,$T37-1))</f>
        <v/>
      </c>
      <c r="H37" s="49">
        <f>IF($T37="","",INDEX(案件入力!$H$2:$H$301,$T37-1))</f>
        <v/>
      </c>
      <c r="I37" s="49">
        <f>IF($T37="","",INDEX(案件入力!$I$2:$I$301,$T37-1))</f>
        <v/>
      </c>
      <c r="J37" s="39">
        <f>IF($T37="","",INDEX(案件入力!$J$2:$J$301,$T37-1))</f>
        <v/>
      </c>
      <c r="K37" s="36">
        <f>IF($T37="","",INDEX(案件入力!$K$2:$K$301,$T37-1))</f>
        <v/>
      </c>
      <c r="L37" s="49">
        <f>IF($T37="","",INDEX(案件入力!$L$2:$L$301,$T37-1))</f>
        <v/>
      </c>
      <c r="M37" s="49">
        <f>IF($T37="","",INDEX(案件入力!$M$2:$M$301,$T37-1))</f>
        <v/>
      </c>
      <c r="N37" s="39">
        <f>IF($T37="","",INDEX(案件入力!$N$2:$N$301,$T37-1))</f>
        <v/>
      </c>
      <c r="O37" s="36">
        <f>IF($T37="","",INDEX(案件入力!$O$2:$O$301,$T37-1))</f>
        <v/>
      </c>
      <c r="P37" s="37">
        <f>IF($T37="","",INDEX(案件入力!$P$2:$P$301,$T37-1))</f>
        <v/>
      </c>
      <c r="Q37" s="35">
        <f>IF($T37="","",INDEX(案件入力!$Q$2:$Q$301,$T37-1))</f>
        <v/>
      </c>
      <c r="R37" s="35">
        <f>IF($T37="","",INDEX(案件入力!$R$2:$R$301,$T37-1))</f>
        <v/>
      </c>
      <c r="S37" s="35">
        <f>IF($T37="","",INDEX(案件入力!$S$2:$S$301,$T37-1))</f>
        <v/>
      </c>
      <c r="T37">
        <f t="array" ref="T37">IFERROR(SMALL(IF((案件入力!$A$2:$A$301&lt;&gt;"")*(案件入力!$R$2:$R$301&lt;&gt;"完了"),ROW(案件入力!$A$2:$A$301)),ROW()-1),"")</f>
        <v/>
      </c>
    </row>
    <row r="38">
      <c r="A38" s="35">
        <f>IF($T38="","",INDEX(案件入力!$A$2:$A$301,$T38-1))</f>
        <v/>
      </c>
      <c r="B38" s="36">
        <f>IF($T38="","",INDEX(案件入力!$B$2:$B$301,$T38-1))</f>
        <v/>
      </c>
      <c r="C38" s="35">
        <f>IF($T38="","",INDEX(案件入力!$C$2:$C$301,$T38-1))</f>
        <v/>
      </c>
      <c r="D38" s="37">
        <f>IF($T38="","",INDEX(案件入力!$D$2:$D$301,$T38-1))</f>
        <v/>
      </c>
      <c r="E38" s="35">
        <f>IF($T38="","",INDEX(案件入力!$E$2:$E$301,$T38-1))</f>
        <v/>
      </c>
      <c r="F38" s="35">
        <f>IF($T38="","",INDEX(案件入力!$F$2:$F$301,$T38-1))</f>
        <v/>
      </c>
      <c r="G38" s="35">
        <f>IF($T38="","",INDEX(案件入力!$G$2:$G$301,$T38-1))</f>
        <v/>
      </c>
      <c r="H38" s="49">
        <f>IF($T38="","",INDEX(案件入力!$H$2:$H$301,$T38-1))</f>
        <v/>
      </c>
      <c r="I38" s="49">
        <f>IF($T38="","",INDEX(案件入力!$I$2:$I$301,$T38-1))</f>
        <v/>
      </c>
      <c r="J38" s="39">
        <f>IF($T38="","",INDEX(案件入力!$J$2:$J$301,$T38-1))</f>
        <v/>
      </c>
      <c r="K38" s="36">
        <f>IF($T38="","",INDEX(案件入力!$K$2:$K$301,$T38-1))</f>
        <v/>
      </c>
      <c r="L38" s="49">
        <f>IF($T38="","",INDEX(案件入力!$L$2:$L$301,$T38-1))</f>
        <v/>
      </c>
      <c r="M38" s="49">
        <f>IF($T38="","",INDEX(案件入力!$M$2:$M$301,$T38-1))</f>
        <v/>
      </c>
      <c r="N38" s="39">
        <f>IF($T38="","",INDEX(案件入力!$N$2:$N$301,$T38-1))</f>
        <v/>
      </c>
      <c r="O38" s="36">
        <f>IF($T38="","",INDEX(案件入力!$O$2:$O$301,$T38-1))</f>
        <v/>
      </c>
      <c r="P38" s="37">
        <f>IF($T38="","",INDEX(案件入力!$P$2:$P$301,$T38-1))</f>
        <v/>
      </c>
      <c r="Q38" s="35">
        <f>IF($T38="","",INDEX(案件入力!$Q$2:$Q$301,$T38-1))</f>
        <v/>
      </c>
      <c r="R38" s="35">
        <f>IF($T38="","",INDEX(案件入力!$R$2:$R$301,$T38-1))</f>
        <v/>
      </c>
      <c r="S38" s="35">
        <f>IF($T38="","",INDEX(案件入力!$S$2:$S$301,$T38-1))</f>
        <v/>
      </c>
      <c r="T38">
        <f t="array" ref="T38">IFERROR(SMALL(IF((案件入力!$A$2:$A$301&lt;&gt;"")*(案件入力!$R$2:$R$301&lt;&gt;"完了"),ROW(案件入力!$A$2:$A$301)),ROW()-1),"")</f>
        <v/>
      </c>
    </row>
    <row r="39">
      <c r="A39" s="35">
        <f>IF($T39="","",INDEX(案件入力!$A$2:$A$301,$T39-1))</f>
        <v/>
      </c>
      <c r="B39" s="36">
        <f>IF($T39="","",INDEX(案件入力!$B$2:$B$301,$T39-1))</f>
        <v/>
      </c>
      <c r="C39" s="35">
        <f>IF($T39="","",INDEX(案件入力!$C$2:$C$301,$T39-1))</f>
        <v/>
      </c>
      <c r="D39" s="37">
        <f>IF($T39="","",INDEX(案件入力!$D$2:$D$301,$T39-1))</f>
        <v/>
      </c>
      <c r="E39" s="35">
        <f>IF($T39="","",INDEX(案件入力!$E$2:$E$301,$T39-1))</f>
        <v/>
      </c>
      <c r="F39" s="35">
        <f>IF($T39="","",INDEX(案件入力!$F$2:$F$301,$T39-1))</f>
        <v/>
      </c>
      <c r="G39" s="35">
        <f>IF($T39="","",INDEX(案件入力!$G$2:$G$301,$T39-1))</f>
        <v/>
      </c>
      <c r="H39" s="49">
        <f>IF($T39="","",INDEX(案件入力!$H$2:$H$301,$T39-1))</f>
        <v/>
      </c>
      <c r="I39" s="49">
        <f>IF($T39="","",INDEX(案件入力!$I$2:$I$301,$T39-1))</f>
        <v/>
      </c>
      <c r="J39" s="39">
        <f>IF($T39="","",INDEX(案件入力!$J$2:$J$301,$T39-1))</f>
        <v/>
      </c>
      <c r="K39" s="36">
        <f>IF($T39="","",INDEX(案件入力!$K$2:$K$301,$T39-1))</f>
        <v/>
      </c>
      <c r="L39" s="49">
        <f>IF($T39="","",INDEX(案件入力!$L$2:$L$301,$T39-1))</f>
        <v/>
      </c>
      <c r="M39" s="49">
        <f>IF($T39="","",INDEX(案件入力!$M$2:$M$301,$T39-1))</f>
        <v/>
      </c>
      <c r="N39" s="39">
        <f>IF($T39="","",INDEX(案件入力!$N$2:$N$301,$T39-1))</f>
        <v/>
      </c>
      <c r="O39" s="36">
        <f>IF($T39="","",INDEX(案件入力!$O$2:$O$301,$T39-1))</f>
        <v/>
      </c>
      <c r="P39" s="37">
        <f>IF($T39="","",INDEX(案件入力!$P$2:$P$301,$T39-1))</f>
        <v/>
      </c>
      <c r="Q39" s="35">
        <f>IF($T39="","",INDEX(案件入力!$Q$2:$Q$301,$T39-1))</f>
        <v/>
      </c>
      <c r="R39" s="35">
        <f>IF($T39="","",INDEX(案件入力!$R$2:$R$301,$T39-1))</f>
        <v/>
      </c>
      <c r="S39" s="35">
        <f>IF($T39="","",INDEX(案件入力!$S$2:$S$301,$T39-1))</f>
        <v/>
      </c>
      <c r="T39">
        <f t="array" ref="T39">IFERROR(SMALL(IF((案件入力!$A$2:$A$301&lt;&gt;"")*(案件入力!$R$2:$R$301&lt;&gt;"完了"),ROW(案件入力!$A$2:$A$301)),ROW()-1),"")</f>
        <v/>
      </c>
    </row>
    <row r="40">
      <c r="A40" s="35">
        <f>IF($T40="","",INDEX(案件入力!$A$2:$A$301,$T40-1))</f>
        <v/>
      </c>
      <c r="B40" s="36">
        <f>IF($T40="","",INDEX(案件入力!$B$2:$B$301,$T40-1))</f>
        <v/>
      </c>
      <c r="C40" s="35">
        <f>IF($T40="","",INDEX(案件入力!$C$2:$C$301,$T40-1))</f>
        <v/>
      </c>
      <c r="D40" s="37">
        <f>IF($T40="","",INDEX(案件入力!$D$2:$D$301,$T40-1))</f>
        <v/>
      </c>
      <c r="E40" s="35">
        <f>IF($T40="","",INDEX(案件入力!$E$2:$E$301,$T40-1))</f>
        <v/>
      </c>
      <c r="F40" s="35">
        <f>IF($T40="","",INDEX(案件入力!$F$2:$F$301,$T40-1))</f>
        <v/>
      </c>
      <c r="G40" s="35">
        <f>IF($T40="","",INDEX(案件入力!$G$2:$G$301,$T40-1))</f>
        <v/>
      </c>
      <c r="H40" s="49">
        <f>IF($T40="","",INDEX(案件入力!$H$2:$H$301,$T40-1))</f>
        <v/>
      </c>
      <c r="I40" s="49">
        <f>IF($T40="","",INDEX(案件入力!$I$2:$I$301,$T40-1))</f>
        <v/>
      </c>
      <c r="J40" s="39">
        <f>IF($T40="","",INDEX(案件入力!$J$2:$J$301,$T40-1))</f>
        <v/>
      </c>
      <c r="K40" s="36">
        <f>IF($T40="","",INDEX(案件入力!$K$2:$K$301,$T40-1))</f>
        <v/>
      </c>
      <c r="L40" s="49">
        <f>IF($T40="","",INDEX(案件入力!$L$2:$L$301,$T40-1))</f>
        <v/>
      </c>
      <c r="M40" s="49">
        <f>IF($T40="","",INDEX(案件入力!$M$2:$M$301,$T40-1))</f>
        <v/>
      </c>
      <c r="N40" s="39">
        <f>IF($T40="","",INDEX(案件入力!$N$2:$N$301,$T40-1))</f>
        <v/>
      </c>
      <c r="O40" s="36">
        <f>IF($T40="","",INDEX(案件入力!$O$2:$O$301,$T40-1))</f>
        <v/>
      </c>
      <c r="P40" s="37">
        <f>IF($T40="","",INDEX(案件入力!$P$2:$P$301,$T40-1))</f>
        <v/>
      </c>
      <c r="Q40" s="35">
        <f>IF($T40="","",INDEX(案件入力!$Q$2:$Q$301,$T40-1))</f>
        <v/>
      </c>
      <c r="R40" s="35">
        <f>IF($T40="","",INDEX(案件入力!$R$2:$R$301,$T40-1))</f>
        <v/>
      </c>
      <c r="S40" s="35">
        <f>IF($T40="","",INDEX(案件入力!$S$2:$S$301,$T40-1))</f>
        <v/>
      </c>
      <c r="T40">
        <f t="array" ref="T40">IFERROR(SMALL(IF((案件入力!$A$2:$A$301&lt;&gt;"")*(案件入力!$R$2:$R$301&lt;&gt;"完了"),ROW(案件入力!$A$2:$A$301)),ROW()-1),"")</f>
        <v/>
      </c>
    </row>
    <row r="41">
      <c r="A41" s="35">
        <f>IF($T41="","",INDEX(案件入力!$A$2:$A$301,$T41-1))</f>
        <v/>
      </c>
      <c r="B41" s="36">
        <f>IF($T41="","",INDEX(案件入力!$B$2:$B$301,$T41-1))</f>
        <v/>
      </c>
      <c r="C41" s="35">
        <f>IF($T41="","",INDEX(案件入力!$C$2:$C$301,$T41-1))</f>
        <v/>
      </c>
      <c r="D41" s="37">
        <f>IF($T41="","",INDEX(案件入力!$D$2:$D$301,$T41-1))</f>
        <v/>
      </c>
      <c r="E41" s="35">
        <f>IF($T41="","",INDEX(案件入力!$E$2:$E$301,$T41-1))</f>
        <v/>
      </c>
      <c r="F41" s="35">
        <f>IF($T41="","",INDEX(案件入力!$F$2:$F$301,$T41-1))</f>
        <v/>
      </c>
      <c r="G41" s="35">
        <f>IF($T41="","",INDEX(案件入力!$G$2:$G$301,$T41-1))</f>
        <v/>
      </c>
      <c r="H41" s="49">
        <f>IF($T41="","",INDEX(案件入力!$H$2:$H$301,$T41-1))</f>
        <v/>
      </c>
      <c r="I41" s="49">
        <f>IF($T41="","",INDEX(案件入力!$I$2:$I$301,$T41-1))</f>
        <v/>
      </c>
      <c r="J41" s="39">
        <f>IF($T41="","",INDEX(案件入力!$J$2:$J$301,$T41-1))</f>
        <v/>
      </c>
      <c r="K41" s="36">
        <f>IF($T41="","",INDEX(案件入力!$K$2:$K$301,$T41-1))</f>
        <v/>
      </c>
      <c r="L41" s="49">
        <f>IF($T41="","",INDEX(案件入力!$L$2:$L$301,$T41-1))</f>
        <v/>
      </c>
      <c r="M41" s="49">
        <f>IF($T41="","",INDEX(案件入力!$M$2:$M$301,$T41-1))</f>
        <v/>
      </c>
      <c r="N41" s="39">
        <f>IF($T41="","",INDEX(案件入力!$N$2:$N$301,$T41-1))</f>
        <v/>
      </c>
      <c r="O41" s="36">
        <f>IF($T41="","",INDEX(案件入力!$O$2:$O$301,$T41-1))</f>
        <v/>
      </c>
      <c r="P41" s="37">
        <f>IF($T41="","",INDEX(案件入力!$P$2:$P$301,$T41-1))</f>
        <v/>
      </c>
      <c r="Q41" s="35">
        <f>IF($T41="","",INDEX(案件入力!$Q$2:$Q$301,$T41-1))</f>
        <v/>
      </c>
      <c r="R41" s="35">
        <f>IF($T41="","",INDEX(案件入力!$R$2:$R$301,$T41-1))</f>
        <v/>
      </c>
      <c r="S41" s="35">
        <f>IF($T41="","",INDEX(案件入力!$S$2:$S$301,$T41-1))</f>
        <v/>
      </c>
      <c r="T41">
        <f t="array" ref="T41">IFERROR(SMALL(IF((案件入力!$A$2:$A$301&lt;&gt;"")*(案件入力!$R$2:$R$301&lt;&gt;"完了"),ROW(案件入力!$A$2:$A$301)),ROW()-1),"")</f>
        <v/>
      </c>
    </row>
    <row r="42">
      <c r="A42" s="35">
        <f>IF($T42="","",INDEX(案件入力!$A$2:$A$301,$T42-1))</f>
        <v/>
      </c>
      <c r="B42" s="36">
        <f>IF($T42="","",INDEX(案件入力!$B$2:$B$301,$T42-1))</f>
        <v/>
      </c>
      <c r="C42" s="35">
        <f>IF($T42="","",INDEX(案件入力!$C$2:$C$301,$T42-1))</f>
        <v/>
      </c>
      <c r="D42" s="37">
        <f>IF($T42="","",INDEX(案件入力!$D$2:$D$301,$T42-1))</f>
        <v/>
      </c>
      <c r="E42" s="35">
        <f>IF($T42="","",INDEX(案件入力!$E$2:$E$301,$T42-1))</f>
        <v/>
      </c>
      <c r="F42" s="35">
        <f>IF($T42="","",INDEX(案件入力!$F$2:$F$301,$T42-1))</f>
        <v/>
      </c>
      <c r="G42" s="35">
        <f>IF($T42="","",INDEX(案件入力!$G$2:$G$301,$T42-1))</f>
        <v/>
      </c>
      <c r="H42" s="49">
        <f>IF($T42="","",INDEX(案件入力!$H$2:$H$301,$T42-1))</f>
        <v/>
      </c>
      <c r="I42" s="49">
        <f>IF($T42="","",INDEX(案件入力!$I$2:$I$301,$T42-1))</f>
        <v/>
      </c>
      <c r="J42" s="39">
        <f>IF($T42="","",INDEX(案件入力!$J$2:$J$301,$T42-1))</f>
        <v/>
      </c>
      <c r="K42" s="36">
        <f>IF($T42="","",INDEX(案件入力!$K$2:$K$301,$T42-1))</f>
        <v/>
      </c>
      <c r="L42" s="49">
        <f>IF($T42="","",INDEX(案件入力!$L$2:$L$301,$T42-1))</f>
        <v/>
      </c>
      <c r="M42" s="49">
        <f>IF($T42="","",INDEX(案件入力!$M$2:$M$301,$T42-1))</f>
        <v/>
      </c>
      <c r="N42" s="39">
        <f>IF($T42="","",INDEX(案件入力!$N$2:$N$301,$T42-1))</f>
        <v/>
      </c>
      <c r="O42" s="36">
        <f>IF($T42="","",INDEX(案件入力!$O$2:$O$301,$T42-1))</f>
        <v/>
      </c>
      <c r="P42" s="37">
        <f>IF($T42="","",INDEX(案件入力!$P$2:$P$301,$T42-1))</f>
        <v/>
      </c>
      <c r="Q42" s="35">
        <f>IF($T42="","",INDEX(案件入力!$Q$2:$Q$301,$T42-1))</f>
        <v/>
      </c>
      <c r="R42" s="35">
        <f>IF($T42="","",INDEX(案件入力!$R$2:$R$301,$T42-1))</f>
        <v/>
      </c>
      <c r="S42" s="35">
        <f>IF($T42="","",INDEX(案件入力!$S$2:$S$301,$T42-1))</f>
        <v/>
      </c>
      <c r="T42">
        <f t="array" ref="T42">IFERROR(SMALL(IF((案件入力!$A$2:$A$301&lt;&gt;"")*(案件入力!$R$2:$R$301&lt;&gt;"完了"),ROW(案件入力!$A$2:$A$301)),ROW()-1),"")</f>
        <v/>
      </c>
    </row>
    <row r="43">
      <c r="A43" s="35">
        <f>IF($T43="","",INDEX(案件入力!$A$2:$A$301,$T43-1))</f>
        <v/>
      </c>
      <c r="B43" s="36">
        <f>IF($T43="","",INDEX(案件入力!$B$2:$B$301,$T43-1))</f>
        <v/>
      </c>
      <c r="C43" s="35">
        <f>IF($T43="","",INDEX(案件入力!$C$2:$C$301,$T43-1))</f>
        <v/>
      </c>
      <c r="D43" s="37">
        <f>IF($T43="","",INDEX(案件入力!$D$2:$D$301,$T43-1))</f>
        <v/>
      </c>
      <c r="E43" s="35">
        <f>IF($T43="","",INDEX(案件入力!$E$2:$E$301,$T43-1))</f>
        <v/>
      </c>
      <c r="F43" s="35">
        <f>IF($T43="","",INDEX(案件入力!$F$2:$F$301,$T43-1))</f>
        <v/>
      </c>
      <c r="G43" s="35">
        <f>IF($T43="","",INDEX(案件入力!$G$2:$G$301,$T43-1))</f>
        <v/>
      </c>
      <c r="H43" s="49">
        <f>IF($T43="","",INDEX(案件入力!$H$2:$H$301,$T43-1))</f>
        <v/>
      </c>
      <c r="I43" s="49">
        <f>IF($T43="","",INDEX(案件入力!$I$2:$I$301,$T43-1))</f>
        <v/>
      </c>
      <c r="J43" s="39">
        <f>IF($T43="","",INDEX(案件入力!$J$2:$J$301,$T43-1))</f>
        <v/>
      </c>
      <c r="K43" s="36">
        <f>IF($T43="","",INDEX(案件入力!$K$2:$K$301,$T43-1))</f>
        <v/>
      </c>
      <c r="L43" s="49">
        <f>IF($T43="","",INDEX(案件入力!$L$2:$L$301,$T43-1))</f>
        <v/>
      </c>
      <c r="M43" s="49">
        <f>IF($T43="","",INDEX(案件入力!$M$2:$M$301,$T43-1))</f>
        <v/>
      </c>
      <c r="N43" s="39">
        <f>IF($T43="","",INDEX(案件入力!$N$2:$N$301,$T43-1))</f>
        <v/>
      </c>
      <c r="O43" s="36">
        <f>IF($T43="","",INDEX(案件入力!$O$2:$O$301,$T43-1))</f>
        <v/>
      </c>
      <c r="P43" s="37">
        <f>IF($T43="","",INDEX(案件入力!$P$2:$P$301,$T43-1))</f>
        <v/>
      </c>
      <c r="Q43" s="35">
        <f>IF($T43="","",INDEX(案件入力!$Q$2:$Q$301,$T43-1))</f>
        <v/>
      </c>
      <c r="R43" s="35">
        <f>IF($T43="","",INDEX(案件入力!$R$2:$R$301,$T43-1))</f>
        <v/>
      </c>
      <c r="S43" s="35">
        <f>IF($T43="","",INDEX(案件入力!$S$2:$S$301,$T43-1))</f>
        <v/>
      </c>
      <c r="T43">
        <f t="array" ref="T43">IFERROR(SMALL(IF((案件入力!$A$2:$A$301&lt;&gt;"")*(案件入力!$R$2:$R$301&lt;&gt;"完了"),ROW(案件入力!$A$2:$A$301)),ROW()-1),"")</f>
        <v/>
      </c>
    </row>
    <row r="44">
      <c r="A44" s="35">
        <f>IF($T44="","",INDEX(案件入力!$A$2:$A$301,$T44-1))</f>
        <v/>
      </c>
      <c r="B44" s="36">
        <f>IF($T44="","",INDEX(案件入力!$B$2:$B$301,$T44-1))</f>
        <v/>
      </c>
      <c r="C44" s="35">
        <f>IF($T44="","",INDEX(案件入力!$C$2:$C$301,$T44-1))</f>
        <v/>
      </c>
      <c r="D44" s="37">
        <f>IF($T44="","",INDEX(案件入力!$D$2:$D$301,$T44-1))</f>
        <v/>
      </c>
      <c r="E44" s="35">
        <f>IF($T44="","",INDEX(案件入力!$E$2:$E$301,$T44-1))</f>
        <v/>
      </c>
      <c r="F44" s="35">
        <f>IF($T44="","",INDEX(案件入力!$F$2:$F$301,$T44-1))</f>
        <v/>
      </c>
      <c r="G44" s="35">
        <f>IF($T44="","",INDEX(案件入力!$G$2:$G$301,$T44-1))</f>
        <v/>
      </c>
      <c r="H44" s="49">
        <f>IF($T44="","",INDEX(案件入力!$H$2:$H$301,$T44-1))</f>
        <v/>
      </c>
      <c r="I44" s="49">
        <f>IF($T44="","",INDEX(案件入力!$I$2:$I$301,$T44-1))</f>
        <v/>
      </c>
      <c r="J44" s="39">
        <f>IF($T44="","",INDEX(案件入力!$J$2:$J$301,$T44-1))</f>
        <v/>
      </c>
      <c r="K44" s="36">
        <f>IF($T44="","",INDEX(案件入力!$K$2:$K$301,$T44-1))</f>
        <v/>
      </c>
      <c r="L44" s="49">
        <f>IF($T44="","",INDEX(案件入力!$L$2:$L$301,$T44-1))</f>
        <v/>
      </c>
      <c r="M44" s="49">
        <f>IF($T44="","",INDEX(案件入力!$M$2:$M$301,$T44-1))</f>
        <v/>
      </c>
      <c r="N44" s="39">
        <f>IF($T44="","",INDEX(案件入力!$N$2:$N$301,$T44-1))</f>
        <v/>
      </c>
      <c r="O44" s="36">
        <f>IF($T44="","",INDEX(案件入力!$O$2:$O$301,$T44-1))</f>
        <v/>
      </c>
      <c r="P44" s="37">
        <f>IF($T44="","",INDEX(案件入力!$P$2:$P$301,$T44-1))</f>
        <v/>
      </c>
      <c r="Q44" s="35">
        <f>IF($T44="","",INDEX(案件入力!$Q$2:$Q$301,$T44-1))</f>
        <v/>
      </c>
      <c r="R44" s="35">
        <f>IF($T44="","",INDEX(案件入力!$R$2:$R$301,$T44-1))</f>
        <v/>
      </c>
      <c r="S44" s="35">
        <f>IF($T44="","",INDEX(案件入力!$S$2:$S$301,$T44-1))</f>
        <v/>
      </c>
      <c r="T44">
        <f t="array" ref="T44">IFERROR(SMALL(IF((案件入力!$A$2:$A$301&lt;&gt;"")*(案件入力!$R$2:$R$301&lt;&gt;"完了"),ROW(案件入力!$A$2:$A$301)),ROW()-1),"")</f>
        <v/>
      </c>
    </row>
    <row r="45">
      <c r="A45" s="35">
        <f>IF($T45="","",INDEX(案件入力!$A$2:$A$301,$T45-1))</f>
        <v/>
      </c>
      <c r="B45" s="36">
        <f>IF($T45="","",INDEX(案件入力!$B$2:$B$301,$T45-1))</f>
        <v/>
      </c>
      <c r="C45" s="35">
        <f>IF($T45="","",INDEX(案件入力!$C$2:$C$301,$T45-1))</f>
        <v/>
      </c>
      <c r="D45" s="37">
        <f>IF($T45="","",INDEX(案件入力!$D$2:$D$301,$T45-1))</f>
        <v/>
      </c>
      <c r="E45" s="35">
        <f>IF($T45="","",INDEX(案件入力!$E$2:$E$301,$T45-1))</f>
        <v/>
      </c>
      <c r="F45" s="35">
        <f>IF($T45="","",INDEX(案件入力!$F$2:$F$301,$T45-1))</f>
        <v/>
      </c>
      <c r="G45" s="35">
        <f>IF($T45="","",INDEX(案件入力!$G$2:$G$301,$T45-1))</f>
        <v/>
      </c>
      <c r="H45" s="49">
        <f>IF($T45="","",INDEX(案件入力!$H$2:$H$301,$T45-1))</f>
        <v/>
      </c>
      <c r="I45" s="49">
        <f>IF($T45="","",INDEX(案件入力!$I$2:$I$301,$T45-1))</f>
        <v/>
      </c>
      <c r="J45" s="39">
        <f>IF($T45="","",INDEX(案件入力!$J$2:$J$301,$T45-1))</f>
        <v/>
      </c>
      <c r="K45" s="36">
        <f>IF($T45="","",INDEX(案件入力!$K$2:$K$301,$T45-1))</f>
        <v/>
      </c>
      <c r="L45" s="49">
        <f>IF($T45="","",INDEX(案件入力!$L$2:$L$301,$T45-1))</f>
        <v/>
      </c>
      <c r="M45" s="49">
        <f>IF($T45="","",INDEX(案件入力!$M$2:$M$301,$T45-1))</f>
        <v/>
      </c>
      <c r="N45" s="39">
        <f>IF($T45="","",INDEX(案件入力!$N$2:$N$301,$T45-1))</f>
        <v/>
      </c>
      <c r="O45" s="36">
        <f>IF($T45="","",INDEX(案件入力!$O$2:$O$301,$T45-1))</f>
        <v/>
      </c>
      <c r="P45" s="37">
        <f>IF($T45="","",INDEX(案件入力!$P$2:$P$301,$T45-1))</f>
        <v/>
      </c>
      <c r="Q45" s="35">
        <f>IF($T45="","",INDEX(案件入力!$Q$2:$Q$301,$T45-1))</f>
        <v/>
      </c>
      <c r="R45" s="35">
        <f>IF($T45="","",INDEX(案件入力!$R$2:$R$301,$T45-1))</f>
        <v/>
      </c>
      <c r="S45" s="35">
        <f>IF($T45="","",INDEX(案件入力!$S$2:$S$301,$T45-1))</f>
        <v/>
      </c>
      <c r="T45">
        <f t="array" ref="T45">IFERROR(SMALL(IF((案件入力!$A$2:$A$301&lt;&gt;"")*(案件入力!$R$2:$R$301&lt;&gt;"完了"),ROW(案件入力!$A$2:$A$301)),ROW()-1),"")</f>
        <v/>
      </c>
    </row>
    <row r="46">
      <c r="A46" s="35">
        <f>IF($T46="","",INDEX(案件入力!$A$2:$A$301,$T46-1))</f>
        <v/>
      </c>
      <c r="B46" s="36">
        <f>IF($T46="","",INDEX(案件入力!$B$2:$B$301,$T46-1))</f>
        <v/>
      </c>
      <c r="C46" s="35">
        <f>IF($T46="","",INDEX(案件入力!$C$2:$C$301,$T46-1))</f>
        <v/>
      </c>
      <c r="D46" s="37">
        <f>IF($T46="","",INDEX(案件入力!$D$2:$D$301,$T46-1))</f>
        <v/>
      </c>
      <c r="E46" s="35">
        <f>IF($T46="","",INDEX(案件入力!$E$2:$E$301,$T46-1))</f>
        <v/>
      </c>
      <c r="F46" s="35">
        <f>IF($T46="","",INDEX(案件入力!$F$2:$F$301,$T46-1))</f>
        <v/>
      </c>
      <c r="G46" s="35">
        <f>IF($T46="","",INDEX(案件入力!$G$2:$G$301,$T46-1))</f>
        <v/>
      </c>
      <c r="H46" s="49">
        <f>IF($T46="","",INDEX(案件入力!$H$2:$H$301,$T46-1))</f>
        <v/>
      </c>
      <c r="I46" s="49">
        <f>IF($T46="","",INDEX(案件入力!$I$2:$I$301,$T46-1))</f>
        <v/>
      </c>
      <c r="J46" s="39">
        <f>IF($T46="","",INDEX(案件入力!$J$2:$J$301,$T46-1))</f>
        <v/>
      </c>
      <c r="K46" s="36">
        <f>IF($T46="","",INDEX(案件入力!$K$2:$K$301,$T46-1))</f>
        <v/>
      </c>
      <c r="L46" s="49">
        <f>IF($T46="","",INDEX(案件入力!$L$2:$L$301,$T46-1))</f>
        <v/>
      </c>
      <c r="M46" s="49">
        <f>IF($T46="","",INDEX(案件入力!$M$2:$M$301,$T46-1))</f>
        <v/>
      </c>
      <c r="N46" s="39">
        <f>IF($T46="","",INDEX(案件入力!$N$2:$N$301,$T46-1))</f>
        <v/>
      </c>
      <c r="O46" s="36">
        <f>IF($T46="","",INDEX(案件入力!$O$2:$O$301,$T46-1))</f>
        <v/>
      </c>
      <c r="P46" s="37">
        <f>IF($T46="","",INDEX(案件入力!$P$2:$P$301,$T46-1))</f>
        <v/>
      </c>
      <c r="Q46" s="35">
        <f>IF($T46="","",INDEX(案件入力!$Q$2:$Q$301,$T46-1))</f>
        <v/>
      </c>
      <c r="R46" s="35">
        <f>IF($T46="","",INDEX(案件入力!$R$2:$R$301,$T46-1))</f>
        <v/>
      </c>
      <c r="S46" s="35">
        <f>IF($T46="","",INDEX(案件入力!$S$2:$S$301,$T46-1))</f>
        <v/>
      </c>
      <c r="T46">
        <f t="array" ref="T46">IFERROR(SMALL(IF((案件入力!$A$2:$A$301&lt;&gt;"")*(案件入力!$R$2:$R$301&lt;&gt;"完了"),ROW(案件入力!$A$2:$A$301)),ROW()-1),"")</f>
        <v/>
      </c>
    </row>
    <row r="47">
      <c r="A47" s="35">
        <f>IF($T47="","",INDEX(案件入力!$A$2:$A$301,$T47-1))</f>
        <v/>
      </c>
      <c r="B47" s="36">
        <f>IF($T47="","",INDEX(案件入力!$B$2:$B$301,$T47-1))</f>
        <v/>
      </c>
      <c r="C47" s="35">
        <f>IF($T47="","",INDEX(案件入力!$C$2:$C$301,$T47-1))</f>
        <v/>
      </c>
      <c r="D47" s="37">
        <f>IF($T47="","",INDEX(案件入力!$D$2:$D$301,$T47-1))</f>
        <v/>
      </c>
      <c r="E47" s="35">
        <f>IF($T47="","",INDEX(案件入力!$E$2:$E$301,$T47-1))</f>
        <v/>
      </c>
      <c r="F47" s="35">
        <f>IF($T47="","",INDEX(案件入力!$F$2:$F$301,$T47-1))</f>
        <v/>
      </c>
      <c r="G47" s="35">
        <f>IF($T47="","",INDEX(案件入力!$G$2:$G$301,$T47-1))</f>
        <v/>
      </c>
      <c r="H47" s="49">
        <f>IF($T47="","",INDEX(案件入力!$H$2:$H$301,$T47-1))</f>
        <v/>
      </c>
      <c r="I47" s="49">
        <f>IF($T47="","",INDEX(案件入力!$I$2:$I$301,$T47-1))</f>
        <v/>
      </c>
      <c r="J47" s="39">
        <f>IF($T47="","",INDEX(案件入力!$J$2:$J$301,$T47-1))</f>
        <v/>
      </c>
      <c r="K47" s="36">
        <f>IF($T47="","",INDEX(案件入力!$K$2:$K$301,$T47-1))</f>
        <v/>
      </c>
      <c r="L47" s="49">
        <f>IF($T47="","",INDEX(案件入力!$L$2:$L$301,$T47-1))</f>
        <v/>
      </c>
      <c r="M47" s="49">
        <f>IF($T47="","",INDEX(案件入力!$M$2:$M$301,$T47-1))</f>
        <v/>
      </c>
      <c r="N47" s="39">
        <f>IF($T47="","",INDEX(案件入力!$N$2:$N$301,$T47-1))</f>
        <v/>
      </c>
      <c r="O47" s="36">
        <f>IF($T47="","",INDEX(案件入力!$O$2:$O$301,$T47-1))</f>
        <v/>
      </c>
      <c r="P47" s="37">
        <f>IF($T47="","",INDEX(案件入力!$P$2:$P$301,$T47-1))</f>
        <v/>
      </c>
      <c r="Q47" s="35">
        <f>IF($T47="","",INDEX(案件入力!$Q$2:$Q$301,$T47-1))</f>
        <v/>
      </c>
      <c r="R47" s="35">
        <f>IF($T47="","",INDEX(案件入力!$R$2:$R$301,$T47-1))</f>
        <v/>
      </c>
      <c r="S47" s="35">
        <f>IF($T47="","",INDEX(案件入力!$S$2:$S$301,$T47-1))</f>
        <v/>
      </c>
      <c r="T47">
        <f t="array" ref="T47">IFERROR(SMALL(IF((案件入力!$A$2:$A$301&lt;&gt;"")*(案件入力!$R$2:$R$301&lt;&gt;"完了"),ROW(案件入力!$A$2:$A$301)),ROW()-1),"")</f>
        <v/>
      </c>
    </row>
    <row r="48">
      <c r="A48" s="35">
        <f>IF($T48="","",INDEX(案件入力!$A$2:$A$301,$T48-1))</f>
        <v/>
      </c>
      <c r="B48" s="36">
        <f>IF($T48="","",INDEX(案件入力!$B$2:$B$301,$T48-1))</f>
        <v/>
      </c>
      <c r="C48" s="35">
        <f>IF($T48="","",INDEX(案件入力!$C$2:$C$301,$T48-1))</f>
        <v/>
      </c>
      <c r="D48" s="37">
        <f>IF($T48="","",INDEX(案件入力!$D$2:$D$301,$T48-1))</f>
        <v/>
      </c>
      <c r="E48" s="35">
        <f>IF($T48="","",INDEX(案件入力!$E$2:$E$301,$T48-1))</f>
        <v/>
      </c>
      <c r="F48" s="35">
        <f>IF($T48="","",INDEX(案件入力!$F$2:$F$301,$T48-1))</f>
        <v/>
      </c>
      <c r="G48" s="35">
        <f>IF($T48="","",INDEX(案件入力!$G$2:$G$301,$T48-1))</f>
        <v/>
      </c>
      <c r="H48" s="49">
        <f>IF($T48="","",INDEX(案件入力!$H$2:$H$301,$T48-1))</f>
        <v/>
      </c>
      <c r="I48" s="49">
        <f>IF($T48="","",INDEX(案件入力!$I$2:$I$301,$T48-1))</f>
        <v/>
      </c>
      <c r="J48" s="39">
        <f>IF($T48="","",INDEX(案件入力!$J$2:$J$301,$T48-1))</f>
        <v/>
      </c>
      <c r="K48" s="36">
        <f>IF($T48="","",INDEX(案件入力!$K$2:$K$301,$T48-1))</f>
        <v/>
      </c>
      <c r="L48" s="49">
        <f>IF($T48="","",INDEX(案件入力!$L$2:$L$301,$T48-1))</f>
        <v/>
      </c>
      <c r="M48" s="49">
        <f>IF($T48="","",INDEX(案件入力!$M$2:$M$301,$T48-1))</f>
        <v/>
      </c>
      <c r="N48" s="39">
        <f>IF($T48="","",INDEX(案件入力!$N$2:$N$301,$T48-1))</f>
        <v/>
      </c>
      <c r="O48" s="36">
        <f>IF($T48="","",INDEX(案件入力!$O$2:$O$301,$T48-1))</f>
        <v/>
      </c>
      <c r="P48" s="37">
        <f>IF($T48="","",INDEX(案件入力!$P$2:$P$301,$T48-1))</f>
        <v/>
      </c>
      <c r="Q48" s="35">
        <f>IF($T48="","",INDEX(案件入力!$Q$2:$Q$301,$T48-1))</f>
        <v/>
      </c>
      <c r="R48" s="35">
        <f>IF($T48="","",INDEX(案件入力!$R$2:$R$301,$T48-1))</f>
        <v/>
      </c>
      <c r="S48" s="35">
        <f>IF($T48="","",INDEX(案件入力!$S$2:$S$301,$T48-1))</f>
        <v/>
      </c>
      <c r="T48">
        <f t="array" ref="T48">IFERROR(SMALL(IF((案件入力!$A$2:$A$301&lt;&gt;"")*(案件入力!$R$2:$R$301&lt;&gt;"完了"),ROW(案件入力!$A$2:$A$301)),ROW()-1),"")</f>
        <v/>
      </c>
    </row>
    <row r="49">
      <c r="A49" s="35">
        <f>IF($T49="","",INDEX(案件入力!$A$2:$A$301,$T49-1))</f>
        <v/>
      </c>
      <c r="B49" s="36">
        <f>IF($T49="","",INDEX(案件入力!$B$2:$B$301,$T49-1))</f>
        <v/>
      </c>
      <c r="C49" s="35">
        <f>IF($T49="","",INDEX(案件入力!$C$2:$C$301,$T49-1))</f>
        <v/>
      </c>
      <c r="D49" s="37">
        <f>IF($T49="","",INDEX(案件入力!$D$2:$D$301,$T49-1))</f>
        <v/>
      </c>
      <c r="E49" s="35">
        <f>IF($T49="","",INDEX(案件入力!$E$2:$E$301,$T49-1))</f>
        <v/>
      </c>
      <c r="F49" s="35">
        <f>IF($T49="","",INDEX(案件入力!$F$2:$F$301,$T49-1))</f>
        <v/>
      </c>
      <c r="G49" s="35">
        <f>IF($T49="","",INDEX(案件入力!$G$2:$G$301,$T49-1))</f>
        <v/>
      </c>
      <c r="H49" s="49">
        <f>IF($T49="","",INDEX(案件入力!$H$2:$H$301,$T49-1))</f>
        <v/>
      </c>
      <c r="I49" s="49">
        <f>IF($T49="","",INDEX(案件入力!$I$2:$I$301,$T49-1))</f>
        <v/>
      </c>
      <c r="J49" s="39">
        <f>IF($T49="","",INDEX(案件入力!$J$2:$J$301,$T49-1))</f>
        <v/>
      </c>
      <c r="K49" s="36">
        <f>IF($T49="","",INDEX(案件入力!$K$2:$K$301,$T49-1))</f>
        <v/>
      </c>
      <c r="L49" s="49">
        <f>IF($T49="","",INDEX(案件入力!$L$2:$L$301,$T49-1))</f>
        <v/>
      </c>
      <c r="M49" s="49">
        <f>IF($T49="","",INDEX(案件入力!$M$2:$M$301,$T49-1))</f>
        <v/>
      </c>
      <c r="N49" s="39">
        <f>IF($T49="","",INDEX(案件入力!$N$2:$N$301,$T49-1))</f>
        <v/>
      </c>
      <c r="O49" s="36">
        <f>IF($T49="","",INDEX(案件入力!$O$2:$O$301,$T49-1))</f>
        <v/>
      </c>
      <c r="P49" s="37">
        <f>IF($T49="","",INDEX(案件入力!$P$2:$P$301,$T49-1))</f>
        <v/>
      </c>
      <c r="Q49" s="35">
        <f>IF($T49="","",INDEX(案件入力!$Q$2:$Q$301,$T49-1))</f>
        <v/>
      </c>
      <c r="R49" s="35">
        <f>IF($T49="","",INDEX(案件入力!$R$2:$R$301,$T49-1))</f>
        <v/>
      </c>
      <c r="S49" s="35">
        <f>IF($T49="","",INDEX(案件入力!$S$2:$S$301,$T49-1))</f>
        <v/>
      </c>
      <c r="T49">
        <f t="array" ref="T49">IFERROR(SMALL(IF((案件入力!$A$2:$A$301&lt;&gt;"")*(案件入力!$R$2:$R$301&lt;&gt;"完了"),ROW(案件入力!$A$2:$A$301)),ROW()-1),"")</f>
        <v/>
      </c>
    </row>
    <row r="50">
      <c r="A50" s="35">
        <f>IF($T50="","",INDEX(案件入力!$A$2:$A$301,$T50-1))</f>
        <v/>
      </c>
      <c r="B50" s="36">
        <f>IF($T50="","",INDEX(案件入力!$B$2:$B$301,$T50-1))</f>
        <v/>
      </c>
      <c r="C50" s="35">
        <f>IF($T50="","",INDEX(案件入力!$C$2:$C$301,$T50-1))</f>
        <v/>
      </c>
      <c r="D50" s="37">
        <f>IF($T50="","",INDEX(案件入力!$D$2:$D$301,$T50-1))</f>
        <v/>
      </c>
      <c r="E50" s="35">
        <f>IF($T50="","",INDEX(案件入力!$E$2:$E$301,$T50-1))</f>
        <v/>
      </c>
      <c r="F50" s="35">
        <f>IF($T50="","",INDEX(案件入力!$F$2:$F$301,$T50-1))</f>
        <v/>
      </c>
      <c r="G50" s="35">
        <f>IF($T50="","",INDEX(案件入力!$G$2:$G$301,$T50-1))</f>
        <v/>
      </c>
      <c r="H50" s="49">
        <f>IF($T50="","",INDEX(案件入力!$H$2:$H$301,$T50-1))</f>
        <v/>
      </c>
      <c r="I50" s="49">
        <f>IF($T50="","",INDEX(案件入力!$I$2:$I$301,$T50-1))</f>
        <v/>
      </c>
      <c r="J50" s="39">
        <f>IF($T50="","",INDEX(案件入力!$J$2:$J$301,$T50-1))</f>
        <v/>
      </c>
      <c r="K50" s="36">
        <f>IF($T50="","",INDEX(案件入力!$K$2:$K$301,$T50-1))</f>
        <v/>
      </c>
      <c r="L50" s="49">
        <f>IF($T50="","",INDEX(案件入力!$L$2:$L$301,$T50-1))</f>
        <v/>
      </c>
      <c r="M50" s="49">
        <f>IF($T50="","",INDEX(案件入力!$M$2:$M$301,$T50-1))</f>
        <v/>
      </c>
      <c r="N50" s="39">
        <f>IF($T50="","",INDEX(案件入力!$N$2:$N$301,$T50-1))</f>
        <v/>
      </c>
      <c r="O50" s="36">
        <f>IF($T50="","",INDEX(案件入力!$O$2:$O$301,$T50-1))</f>
        <v/>
      </c>
      <c r="P50" s="37">
        <f>IF($T50="","",INDEX(案件入力!$P$2:$P$301,$T50-1))</f>
        <v/>
      </c>
      <c r="Q50" s="35">
        <f>IF($T50="","",INDEX(案件入力!$Q$2:$Q$301,$T50-1))</f>
        <v/>
      </c>
      <c r="R50" s="35">
        <f>IF($T50="","",INDEX(案件入力!$R$2:$R$301,$T50-1))</f>
        <v/>
      </c>
      <c r="S50" s="35">
        <f>IF($T50="","",INDEX(案件入力!$S$2:$S$301,$T50-1))</f>
        <v/>
      </c>
      <c r="T50">
        <f t="array" ref="T50">IFERROR(SMALL(IF((案件入力!$A$2:$A$301&lt;&gt;"")*(案件入力!$R$2:$R$301&lt;&gt;"完了"),ROW(案件入力!$A$2:$A$301)),ROW()-1),"")</f>
        <v/>
      </c>
    </row>
    <row r="51">
      <c r="A51" s="35">
        <f>IF($T51="","",INDEX(案件入力!$A$2:$A$301,$T51-1))</f>
        <v/>
      </c>
      <c r="B51" s="36">
        <f>IF($T51="","",INDEX(案件入力!$B$2:$B$301,$T51-1))</f>
        <v/>
      </c>
      <c r="C51" s="35">
        <f>IF($T51="","",INDEX(案件入力!$C$2:$C$301,$T51-1))</f>
        <v/>
      </c>
      <c r="D51" s="37">
        <f>IF($T51="","",INDEX(案件入力!$D$2:$D$301,$T51-1))</f>
        <v/>
      </c>
      <c r="E51" s="35">
        <f>IF($T51="","",INDEX(案件入力!$E$2:$E$301,$T51-1))</f>
        <v/>
      </c>
      <c r="F51" s="35">
        <f>IF($T51="","",INDEX(案件入力!$F$2:$F$301,$T51-1))</f>
        <v/>
      </c>
      <c r="G51" s="35">
        <f>IF($T51="","",INDEX(案件入力!$G$2:$G$301,$T51-1))</f>
        <v/>
      </c>
      <c r="H51" s="49">
        <f>IF($T51="","",INDEX(案件入力!$H$2:$H$301,$T51-1))</f>
        <v/>
      </c>
      <c r="I51" s="49">
        <f>IF($T51="","",INDEX(案件入力!$I$2:$I$301,$T51-1))</f>
        <v/>
      </c>
      <c r="J51" s="39">
        <f>IF($T51="","",INDEX(案件入力!$J$2:$J$301,$T51-1))</f>
        <v/>
      </c>
      <c r="K51" s="36">
        <f>IF($T51="","",INDEX(案件入力!$K$2:$K$301,$T51-1))</f>
        <v/>
      </c>
      <c r="L51" s="49">
        <f>IF($T51="","",INDEX(案件入力!$L$2:$L$301,$T51-1))</f>
        <v/>
      </c>
      <c r="M51" s="49">
        <f>IF($T51="","",INDEX(案件入力!$M$2:$M$301,$T51-1))</f>
        <v/>
      </c>
      <c r="N51" s="39">
        <f>IF($T51="","",INDEX(案件入力!$N$2:$N$301,$T51-1))</f>
        <v/>
      </c>
      <c r="O51" s="36">
        <f>IF($T51="","",INDEX(案件入力!$O$2:$O$301,$T51-1))</f>
        <v/>
      </c>
      <c r="P51" s="37">
        <f>IF($T51="","",INDEX(案件入力!$P$2:$P$301,$T51-1))</f>
        <v/>
      </c>
      <c r="Q51" s="35">
        <f>IF($T51="","",INDEX(案件入力!$Q$2:$Q$301,$T51-1))</f>
        <v/>
      </c>
      <c r="R51" s="35">
        <f>IF($T51="","",INDEX(案件入力!$R$2:$R$301,$T51-1))</f>
        <v/>
      </c>
      <c r="S51" s="35">
        <f>IF($T51="","",INDEX(案件入力!$S$2:$S$301,$T51-1))</f>
        <v/>
      </c>
      <c r="T51">
        <f t="array" ref="T51">IFERROR(SMALL(IF((案件入力!$A$2:$A$301&lt;&gt;"")*(案件入力!$R$2:$R$301&lt;&gt;"完了"),ROW(案件入力!$A$2:$A$301)),ROW()-1),"")</f>
        <v/>
      </c>
    </row>
    <row r="52">
      <c r="A52" s="35">
        <f>IF($T52="","",INDEX(案件入力!$A$2:$A$301,$T52-1))</f>
        <v/>
      </c>
      <c r="B52" s="36">
        <f>IF($T52="","",INDEX(案件入力!$B$2:$B$301,$T52-1))</f>
        <v/>
      </c>
      <c r="C52" s="35">
        <f>IF($T52="","",INDEX(案件入力!$C$2:$C$301,$T52-1))</f>
        <v/>
      </c>
      <c r="D52" s="37">
        <f>IF($T52="","",INDEX(案件入力!$D$2:$D$301,$T52-1))</f>
        <v/>
      </c>
      <c r="E52" s="35">
        <f>IF($T52="","",INDEX(案件入力!$E$2:$E$301,$T52-1))</f>
        <v/>
      </c>
      <c r="F52" s="35">
        <f>IF($T52="","",INDEX(案件入力!$F$2:$F$301,$T52-1))</f>
        <v/>
      </c>
      <c r="G52" s="35">
        <f>IF($T52="","",INDEX(案件入力!$G$2:$G$301,$T52-1))</f>
        <v/>
      </c>
      <c r="H52" s="49">
        <f>IF($T52="","",INDEX(案件入力!$H$2:$H$301,$T52-1))</f>
        <v/>
      </c>
      <c r="I52" s="49">
        <f>IF($T52="","",INDEX(案件入力!$I$2:$I$301,$T52-1))</f>
        <v/>
      </c>
      <c r="J52" s="39">
        <f>IF($T52="","",INDEX(案件入力!$J$2:$J$301,$T52-1))</f>
        <v/>
      </c>
      <c r="K52" s="36">
        <f>IF($T52="","",INDEX(案件入力!$K$2:$K$301,$T52-1))</f>
        <v/>
      </c>
      <c r="L52" s="49">
        <f>IF($T52="","",INDEX(案件入力!$L$2:$L$301,$T52-1))</f>
        <v/>
      </c>
      <c r="M52" s="49">
        <f>IF($T52="","",INDEX(案件入力!$M$2:$M$301,$T52-1))</f>
        <v/>
      </c>
      <c r="N52" s="39">
        <f>IF($T52="","",INDEX(案件入力!$N$2:$N$301,$T52-1))</f>
        <v/>
      </c>
      <c r="O52" s="36">
        <f>IF($T52="","",INDEX(案件入力!$O$2:$O$301,$T52-1))</f>
        <v/>
      </c>
      <c r="P52" s="37">
        <f>IF($T52="","",INDEX(案件入力!$P$2:$P$301,$T52-1))</f>
        <v/>
      </c>
      <c r="Q52" s="35">
        <f>IF($T52="","",INDEX(案件入力!$Q$2:$Q$301,$T52-1))</f>
        <v/>
      </c>
      <c r="R52" s="35">
        <f>IF($T52="","",INDEX(案件入力!$R$2:$R$301,$T52-1))</f>
        <v/>
      </c>
      <c r="S52" s="35">
        <f>IF($T52="","",INDEX(案件入力!$S$2:$S$301,$T52-1))</f>
        <v/>
      </c>
      <c r="T52">
        <f t="array" ref="T52">IFERROR(SMALL(IF((案件入力!$A$2:$A$301&lt;&gt;"")*(案件入力!$R$2:$R$301&lt;&gt;"完了"),ROW(案件入力!$A$2:$A$301)),ROW()-1),"")</f>
        <v/>
      </c>
    </row>
    <row r="53">
      <c r="A53" s="35">
        <f>IF($T53="","",INDEX(案件入力!$A$2:$A$301,$T53-1))</f>
        <v/>
      </c>
      <c r="B53" s="36">
        <f>IF($T53="","",INDEX(案件入力!$B$2:$B$301,$T53-1))</f>
        <v/>
      </c>
      <c r="C53" s="35">
        <f>IF($T53="","",INDEX(案件入力!$C$2:$C$301,$T53-1))</f>
        <v/>
      </c>
      <c r="D53" s="37">
        <f>IF($T53="","",INDEX(案件入力!$D$2:$D$301,$T53-1))</f>
        <v/>
      </c>
      <c r="E53" s="35">
        <f>IF($T53="","",INDEX(案件入力!$E$2:$E$301,$T53-1))</f>
        <v/>
      </c>
      <c r="F53" s="35">
        <f>IF($T53="","",INDEX(案件入力!$F$2:$F$301,$T53-1))</f>
        <v/>
      </c>
      <c r="G53" s="35">
        <f>IF($T53="","",INDEX(案件入力!$G$2:$G$301,$T53-1))</f>
        <v/>
      </c>
      <c r="H53" s="49">
        <f>IF($T53="","",INDEX(案件入力!$H$2:$H$301,$T53-1))</f>
        <v/>
      </c>
      <c r="I53" s="49">
        <f>IF($T53="","",INDEX(案件入力!$I$2:$I$301,$T53-1))</f>
        <v/>
      </c>
      <c r="J53" s="39">
        <f>IF($T53="","",INDEX(案件入力!$J$2:$J$301,$T53-1))</f>
        <v/>
      </c>
      <c r="K53" s="36">
        <f>IF($T53="","",INDEX(案件入力!$K$2:$K$301,$T53-1))</f>
        <v/>
      </c>
      <c r="L53" s="49">
        <f>IF($T53="","",INDEX(案件入力!$L$2:$L$301,$T53-1))</f>
        <v/>
      </c>
      <c r="M53" s="49">
        <f>IF($T53="","",INDEX(案件入力!$M$2:$M$301,$T53-1))</f>
        <v/>
      </c>
      <c r="N53" s="39">
        <f>IF($T53="","",INDEX(案件入力!$N$2:$N$301,$T53-1))</f>
        <v/>
      </c>
      <c r="O53" s="36">
        <f>IF($T53="","",INDEX(案件入力!$O$2:$O$301,$T53-1))</f>
        <v/>
      </c>
      <c r="P53" s="37">
        <f>IF($T53="","",INDEX(案件入力!$P$2:$P$301,$T53-1))</f>
        <v/>
      </c>
      <c r="Q53" s="35">
        <f>IF($T53="","",INDEX(案件入力!$Q$2:$Q$301,$T53-1))</f>
        <v/>
      </c>
      <c r="R53" s="35">
        <f>IF($T53="","",INDEX(案件入力!$R$2:$R$301,$T53-1))</f>
        <v/>
      </c>
      <c r="S53" s="35">
        <f>IF($T53="","",INDEX(案件入力!$S$2:$S$301,$T53-1))</f>
        <v/>
      </c>
      <c r="T53">
        <f t="array" ref="T53">IFERROR(SMALL(IF((案件入力!$A$2:$A$301&lt;&gt;"")*(案件入力!$R$2:$R$301&lt;&gt;"完了"),ROW(案件入力!$A$2:$A$301)),ROW()-1),"")</f>
        <v/>
      </c>
    </row>
    <row r="54">
      <c r="A54" s="35">
        <f>IF($T54="","",INDEX(案件入力!$A$2:$A$301,$T54-1))</f>
        <v/>
      </c>
      <c r="B54" s="36">
        <f>IF($T54="","",INDEX(案件入力!$B$2:$B$301,$T54-1))</f>
        <v/>
      </c>
      <c r="C54" s="35">
        <f>IF($T54="","",INDEX(案件入力!$C$2:$C$301,$T54-1))</f>
        <v/>
      </c>
      <c r="D54" s="37">
        <f>IF($T54="","",INDEX(案件入力!$D$2:$D$301,$T54-1))</f>
        <v/>
      </c>
      <c r="E54" s="35">
        <f>IF($T54="","",INDEX(案件入力!$E$2:$E$301,$T54-1))</f>
        <v/>
      </c>
      <c r="F54" s="35">
        <f>IF($T54="","",INDEX(案件入力!$F$2:$F$301,$T54-1))</f>
        <v/>
      </c>
      <c r="G54" s="35">
        <f>IF($T54="","",INDEX(案件入力!$G$2:$G$301,$T54-1))</f>
        <v/>
      </c>
      <c r="H54" s="49">
        <f>IF($T54="","",INDEX(案件入力!$H$2:$H$301,$T54-1))</f>
        <v/>
      </c>
      <c r="I54" s="49">
        <f>IF($T54="","",INDEX(案件入力!$I$2:$I$301,$T54-1))</f>
        <v/>
      </c>
      <c r="J54" s="39">
        <f>IF($T54="","",INDEX(案件入力!$J$2:$J$301,$T54-1))</f>
        <v/>
      </c>
      <c r="K54" s="36">
        <f>IF($T54="","",INDEX(案件入力!$K$2:$K$301,$T54-1))</f>
        <v/>
      </c>
      <c r="L54" s="49">
        <f>IF($T54="","",INDEX(案件入力!$L$2:$L$301,$T54-1))</f>
        <v/>
      </c>
      <c r="M54" s="49">
        <f>IF($T54="","",INDEX(案件入力!$M$2:$M$301,$T54-1))</f>
        <v/>
      </c>
      <c r="N54" s="39">
        <f>IF($T54="","",INDEX(案件入力!$N$2:$N$301,$T54-1))</f>
        <v/>
      </c>
      <c r="O54" s="36">
        <f>IF($T54="","",INDEX(案件入力!$O$2:$O$301,$T54-1))</f>
        <v/>
      </c>
      <c r="P54" s="37">
        <f>IF($T54="","",INDEX(案件入力!$P$2:$P$301,$T54-1))</f>
        <v/>
      </c>
      <c r="Q54" s="35">
        <f>IF($T54="","",INDEX(案件入力!$Q$2:$Q$301,$T54-1))</f>
        <v/>
      </c>
      <c r="R54" s="35">
        <f>IF($T54="","",INDEX(案件入力!$R$2:$R$301,$T54-1))</f>
        <v/>
      </c>
      <c r="S54" s="35">
        <f>IF($T54="","",INDEX(案件入力!$S$2:$S$301,$T54-1))</f>
        <v/>
      </c>
      <c r="T54">
        <f t="array" ref="T54">IFERROR(SMALL(IF((案件入力!$A$2:$A$301&lt;&gt;"")*(案件入力!$R$2:$R$301&lt;&gt;"完了"),ROW(案件入力!$A$2:$A$301)),ROW()-1),"")</f>
        <v/>
      </c>
    </row>
    <row r="55">
      <c r="A55" s="35">
        <f>IF($T55="","",INDEX(案件入力!$A$2:$A$301,$T55-1))</f>
        <v/>
      </c>
      <c r="B55" s="36">
        <f>IF($T55="","",INDEX(案件入力!$B$2:$B$301,$T55-1))</f>
        <v/>
      </c>
      <c r="C55" s="35">
        <f>IF($T55="","",INDEX(案件入力!$C$2:$C$301,$T55-1))</f>
        <v/>
      </c>
      <c r="D55" s="37">
        <f>IF($T55="","",INDEX(案件入力!$D$2:$D$301,$T55-1))</f>
        <v/>
      </c>
      <c r="E55" s="35">
        <f>IF($T55="","",INDEX(案件入力!$E$2:$E$301,$T55-1))</f>
        <v/>
      </c>
      <c r="F55" s="35">
        <f>IF($T55="","",INDEX(案件入力!$F$2:$F$301,$T55-1))</f>
        <v/>
      </c>
      <c r="G55" s="35">
        <f>IF($T55="","",INDEX(案件入力!$G$2:$G$301,$T55-1))</f>
        <v/>
      </c>
      <c r="H55" s="49">
        <f>IF($T55="","",INDEX(案件入力!$H$2:$H$301,$T55-1))</f>
        <v/>
      </c>
      <c r="I55" s="49">
        <f>IF($T55="","",INDEX(案件入力!$I$2:$I$301,$T55-1))</f>
        <v/>
      </c>
      <c r="J55" s="39">
        <f>IF($T55="","",INDEX(案件入力!$J$2:$J$301,$T55-1))</f>
        <v/>
      </c>
      <c r="K55" s="36">
        <f>IF($T55="","",INDEX(案件入力!$K$2:$K$301,$T55-1))</f>
        <v/>
      </c>
      <c r="L55" s="49">
        <f>IF($T55="","",INDEX(案件入力!$L$2:$L$301,$T55-1))</f>
        <v/>
      </c>
      <c r="M55" s="49">
        <f>IF($T55="","",INDEX(案件入力!$M$2:$M$301,$T55-1))</f>
        <v/>
      </c>
      <c r="N55" s="39">
        <f>IF($T55="","",INDEX(案件入力!$N$2:$N$301,$T55-1))</f>
        <v/>
      </c>
      <c r="O55" s="36">
        <f>IF($T55="","",INDEX(案件入力!$O$2:$O$301,$T55-1))</f>
        <v/>
      </c>
      <c r="P55" s="37">
        <f>IF($T55="","",INDEX(案件入力!$P$2:$P$301,$T55-1))</f>
        <v/>
      </c>
      <c r="Q55" s="35">
        <f>IF($T55="","",INDEX(案件入力!$Q$2:$Q$301,$T55-1))</f>
        <v/>
      </c>
      <c r="R55" s="35">
        <f>IF($T55="","",INDEX(案件入力!$R$2:$R$301,$T55-1))</f>
        <v/>
      </c>
      <c r="S55" s="35">
        <f>IF($T55="","",INDEX(案件入力!$S$2:$S$301,$T55-1))</f>
        <v/>
      </c>
      <c r="T55">
        <f t="array" ref="T55">IFERROR(SMALL(IF((案件入力!$A$2:$A$301&lt;&gt;"")*(案件入力!$R$2:$R$301&lt;&gt;"完了"),ROW(案件入力!$A$2:$A$301)),ROW()-1),"")</f>
        <v/>
      </c>
    </row>
    <row r="56">
      <c r="A56" s="35">
        <f>IF($T56="","",INDEX(案件入力!$A$2:$A$301,$T56-1))</f>
        <v/>
      </c>
      <c r="B56" s="36">
        <f>IF($T56="","",INDEX(案件入力!$B$2:$B$301,$T56-1))</f>
        <v/>
      </c>
      <c r="C56" s="35">
        <f>IF($T56="","",INDEX(案件入力!$C$2:$C$301,$T56-1))</f>
        <v/>
      </c>
      <c r="D56" s="37">
        <f>IF($T56="","",INDEX(案件入力!$D$2:$D$301,$T56-1))</f>
        <v/>
      </c>
      <c r="E56" s="35">
        <f>IF($T56="","",INDEX(案件入力!$E$2:$E$301,$T56-1))</f>
        <v/>
      </c>
      <c r="F56" s="35">
        <f>IF($T56="","",INDEX(案件入力!$F$2:$F$301,$T56-1))</f>
        <v/>
      </c>
      <c r="G56" s="35">
        <f>IF($T56="","",INDEX(案件入力!$G$2:$G$301,$T56-1))</f>
        <v/>
      </c>
      <c r="H56" s="49">
        <f>IF($T56="","",INDEX(案件入力!$H$2:$H$301,$T56-1))</f>
        <v/>
      </c>
      <c r="I56" s="49">
        <f>IF($T56="","",INDEX(案件入力!$I$2:$I$301,$T56-1))</f>
        <v/>
      </c>
      <c r="J56" s="39">
        <f>IF($T56="","",INDEX(案件入力!$J$2:$J$301,$T56-1))</f>
        <v/>
      </c>
      <c r="K56" s="36">
        <f>IF($T56="","",INDEX(案件入力!$K$2:$K$301,$T56-1))</f>
        <v/>
      </c>
      <c r="L56" s="49">
        <f>IF($T56="","",INDEX(案件入力!$L$2:$L$301,$T56-1))</f>
        <v/>
      </c>
      <c r="M56" s="49">
        <f>IF($T56="","",INDEX(案件入力!$M$2:$M$301,$T56-1))</f>
        <v/>
      </c>
      <c r="N56" s="39">
        <f>IF($T56="","",INDEX(案件入力!$N$2:$N$301,$T56-1))</f>
        <v/>
      </c>
      <c r="O56" s="36">
        <f>IF($T56="","",INDEX(案件入力!$O$2:$O$301,$T56-1))</f>
        <v/>
      </c>
      <c r="P56" s="37">
        <f>IF($T56="","",INDEX(案件入力!$P$2:$P$301,$T56-1))</f>
        <v/>
      </c>
      <c r="Q56" s="35">
        <f>IF($T56="","",INDEX(案件入力!$Q$2:$Q$301,$T56-1))</f>
        <v/>
      </c>
      <c r="R56" s="35">
        <f>IF($T56="","",INDEX(案件入力!$R$2:$R$301,$T56-1))</f>
        <v/>
      </c>
      <c r="S56" s="35">
        <f>IF($T56="","",INDEX(案件入力!$S$2:$S$301,$T56-1))</f>
        <v/>
      </c>
      <c r="T56">
        <f t="array" ref="T56">IFERROR(SMALL(IF((案件入力!$A$2:$A$301&lt;&gt;"")*(案件入力!$R$2:$R$301&lt;&gt;"完了"),ROW(案件入力!$A$2:$A$301)),ROW()-1),"")</f>
        <v/>
      </c>
    </row>
    <row r="57">
      <c r="A57" s="35">
        <f>IF($T57="","",INDEX(案件入力!$A$2:$A$301,$T57-1))</f>
        <v/>
      </c>
      <c r="B57" s="36">
        <f>IF($T57="","",INDEX(案件入力!$B$2:$B$301,$T57-1))</f>
        <v/>
      </c>
      <c r="C57" s="35">
        <f>IF($T57="","",INDEX(案件入力!$C$2:$C$301,$T57-1))</f>
        <v/>
      </c>
      <c r="D57" s="37">
        <f>IF($T57="","",INDEX(案件入力!$D$2:$D$301,$T57-1))</f>
        <v/>
      </c>
      <c r="E57" s="35">
        <f>IF($T57="","",INDEX(案件入力!$E$2:$E$301,$T57-1))</f>
        <v/>
      </c>
      <c r="F57" s="35">
        <f>IF($T57="","",INDEX(案件入力!$F$2:$F$301,$T57-1))</f>
        <v/>
      </c>
      <c r="G57" s="35">
        <f>IF($T57="","",INDEX(案件入力!$G$2:$G$301,$T57-1))</f>
        <v/>
      </c>
      <c r="H57" s="49">
        <f>IF($T57="","",INDEX(案件入力!$H$2:$H$301,$T57-1))</f>
        <v/>
      </c>
      <c r="I57" s="49">
        <f>IF($T57="","",INDEX(案件入力!$I$2:$I$301,$T57-1))</f>
        <v/>
      </c>
      <c r="J57" s="39">
        <f>IF($T57="","",INDEX(案件入力!$J$2:$J$301,$T57-1))</f>
        <v/>
      </c>
      <c r="K57" s="36">
        <f>IF($T57="","",INDEX(案件入力!$K$2:$K$301,$T57-1))</f>
        <v/>
      </c>
      <c r="L57" s="49">
        <f>IF($T57="","",INDEX(案件入力!$L$2:$L$301,$T57-1))</f>
        <v/>
      </c>
      <c r="M57" s="49">
        <f>IF($T57="","",INDEX(案件入力!$M$2:$M$301,$T57-1))</f>
        <v/>
      </c>
      <c r="N57" s="39">
        <f>IF($T57="","",INDEX(案件入力!$N$2:$N$301,$T57-1))</f>
        <v/>
      </c>
      <c r="O57" s="36">
        <f>IF($T57="","",INDEX(案件入力!$O$2:$O$301,$T57-1))</f>
        <v/>
      </c>
      <c r="P57" s="37">
        <f>IF($T57="","",INDEX(案件入力!$P$2:$P$301,$T57-1))</f>
        <v/>
      </c>
      <c r="Q57" s="35">
        <f>IF($T57="","",INDEX(案件入力!$Q$2:$Q$301,$T57-1))</f>
        <v/>
      </c>
      <c r="R57" s="35">
        <f>IF($T57="","",INDEX(案件入力!$R$2:$R$301,$T57-1))</f>
        <v/>
      </c>
      <c r="S57" s="35">
        <f>IF($T57="","",INDEX(案件入力!$S$2:$S$301,$T57-1))</f>
        <v/>
      </c>
      <c r="T57">
        <f t="array" ref="T57">IFERROR(SMALL(IF((案件入力!$A$2:$A$301&lt;&gt;"")*(案件入力!$R$2:$R$301&lt;&gt;"完了"),ROW(案件入力!$A$2:$A$301)),ROW()-1),"")</f>
        <v/>
      </c>
    </row>
    <row r="58">
      <c r="A58" s="35">
        <f>IF($T58="","",INDEX(案件入力!$A$2:$A$301,$T58-1))</f>
        <v/>
      </c>
      <c r="B58" s="36">
        <f>IF($T58="","",INDEX(案件入力!$B$2:$B$301,$T58-1))</f>
        <v/>
      </c>
      <c r="C58" s="35">
        <f>IF($T58="","",INDEX(案件入力!$C$2:$C$301,$T58-1))</f>
        <v/>
      </c>
      <c r="D58" s="37">
        <f>IF($T58="","",INDEX(案件入力!$D$2:$D$301,$T58-1))</f>
        <v/>
      </c>
      <c r="E58" s="35">
        <f>IF($T58="","",INDEX(案件入力!$E$2:$E$301,$T58-1))</f>
        <v/>
      </c>
      <c r="F58" s="35">
        <f>IF($T58="","",INDEX(案件入力!$F$2:$F$301,$T58-1))</f>
        <v/>
      </c>
      <c r="G58" s="35">
        <f>IF($T58="","",INDEX(案件入力!$G$2:$G$301,$T58-1))</f>
        <v/>
      </c>
      <c r="H58" s="49">
        <f>IF($T58="","",INDEX(案件入力!$H$2:$H$301,$T58-1))</f>
        <v/>
      </c>
      <c r="I58" s="49">
        <f>IF($T58="","",INDEX(案件入力!$I$2:$I$301,$T58-1))</f>
        <v/>
      </c>
      <c r="J58" s="39">
        <f>IF($T58="","",INDEX(案件入力!$J$2:$J$301,$T58-1))</f>
        <v/>
      </c>
      <c r="K58" s="36">
        <f>IF($T58="","",INDEX(案件入力!$K$2:$K$301,$T58-1))</f>
        <v/>
      </c>
      <c r="L58" s="49">
        <f>IF($T58="","",INDEX(案件入力!$L$2:$L$301,$T58-1))</f>
        <v/>
      </c>
      <c r="M58" s="49">
        <f>IF($T58="","",INDEX(案件入力!$M$2:$M$301,$T58-1))</f>
        <v/>
      </c>
      <c r="N58" s="39">
        <f>IF($T58="","",INDEX(案件入力!$N$2:$N$301,$T58-1))</f>
        <v/>
      </c>
      <c r="O58" s="36">
        <f>IF($T58="","",INDEX(案件入力!$O$2:$O$301,$T58-1))</f>
        <v/>
      </c>
      <c r="P58" s="37">
        <f>IF($T58="","",INDEX(案件入力!$P$2:$P$301,$T58-1))</f>
        <v/>
      </c>
      <c r="Q58" s="35">
        <f>IF($T58="","",INDEX(案件入力!$Q$2:$Q$301,$T58-1))</f>
        <v/>
      </c>
      <c r="R58" s="35">
        <f>IF($T58="","",INDEX(案件入力!$R$2:$R$301,$T58-1))</f>
        <v/>
      </c>
      <c r="S58" s="35">
        <f>IF($T58="","",INDEX(案件入力!$S$2:$S$301,$T58-1))</f>
        <v/>
      </c>
      <c r="T58">
        <f t="array" ref="T58">IFERROR(SMALL(IF((案件入力!$A$2:$A$301&lt;&gt;"")*(案件入力!$R$2:$R$301&lt;&gt;"完了"),ROW(案件入力!$A$2:$A$301)),ROW()-1),"")</f>
        <v/>
      </c>
    </row>
    <row r="59">
      <c r="A59" s="35">
        <f>IF($T59="","",INDEX(案件入力!$A$2:$A$301,$T59-1))</f>
        <v/>
      </c>
      <c r="B59" s="36">
        <f>IF($T59="","",INDEX(案件入力!$B$2:$B$301,$T59-1))</f>
        <v/>
      </c>
      <c r="C59" s="35">
        <f>IF($T59="","",INDEX(案件入力!$C$2:$C$301,$T59-1))</f>
        <v/>
      </c>
      <c r="D59" s="37">
        <f>IF($T59="","",INDEX(案件入力!$D$2:$D$301,$T59-1))</f>
        <v/>
      </c>
      <c r="E59" s="35">
        <f>IF($T59="","",INDEX(案件入力!$E$2:$E$301,$T59-1))</f>
        <v/>
      </c>
      <c r="F59" s="35">
        <f>IF($T59="","",INDEX(案件入力!$F$2:$F$301,$T59-1))</f>
        <v/>
      </c>
      <c r="G59" s="35">
        <f>IF($T59="","",INDEX(案件入力!$G$2:$G$301,$T59-1))</f>
        <v/>
      </c>
      <c r="H59" s="49">
        <f>IF($T59="","",INDEX(案件入力!$H$2:$H$301,$T59-1))</f>
        <v/>
      </c>
      <c r="I59" s="49">
        <f>IF($T59="","",INDEX(案件入力!$I$2:$I$301,$T59-1))</f>
        <v/>
      </c>
      <c r="J59" s="39">
        <f>IF($T59="","",INDEX(案件入力!$J$2:$J$301,$T59-1))</f>
        <v/>
      </c>
      <c r="K59" s="36">
        <f>IF($T59="","",INDEX(案件入力!$K$2:$K$301,$T59-1))</f>
        <v/>
      </c>
      <c r="L59" s="49">
        <f>IF($T59="","",INDEX(案件入力!$L$2:$L$301,$T59-1))</f>
        <v/>
      </c>
      <c r="M59" s="49">
        <f>IF($T59="","",INDEX(案件入力!$M$2:$M$301,$T59-1))</f>
        <v/>
      </c>
      <c r="N59" s="39">
        <f>IF($T59="","",INDEX(案件入力!$N$2:$N$301,$T59-1))</f>
        <v/>
      </c>
      <c r="O59" s="36">
        <f>IF($T59="","",INDEX(案件入力!$O$2:$O$301,$T59-1))</f>
        <v/>
      </c>
      <c r="P59" s="37">
        <f>IF($T59="","",INDEX(案件入力!$P$2:$P$301,$T59-1))</f>
        <v/>
      </c>
      <c r="Q59" s="35">
        <f>IF($T59="","",INDEX(案件入力!$Q$2:$Q$301,$T59-1))</f>
        <v/>
      </c>
      <c r="R59" s="35">
        <f>IF($T59="","",INDEX(案件入力!$R$2:$R$301,$T59-1))</f>
        <v/>
      </c>
      <c r="S59" s="35">
        <f>IF($T59="","",INDEX(案件入力!$S$2:$S$301,$T59-1))</f>
        <v/>
      </c>
      <c r="T59">
        <f t="array" ref="T59">IFERROR(SMALL(IF((案件入力!$A$2:$A$301&lt;&gt;"")*(案件入力!$R$2:$R$301&lt;&gt;"完了"),ROW(案件入力!$A$2:$A$301)),ROW()-1),"")</f>
        <v/>
      </c>
    </row>
    <row r="60">
      <c r="A60" s="35">
        <f>IF($T60="","",INDEX(案件入力!$A$2:$A$301,$T60-1))</f>
        <v/>
      </c>
      <c r="B60" s="36">
        <f>IF($T60="","",INDEX(案件入力!$B$2:$B$301,$T60-1))</f>
        <v/>
      </c>
      <c r="C60" s="35">
        <f>IF($T60="","",INDEX(案件入力!$C$2:$C$301,$T60-1))</f>
        <v/>
      </c>
      <c r="D60" s="37">
        <f>IF($T60="","",INDEX(案件入力!$D$2:$D$301,$T60-1))</f>
        <v/>
      </c>
      <c r="E60" s="35">
        <f>IF($T60="","",INDEX(案件入力!$E$2:$E$301,$T60-1))</f>
        <v/>
      </c>
      <c r="F60" s="35">
        <f>IF($T60="","",INDEX(案件入力!$F$2:$F$301,$T60-1))</f>
        <v/>
      </c>
      <c r="G60" s="35">
        <f>IF($T60="","",INDEX(案件入力!$G$2:$G$301,$T60-1))</f>
        <v/>
      </c>
      <c r="H60" s="49">
        <f>IF($T60="","",INDEX(案件入力!$H$2:$H$301,$T60-1))</f>
        <v/>
      </c>
      <c r="I60" s="49">
        <f>IF($T60="","",INDEX(案件入力!$I$2:$I$301,$T60-1))</f>
        <v/>
      </c>
      <c r="J60" s="39">
        <f>IF($T60="","",INDEX(案件入力!$J$2:$J$301,$T60-1))</f>
        <v/>
      </c>
      <c r="K60" s="36">
        <f>IF($T60="","",INDEX(案件入力!$K$2:$K$301,$T60-1))</f>
        <v/>
      </c>
      <c r="L60" s="49">
        <f>IF($T60="","",INDEX(案件入力!$L$2:$L$301,$T60-1))</f>
        <v/>
      </c>
      <c r="M60" s="49">
        <f>IF($T60="","",INDEX(案件入力!$M$2:$M$301,$T60-1))</f>
        <v/>
      </c>
      <c r="N60" s="39">
        <f>IF($T60="","",INDEX(案件入力!$N$2:$N$301,$T60-1))</f>
        <v/>
      </c>
      <c r="O60" s="36">
        <f>IF($T60="","",INDEX(案件入力!$O$2:$O$301,$T60-1))</f>
        <v/>
      </c>
      <c r="P60" s="37">
        <f>IF($T60="","",INDEX(案件入力!$P$2:$P$301,$T60-1))</f>
        <v/>
      </c>
      <c r="Q60" s="35">
        <f>IF($T60="","",INDEX(案件入力!$Q$2:$Q$301,$T60-1))</f>
        <v/>
      </c>
      <c r="R60" s="35">
        <f>IF($T60="","",INDEX(案件入力!$R$2:$R$301,$T60-1))</f>
        <v/>
      </c>
      <c r="S60" s="35">
        <f>IF($T60="","",INDEX(案件入力!$S$2:$S$301,$T60-1))</f>
        <v/>
      </c>
      <c r="T60">
        <f t="array" ref="T60">IFERROR(SMALL(IF((案件入力!$A$2:$A$301&lt;&gt;"")*(案件入力!$R$2:$R$301&lt;&gt;"完了"),ROW(案件入力!$A$2:$A$301)),ROW()-1),"")</f>
        <v/>
      </c>
    </row>
    <row r="61">
      <c r="A61" s="35">
        <f>IF($T61="","",INDEX(案件入力!$A$2:$A$301,$T61-1))</f>
        <v/>
      </c>
      <c r="B61" s="36">
        <f>IF($T61="","",INDEX(案件入力!$B$2:$B$301,$T61-1))</f>
        <v/>
      </c>
      <c r="C61" s="35">
        <f>IF($T61="","",INDEX(案件入力!$C$2:$C$301,$T61-1))</f>
        <v/>
      </c>
      <c r="D61" s="37">
        <f>IF($T61="","",INDEX(案件入力!$D$2:$D$301,$T61-1))</f>
        <v/>
      </c>
      <c r="E61" s="35">
        <f>IF($T61="","",INDEX(案件入力!$E$2:$E$301,$T61-1))</f>
        <v/>
      </c>
      <c r="F61" s="35">
        <f>IF($T61="","",INDEX(案件入力!$F$2:$F$301,$T61-1))</f>
        <v/>
      </c>
      <c r="G61" s="35">
        <f>IF($T61="","",INDEX(案件入力!$G$2:$G$301,$T61-1))</f>
        <v/>
      </c>
      <c r="H61" s="49">
        <f>IF($T61="","",INDEX(案件入力!$H$2:$H$301,$T61-1))</f>
        <v/>
      </c>
      <c r="I61" s="49">
        <f>IF($T61="","",INDEX(案件入力!$I$2:$I$301,$T61-1))</f>
        <v/>
      </c>
      <c r="J61" s="39">
        <f>IF($T61="","",INDEX(案件入力!$J$2:$J$301,$T61-1))</f>
        <v/>
      </c>
      <c r="K61" s="36">
        <f>IF($T61="","",INDEX(案件入力!$K$2:$K$301,$T61-1))</f>
        <v/>
      </c>
      <c r="L61" s="49">
        <f>IF($T61="","",INDEX(案件入力!$L$2:$L$301,$T61-1))</f>
        <v/>
      </c>
      <c r="M61" s="49">
        <f>IF($T61="","",INDEX(案件入力!$M$2:$M$301,$T61-1))</f>
        <v/>
      </c>
      <c r="N61" s="39">
        <f>IF($T61="","",INDEX(案件入力!$N$2:$N$301,$T61-1))</f>
        <v/>
      </c>
      <c r="O61" s="36">
        <f>IF($T61="","",INDEX(案件入力!$O$2:$O$301,$T61-1))</f>
        <v/>
      </c>
      <c r="P61" s="37">
        <f>IF($T61="","",INDEX(案件入力!$P$2:$P$301,$T61-1))</f>
        <v/>
      </c>
      <c r="Q61" s="35">
        <f>IF($T61="","",INDEX(案件入力!$Q$2:$Q$301,$T61-1))</f>
        <v/>
      </c>
      <c r="R61" s="35">
        <f>IF($T61="","",INDEX(案件入力!$R$2:$R$301,$T61-1))</f>
        <v/>
      </c>
      <c r="S61" s="35">
        <f>IF($T61="","",INDEX(案件入力!$S$2:$S$301,$T61-1))</f>
        <v/>
      </c>
      <c r="T61">
        <f t="array" ref="T61">IFERROR(SMALL(IF((案件入力!$A$2:$A$301&lt;&gt;"")*(案件入力!$R$2:$R$301&lt;&gt;"完了"),ROW(案件入力!$A$2:$A$301)),ROW()-1),"")</f>
        <v/>
      </c>
    </row>
    <row r="62">
      <c r="A62" s="35">
        <f>IF($T62="","",INDEX(案件入力!$A$2:$A$301,$T62-1))</f>
        <v/>
      </c>
      <c r="B62" s="36">
        <f>IF($T62="","",INDEX(案件入力!$B$2:$B$301,$T62-1))</f>
        <v/>
      </c>
      <c r="C62" s="35">
        <f>IF($T62="","",INDEX(案件入力!$C$2:$C$301,$T62-1))</f>
        <v/>
      </c>
      <c r="D62" s="37">
        <f>IF($T62="","",INDEX(案件入力!$D$2:$D$301,$T62-1))</f>
        <v/>
      </c>
      <c r="E62" s="35">
        <f>IF($T62="","",INDEX(案件入力!$E$2:$E$301,$T62-1))</f>
        <v/>
      </c>
      <c r="F62" s="35">
        <f>IF($T62="","",INDEX(案件入力!$F$2:$F$301,$T62-1))</f>
        <v/>
      </c>
      <c r="G62" s="35">
        <f>IF($T62="","",INDEX(案件入力!$G$2:$G$301,$T62-1))</f>
        <v/>
      </c>
      <c r="H62" s="49">
        <f>IF($T62="","",INDEX(案件入力!$H$2:$H$301,$T62-1))</f>
        <v/>
      </c>
      <c r="I62" s="49">
        <f>IF($T62="","",INDEX(案件入力!$I$2:$I$301,$T62-1))</f>
        <v/>
      </c>
      <c r="J62" s="39">
        <f>IF($T62="","",INDEX(案件入力!$J$2:$J$301,$T62-1))</f>
        <v/>
      </c>
      <c r="K62" s="36">
        <f>IF($T62="","",INDEX(案件入力!$K$2:$K$301,$T62-1))</f>
        <v/>
      </c>
      <c r="L62" s="49">
        <f>IF($T62="","",INDEX(案件入力!$L$2:$L$301,$T62-1))</f>
        <v/>
      </c>
      <c r="M62" s="49">
        <f>IF($T62="","",INDEX(案件入力!$M$2:$M$301,$T62-1))</f>
        <v/>
      </c>
      <c r="N62" s="39">
        <f>IF($T62="","",INDEX(案件入力!$N$2:$N$301,$T62-1))</f>
        <v/>
      </c>
      <c r="O62" s="36">
        <f>IF($T62="","",INDEX(案件入力!$O$2:$O$301,$T62-1))</f>
        <v/>
      </c>
      <c r="P62" s="37">
        <f>IF($T62="","",INDEX(案件入力!$P$2:$P$301,$T62-1))</f>
        <v/>
      </c>
      <c r="Q62" s="35">
        <f>IF($T62="","",INDEX(案件入力!$Q$2:$Q$301,$T62-1))</f>
        <v/>
      </c>
      <c r="R62" s="35">
        <f>IF($T62="","",INDEX(案件入力!$R$2:$R$301,$T62-1))</f>
        <v/>
      </c>
      <c r="S62" s="35">
        <f>IF($T62="","",INDEX(案件入力!$S$2:$S$301,$T62-1))</f>
        <v/>
      </c>
      <c r="T62">
        <f t="array" ref="T62">IFERROR(SMALL(IF((案件入力!$A$2:$A$301&lt;&gt;"")*(案件入力!$R$2:$R$301&lt;&gt;"完了"),ROW(案件入力!$A$2:$A$301)),ROW()-1),"")</f>
        <v/>
      </c>
    </row>
    <row r="63">
      <c r="A63" s="35">
        <f>IF($T63="","",INDEX(案件入力!$A$2:$A$301,$T63-1))</f>
        <v/>
      </c>
      <c r="B63" s="36">
        <f>IF($T63="","",INDEX(案件入力!$B$2:$B$301,$T63-1))</f>
        <v/>
      </c>
      <c r="C63" s="35">
        <f>IF($T63="","",INDEX(案件入力!$C$2:$C$301,$T63-1))</f>
        <v/>
      </c>
      <c r="D63" s="37">
        <f>IF($T63="","",INDEX(案件入力!$D$2:$D$301,$T63-1))</f>
        <v/>
      </c>
      <c r="E63" s="35">
        <f>IF($T63="","",INDEX(案件入力!$E$2:$E$301,$T63-1))</f>
        <v/>
      </c>
      <c r="F63" s="35">
        <f>IF($T63="","",INDEX(案件入力!$F$2:$F$301,$T63-1))</f>
        <v/>
      </c>
      <c r="G63" s="35">
        <f>IF($T63="","",INDEX(案件入力!$G$2:$G$301,$T63-1))</f>
        <v/>
      </c>
      <c r="H63" s="49">
        <f>IF($T63="","",INDEX(案件入力!$H$2:$H$301,$T63-1))</f>
        <v/>
      </c>
      <c r="I63" s="49">
        <f>IF($T63="","",INDEX(案件入力!$I$2:$I$301,$T63-1))</f>
        <v/>
      </c>
      <c r="J63" s="39">
        <f>IF($T63="","",INDEX(案件入力!$J$2:$J$301,$T63-1))</f>
        <v/>
      </c>
      <c r="K63" s="36">
        <f>IF($T63="","",INDEX(案件入力!$K$2:$K$301,$T63-1))</f>
        <v/>
      </c>
      <c r="L63" s="49">
        <f>IF($T63="","",INDEX(案件入力!$L$2:$L$301,$T63-1))</f>
        <v/>
      </c>
      <c r="M63" s="49">
        <f>IF($T63="","",INDEX(案件入力!$M$2:$M$301,$T63-1))</f>
        <v/>
      </c>
      <c r="N63" s="39">
        <f>IF($T63="","",INDEX(案件入力!$N$2:$N$301,$T63-1))</f>
        <v/>
      </c>
      <c r="O63" s="36">
        <f>IF($T63="","",INDEX(案件入力!$O$2:$O$301,$T63-1))</f>
        <v/>
      </c>
      <c r="P63" s="37">
        <f>IF($T63="","",INDEX(案件入力!$P$2:$P$301,$T63-1))</f>
        <v/>
      </c>
      <c r="Q63" s="35">
        <f>IF($T63="","",INDEX(案件入力!$Q$2:$Q$301,$T63-1))</f>
        <v/>
      </c>
      <c r="R63" s="35">
        <f>IF($T63="","",INDEX(案件入力!$R$2:$R$301,$T63-1))</f>
        <v/>
      </c>
      <c r="S63" s="35">
        <f>IF($T63="","",INDEX(案件入力!$S$2:$S$301,$T63-1))</f>
        <v/>
      </c>
      <c r="T63">
        <f t="array" ref="T63">IFERROR(SMALL(IF((案件入力!$A$2:$A$301&lt;&gt;"")*(案件入力!$R$2:$R$301&lt;&gt;"完了"),ROW(案件入力!$A$2:$A$301)),ROW()-1),"")</f>
        <v/>
      </c>
    </row>
    <row r="64">
      <c r="A64" s="35">
        <f>IF($T64="","",INDEX(案件入力!$A$2:$A$301,$T64-1))</f>
        <v/>
      </c>
      <c r="B64" s="36">
        <f>IF($T64="","",INDEX(案件入力!$B$2:$B$301,$T64-1))</f>
        <v/>
      </c>
      <c r="C64" s="35">
        <f>IF($T64="","",INDEX(案件入力!$C$2:$C$301,$T64-1))</f>
        <v/>
      </c>
      <c r="D64" s="37">
        <f>IF($T64="","",INDEX(案件入力!$D$2:$D$301,$T64-1))</f>
        <v/>
      </c>
      <c r="E64" s="35">
        <f>IF($T64="","",INDEX(案件入力!$E$2:$E$301,$T64-1))</f>
        <v/>
      </c>
      <c r="F64" s="35">
        <f>IF($T64="","",INDEX(案件入力!$F$2:$F$301,$T64-1))</f>
        <v/>
      </c>
      <c r="G64" s="35">
        <f>IF($T64="","",INDEX(案件入力!$G$2:$G$301,$T64-1))</f>
        <v/>
      </c>
      <c r="H64" s="49">
        <f>IF($T64="","",INDEX(案件入力!$H$2:$H$301,$T64-1))</f>
        <v/>
      </c>
      <c r="I64" s="49">
        <f>IF($T64="","",INDEX(案件入力!$I$2:$I$301,$T64-1))</f>
        <v/>
      </c>
      <c r="J64" s="39">
        <f>IF($T64="","",INDEX(案件入力!$J$2:$J$301,$T64-1))</f>
        <v/>
      </c>
      <c r="K64" s="36">
        <f>IF($T64="","",INDEX(案件入力!$K$2:$K$301,$T64-1))</f>
        <v/>
      </c>
      <c r="L64" s="49">
        <f>IF($T64="","",INDEX(案件入力!$L$2:$L$301,$T64-1))</f>
        <v/>
      </c>
      <c r="M64" s="49">
        <f>IF($T64="","",INDEX(案件入力!$M$2:$M$301,$T64-1))</f>
        <v/>
      </c>
      <c r="N64" s="39">
        <f>IF($T64="","",INDEX(案件入力!$N$2:$N$301,$T64-1))</f>
        <v/>
      </c>
      <c r="O64" s="36">
        <f>IF($T64="","",INDEX(案件入力!$O$2:$O$301,$T64-1))</f>
        <v/>
      </c>
      <c r="P64" s="37">
        <f>IF($T64="","",INDEX(案件入力!$P$2:$P$301,$T64-1))</f>
        <v/>
      </c>
      <c r="Q64" s="35">
        <f>IF($T64="","",INDEX(案件入力!$Q$2:$Q$301,$T64-1))</f>
        <v/>
      </c>
      <c r="R64" s="35">
        <f>IF($T64="","",INDEX(案件入力!$R$2:$R$301,$T64-1))</f>
        <v/>
      </c>
      <c r="S64" s="35">
        <f>IF($T64="","",INDEX(案件入力!$S$2:$S$301,$T64-1))</f>
        <v/>
      </c>
      <c r="T64">
        <f t="array" ref="T64">IFERROR(SMALL(IF((案件入力!$A$2:$A$301&lt;&gt;"")*(案件入力!$R$2:$R$301&lt;&gt;"完了"),ROW(案件入力!$A$2:$A$301)),ROW()-1),"")</f>
        <v/>
      </c>
    </row>
    <row r="65">
      <c r="A65" s="35">
        <f>IF($T65="","",INDEX(案件入力!$A$2:$A$301,$T65-1))</f>
        <v/>
      </c>
      <c r="B65" s="36">
        <f>IF($T65="","",INDEX(案件入力!$B$2:$B$301,$T65-1))</f>
        <v/>
      </c>
      <c r="C65" s="35">
        <f>IF($T65="","",INDEX(案件入力!$C$2:$C$301,$T65-1))</f>
        <v/>
      </c>
      <c r="D65" s="37">
        <f>IF($T65="","",INDEX(案件入力!$D$2:$D$301,$T65-1))</f>
        <v/>
      </c>
      <c r="E65" s="35">
        <f>IF($T65="","",INDEX(案件入力!$E$2:$E$301,$T65-1))</f>
        <v/>
      </c>
      <c r="F65" s="35">
        <f>IF($T65="","",INDEX(案件入力!$F$2:$F$301,$T65-1))</f>
        <v/>
      </c>
      <c r="G65" s="35">
        <f>IF($T65="","",INDEX(案件入力!$G$2:$G$301,$T65-1))</f>
        <v/>
      </c>
      <c r="H65" s="49">
        <f>IF($T65="","",INDEX(案件入力!$H$2:$H$301,$T65-1))</f>
        <v/>
      </c>
      <c r="I65" s="49">
        <f>IF($T65="","",INDEX(案件入力!$I$2:$I$301,$T65-1))</f>
        <v/>
      </c>
      <c r="J65" s="39">
        <f>IF($T65="","",INDEX(案件入力!$J$2:$J$301,$T65-1))</f>
        <v/>
      </c>
      <c r="K65" s="36">
        <f>IF($T65="","",INDEX(案件入力!$K$2:$K$301,$T65-1))</f>
        <v/>
      </c>
      <c r="L65" s="49">
        <f>IF($T65="","",INDEX(案件入力!$L$2:$L$301,$T65-1))</f>
        <v/>
      </c>
      <c r="M65" s="49">
        <f>IF($T65="","",INDEX(案件入力!$M$2:$M$301,$T65-1))</f>
        <v/>
      </c>
      <c r="N65" s="39">
        <f>IF($T65="","",INDEX(案件入力!$N$2:$N$301,$T65-1))</f>
        <v/>
      </c>
      <c r="O65" s="36">
        <f>IF($T65="","",INDEX(案件入力!$O$2:$O$301,$T65-1))</f>
        <v/>
      </c>
      <c r="P65" s="37">
        <f>IF($T65="","",INDEX(案件入力!$P$2:$P$301,$T65-1))</f>
        <v/>
      </c>
      <c r="Q65" s="35">
        <f>IF($T65="","",INDEX(案件入力!$Q$2:$Q$301,$T65-1))</f>
        <v/>
      </c>
      <c r="R65" s="35">
        <f>IF($T65="","",INDEX(案件入力!$R$2:$R$301,$T65-1))</f>
        <v/>
      </c>
      <c r="S65" s="35">
        <f>IF($T65="","",INDEX(案件入力!$S$2:$S$301,$T65-1))</f>
        <v/>
      </c>
      <c r="T65">
        <f t="array" ref="T65">IFERROR(SMALL(IF((案件入力!$A$2:$A$301&lt;&gt;"")*(案件入力!$R$2:$R$301&lt;&gt;"完了"),ROW(案件入力!$A$2:$A$301)),ROW()-1),"")</f>
        <v/>
      </c>
    </row>
    <row r="66">
      <c r="A66" s="35">
        <f>IF($T66="","",INDEX(案件入力!$A$2:$A$301,$T66-1))</f>
        <v/>
      </c>
      <c r="B66" s="36">
        <f>IF($T66="","",INDEX(案件入力!$B$2:$B$301,$T66-1))</f>
        <v/>
      </c>
      <c r="C66" s="35">
        <f>IF($T66="","",INDEX(案件入力!$C$2:$C$301,$T66-1))</f>
        <v/>
      </c>
      <c r="D66" s="37">
        <f>IF($T66="","",INDEX(案件入力!$D$2:$D$301,$T66-1))</f>
        <v/>
      </c>
      <c r="E66" s="35">
        <f>IF($T66="","",INDEX(案件入力!$E$2:$E$301,$T66-1))</f>
        <v/>
      </c>
      <c r="F66" s="35">
        <f>IF($T66="","",INDEX(案件入力!$F$2:$F$301,$T66-1))</f>
        <v/>
      </c>
      <c r="G66" s="35">
        <f>IF($T66="","",INDEX(案件入力!$G$2:$G$301,$T66-1))</f>
        <v/>
      </c>
      <c r="H66" s="49">
        <f>IF($T66="","",INDEX(案件入力!$H$2:$H$301,$T66-1))</f>
        <v/>
      </c>
      <c r="I66" s="49">
        <f>IF($T66="","",INDEX(案件入力!$I$2:$I$301,$T66-1))</f>
        <v/>
      </c>
      <c r="J66" s="39">
        <f>IF($T66="","",INDEX(案件入力!$J$2:$J$301,$T66-1))</f>
        <v/>
      </c>
      <c r="K66" s="36">
        <f>IF($T66="","",INDEX(案件入力!$K$2:$K$301,$T66-1))</f>
        <v/>
      </c>
      <c r="L66" s="49">
        <f>IF($T66="","",INDEX(案件入力!$L$2:$L$301,$T66-1))</f>
        <v/>
      </c>
      <c r="M66" s="49">
        <f>IF($T66="","",INDEX(案件入力!$M$2:$M$301,$T66-1))</f>
        <v/>
      </c>
      <c r="N66" s="39">
        <f>IF($T66="","",INDEX(案件入力!$N$2:$N$301,$T66-1))</f>
        <v/>
      </c>
      <c r="O66" s="36">
        <f>IF($T66="","",INDEX(案件入力!$O$2:$O$301,$T66-1))</f>
        <v/>
      </c>
      <c r="P66" s="37">
        <f>IF($T66="","",INDEX(案件入力!$P$2:$P$301,$T66-1))</f>
        <v/>
      </c>
      <c r="Q66" s="35">
        <f>IF($T66="","",INDEX(案件入力!$Q$2:$Q$301,$T66-1))</f>
        <v/>
      </c>
      <c r="R66" s="35">
        <f>IF($T66="","",INDEX(案件入力!$R$2:$R$301,$T66-1))</f>
        <v/>
      </c>
      <c r="S66" s="35">
        <f>IF($T66="","",INDEX(案件入力!$S$2:$S$301,$T66-1))</f>
        <v/>
      </c>
      <c r="T66">
        <f t="array" ref="T66">IFERROR(SMALL(IF((案件入力!$A$2:$A$301&lt;&gt;"")*(案件入力!$R$2:$R$301&lt;&gt;"完了"),ROW(案件入力!$A$2:$A$301)),ROW()-1),"")</f>
        <v/>
      </c>
    </row>
    <row r="67">
      <c r="A67" s="35">
        <f>IF($T67="","",INDEX(案件入力!$A$2:$A$301,$T67-1))</f>
        <v/>
      </c>
      <c r="B67" s="36">
        <f>IF($T67="","",INDEX(案件入力!$B$2:$B$301,$T67-1))</f>
        <v/>
      </c>
      <c r="C67" s="35">
        <f>IF($T67="","",INDEX(案件入力!$C$2:$C$301,$T67-1))</f>
        <v/>
      </c>
      <c r="D67" s="37">
        <f>IF($T67="","",INDEX(案件入力!$D$2:$D$301,$T67-1))</f>
        <v/>
      </c>
      <c r="E67" s="35">
        <f>IF($T67="","",INDEX(案件入力!$E$2:$E$301,$T67-1))</f>
        <v/>
      </c>
      <c r="F67" s="35">
        <f>IF($T67="","",INDEX(案件入力!$F$2:$F$301,$T67-1))</f>
        <v/>
      </c>
      <c r="G67" s="35">
        <f>IF($T67="","",INDEX(案件入力!$G$2:$G$301,$T67-1))</f>
        <v/>
      </c>
      <c r="H67" s="49">
        <f>IF($T67="","",INDEX(案件入力!$H$2:$H$301,$T67-1))</f>
        <v/>
      </c>
      <c r="I67" s="49">
        <f>IF($T67="","",INDEX(案件入力!$I$2:$I$301,$T67-1))</f>
        <v/>
      </c>
      <c r="J67" s="39">
        <f>IF($T67="","",INDEX(案件入力!$J$2:$J$301,$T67-1))</f>
        <v/>
      </c>
      <c r="K67" s="36">
        <f>IF($T67="","",INDEX(案件入力!$K$2:$K$301,$T67-1))</f>
        <v/>
      </c>
      <c r="L67" s="49">
        <f>IF($T67="","",INDEX(案件入力!$L$2:$L$301,$T67-1))</f>
        <v/>
      </c>
      <c r="M67" s="49">
        <f>IF($T67="","",INDEX(案件入力!$M$2:$M$301,$T67-1))</f>
        <v/>
      </c>
      <c r="N67" s="39">
        <f>IF($T67="","",INDEX(案件入力!$N$2:$N$301,$T67-1))</f>
        <v/>
      </c>
      <c r="O67" s="36">
        <f>IF($T67="","",INDEX(案件入力!$O$2:$O$301,$T67-1))</f>
        <v/>
      </c>
      <c r="P67" s="37">
        <f>IF($T67="","",INDEX(案件入力!$P$2:$P$301,$T67-1))</f>
        <v/>
      </c>
      <c r="Q67" s="35">
        <f>IF($T67="","",INDEX(案件入力!$Q$2:$Q$301,$T67-1))</f>
        <v/>
      </c>
      <c r="R67" s="35">
        <f>IF($T67="","",INDEX(案件入力!$R$2:$R$301,$T67-1))</f>
        <v/>
      </c>
      <c r="S67" s="35">
        <f>IF($T67="","",INDEX(案件入力!$S$2:$S$301,$T67-1))</f>
        <v/>
      </c>
      <c r="T67">
        <f t="array" ref="T67">IFERROR(SMALL(IF((案件入力!$A$2:$A$301&lt;&gt;"")*(案件入力!$R$2:$R$301&lt;&gt;"完了"),ROW(案件入力!$A$2:$A$301)),ROW()-1),"")</f>
        <v/>
      </c>
    </row>
    <row r="68">
      <c r="A68" s="35">
        <f>IF($T68="","",INDEX(案件入力!$A$2:$A$301,$T68-1))</f>
        <v/>
      </c>
      <c r="B68" s="36">
        <f>IF($T68="","",INDEX(案件入力!$B$2:$B$301,$T68-1))</f>
        <v/>
      </c>
      <c r="C68" s="35">
        <f>IF($T68="","",INDEX(案件入力!$C$2:$C$301,$T68-1))</f>
        <v/>
      </c>
      <c r="D68" s="37">
        <f>IF($T68="","",INDEX(案件入力!$D$2:$D$301,$T68-1))</f>
        <v/>
      </c>
      <c r="E68" s="35">
        <f>IF($T68="","",INDEX(案件入力!$E$2:$E$301,$T68-1))</f>
        <v/>
      </c>
      <c r="F68" s="35">
        <f>IF($T68="","",INDEX(案件入力!$F$2:$F$301,$T68-1))</f>
        <v/>
      </c>
      <c r="G68" s="35">
        <f>IF($T68="","",INDEX(案件入力!$G$2:$G$301,$T68-1))</f>
        <v/>
      </c>
      <c r="H68" s="49">
        <f>IF($T68="","",INDEX(案件入力!$H$2:$H$301,$T68-1))</f>
        <v/>
      </c>
      <c r="I68" s="49">
        <f>IF($T68="","",INDEX(案件入力!$I$2:$I$301,$T68-1))</f>
        <v/>
      </c>
      <c r="J68" s="39">
        <f>IF($T68="","",INDEX(案件入力!$J$2:$J$301,$T68-1))</f>
        <v/>
      </c>
      <c r="K68" s="36">
        <f>IF($T68="","",INDEX(案件入力!$K$2:$K$301,$T68-1))</f>
        <v/>
      </c>
      <c r="L68" s="49">
        <f>IF($T68="","",INDEX(案件入力!$L$2:$L$301,$T68-1))</f>
        <v/>
      </c>
      <c r="M68" s="49">
        <f>IF($T68="","",INDEX(案件入力!$M$2:$M$301,$T68-1))</f>
        <v/>
      </c>
      <c r="N68" s="39">
        <f>IF($T68="","",INDEX(案件入力!$N$2:$N$301,$T68-1))</f>
        <v/>
      </c>
      <c r="O68" s="36">
        <f>IF($T68="","",INDEX(案件入力!$O$2:$O$301,$T68-1))</f>
        <v/>
      </c>
      <c r="P68" s="37">
        <f>IF($T68="","",INDEX(案件入力!$P$2:$P$301,$T68-1))</f>
        <v/>
      </c>
      <c r="Q68" s="35">
        <f>IF($T68="","",INDEX(案件入力!$Q$2:$Q$301,$T68-1))</f>
        <v/>
      </c>
      <c r="R68" s="35">
        <f>IF($T68="","",INDEX(案件入力!$R$2:$R$301,$T68-1))</f>
        <v/>
      </c>
      <c r="S68" s="35">
        <f>IF($T68="","",INDEX(案件入力!$S$2:$S$301,$T68-1))</f>
        <v/>
      </c>
      <c r="T68">
        <f t="array" ref="T68">IFERROR(SMALL(IF((案件入力!$A$2:$A$301&lt;&gt;"")*(案件入力!$R$2:$R$301&lt;&gt;"完了"),ROW(案件入力!$A$2:$A$301)),ROW()-1),"")</f>
        <v/>
      </c>
    </row>
    <row r="69">
      <c r="A69" s="35">
        <f>IF($T69="","",INDEX(案件入力!$A$2:$A$301,$T69-1))</f>
        <v/>
      </c>
      <c r="B69" s="36">
        <f>IF($T69="","",INDEX(案件入力!$B$2:$B$301,$T69-1))</f>
        <v/>
      </c>
      <c r="C69" s="35">
        <f>IF($T69="","",INDEX(案件入力!$C$2:$C$301,$T69-1))</f>
        <v/>
      </c>
      <c r="D69" s="37">
        <f>IF($T69="","",INDEX(案件入力!$D$2:$D$301,$T69-1))</f>
        <v/>
      </c>
      <c r="E69" s="35">
        <f>IF($T69="","",INDEX(案件入力!$E$2:$E$301,$T69-1))</f>
        <v/>
      </c>
      <c r="F69" s="35">
        <f>IF($T69="","",INDEX(案件入力!$F$2:$F$301,$T69-1))</f>
        <v/>
      </c>
      <c r="G69" s="35">
        <f>IF($T69="","",INDEX(案件入力!$G$2:$G$301,$T69-1))</f>
        <v/>
      </c>
      <c r="H69" s="49">
        <f>IF($T69="","",INDEX(案件入力!$H$2:$H$301,$T69-1))</f>
        <v/>
      </c>
      <c r="I69" s="49">
        <f>IF($T69="","",INDEX(案件入力!$I$2:$I$301,$T69-1))</f>
        <v/>
      </c>
      <c r="J69" s="39">
        <f>IF($T69="","",INDEX(案件入力!$J$2:$J$301,$T69-1))</f>
        <v/>
      </c>
      <c r="K69" s="36">
        <f>IF($T69="","",INDEX(案件入力!$K$2:$K$301,$T69-1))</f>
        <v/>
      </c>
      <c r="L69" s="49">
        <f>IF($T69="","",INDEX(案件入力!$L$2:$L$301,$T69-1))</f>
        <v/>
      </c>
      <c r="M69" s="49">
        <f>IF($T69="","",INDEX(案件入力!$M$2:$M$301,$T69-1))</f>
        <v/>
      </c>
      <c r="N69" s="39">
        <f>IF($T69="","",INDEX(案件入力!$N$2:$N$301,$T69-1))</f>
        <v/>
      </c>
      <c r="O69" s="36">
        <f>IF($T69="","",INDEX(案件入力!$O$2:$O$301,$T69-1))</f>
        <v/>
      </c>
      <c r="P69" s="37">
        <f>IF($T69="","",INDEX(案件入力!$P$2:$P$301,$T69-1))</f>
        <v/>
      </c>
      <c r="Q69" s="35">
        <f>IF($T69="","",INDEX(案件入力!$Q$2:$Q$301,$T69-1))</f>
        <v/>
      </c>
      <c r="R69" s="35">
        <f>IF($T69="","",INDEX(案件入力!$R$2:$R$301,$T69-1))</f>
        <v/>
      </c>
      <c r="S69" s="35">
        <f>IF($T69="","",INDEX(案件入力!$S$2:$S$301,$T69-1))</f>
        <v/>
      </c>
      <c r="T69">
        <f t="array" ref="T69">IFERROR(SMALL(IF((案件入力!$A$2:$A$301&lt;&gt;"")*(案件入力!$R$2:$R$301&lt;&gt;"完了"),ROW(案件入力!$A$2:$A$301)),ROW()-1),"")</f>
        <v/>
      </c>
    </row>
    <row r="70">
      <c r="A70" s="35">
        <f>IF($T70="","",INDEX(案件入力!$A$2:$A$301,$T70-1))</f>
        <v/>
      </c>
      <c r="B70" s="36">
        <f>IF($T70="","",INDEX(案件入力!$B$2:$B$301,$T70-1))</f>
        <v/>
      </c>
      <c r="C70" s="35">
        <f>IF($T70="","",INDEX(案件入力!$C$2:$C$301,$T70-1))</f>
        <v/>
      </c>
      <c r="D70" s="37">
        <f>IF($T70="","",INDEX(案件入力!$D$2:$D$301,$T70-1))</f>
        <v/>
      </c>
      <c r="E70" s="35">
        <f>IF($T70="","",INDEX(案件入力!$E$2:$E$301,$T70-1))</f>
        <v/>
      </c>
      <c r="F70" s="35">
        <f>IF($T70="","",INDEX(案件入力!$F$2:$F$301,$T70-1))</f>
        <v/>
      </c>
      <c r="G70" s="35">
        <f>IF($T70="","",INDEX(案件入力!$G$2:$G$301,$T70-1))</f>
        <v/>
      </c>
      <c r="H70" s="49">
        <f>IF($T70="","",INDEX(案件入力!$H$2:$H$301,$T70-1))</f>
        <v/>
      </c>
      <c r="I70" s="49">
        <f>IF($T70="","",INDEX(案件入力!$I$2:$I$301,$T70-1))</f>
        <v/>
      </c>
      <c r="J70" s="39">
        <f>IF($T70="","",INDEX(案件入力!$J$2:$J$301,$T70-1))</f>
        <v/>
      </c>
      <c r="K70" s="36">
        <f>IF($T70="","",INDEX(案件入力!$K$2:$K$301,$T70-1))</f>
        <v/>
      </c>
      <c r="L70" s="49">
        <f>IF($T70="","",INDEX(案件入力!$L$2:$L$301,$T70-1))</f>
        <v/>
      </c>
      <c r="M70" s="49">
        <f>IF($T70="","",INDEX(案件入力!$M$2:$M$301,$T70-1))</f>
        <v/>
      </c>
      <c r="N70" s="39">
        <f>IF($T70="","",INDEX(案件入力!$N$2:$N$301,$T70-1))</f>
        <v/>
      </c>
      <c r="O70" s="36">
        <f>IF($T70="","",INDEX(案件入力!$O$2:$O$301,$T70-1))</f>
        <v/>
      </c>
      <c r="P70" s="37">
        <f>IF($T70="","",INDEX(案件入力!$P$2:$P$301,$T70-1))</f>
        <v/>
      </c>
      <c r="Q70" s="35">
        <f>IF($T70="","",INDEX(案件入力!$Q$2:$Q$301,$T70-1))</f>
        <v/>
      </c>
      <c r="R70" s="35">
        <f>IF($T70="","",INDEX(案件入力!$R$2:$R$301,$T70-1))</f>
        <v/>
      </c>
      <c r="S70" s="35">
        <f>IF($T70="","",INDEX(案件入力!$S$2:$S$301,$T70-1))</f>
        <v/>
      </c>
      <c r="T70">
        <f t="array" ref="T70">IFERROR(SMALL(IF((案件入力!$A$2:$A$301&lt;&gt;"")*(案件入力!$R$2:$R$301&lt;&gt;"完了"),ROW(案件入力!$A$2:$A$301)),ROW()-1),"")</f>
        <v/>
      </c>
    </row>
    <row r="71">
      <c r="A71" s="35">
        <f>IF($T71="","",INDEX(案件入力!$A$2:$A$301,$T71-1))</f>
        <v/>
      </c>
      <c r="B71" s="36">
        <f>IF($T71="","",INDEX(案件入力!$B$2:$B$301,$T71-1))</f>
        <v/>
      </c>
      <c r="C71" s="35">
        <f>IF($T71="","",INDEX(案件入力!$C$2:$C$301,$T71-1))</f>
        <v/>
      </c>
      <c r="D71" s="37">
        <f>IF($T71="","",INDEX(案件入力!$D$2:$D$301,$T71-1))</f>
        <v/>
      </c>
      <c r="E71" s="35">
        <f>IF($T71="","",INDEX(案件入力!$E$2:$E$301,$T71-1))</f>
        <v/>
      </c>
      <c r="F71" s="35">
        <f>IF($T71="","",INDEX(案件入力!$F$2:$F$301,$T71-1))</f>
        <v/>
      </c>
      <c r="G71" s="35">
        <f>IF($T71="","",INDEX(案件入力!$G$2:$G$301,$T71-1))</f>
        <v/>
      </c>
      <c r="H71" s="49">
        <f>IF($T71="","",INDEX(案件入力!$H$2:$H$301,$T71-1))</f>
        <v/>
      </c>
      <c r="I71" s="49">
        <f>IF($T71="","",INDEX(案件入力!$I$2:$I$301,$T71-1))</f>
        <v/>
      </c>
      <c r="J71" s="39">
        <f>IF($T71="","",INDEX(案件入力!$J$2:$J$301,$T71-1))</f>
        <v/>
      </c>
      <c r="K71" s="36">
        <f>IF($T71="","",INDEX(案件入力!$K$2:$K$301,$T71-1))</f>
        <v/>
      </c>
      <c r="L71" s="49">
        <f>IF($T71="","",INDEX(案件入力!$L$2:$L$301,$T71-1))</f>
        <v/>
      </c>
      <c r="M71" s="49">
        <f>IF($T71="","",INDEX(案件入力!$M$2:$M$301,$T71-1))</f>
        <v/>
      </c>
      <c r="N71" s="39">
        <f>IF($T71="","",INDEX(案件入力!$N$2:$N$301,$T71-1))</f>
        <v/>
      </c>
      <c r="O71" s="36">
        <f>IF($T71="","",INDEX(案件入力!$O$2:$O$301,$T71-1))</f>
        <v/>
      </c>
      <c r="P71" s="37">
        <f>IF($T71="","",INDEX(案件入力!$P$2:$P$301,$T71-1))</f>
        <v/>
      </c>
      <c r="Q71" s="35">
        <f>IF($T71="","",INDEX(案件入力!$Q$2:$Q$301,$T71-1))</f>
        <v/>
      </c>
      <c r="R71" s="35">
        <f>IF($T71="","",INDEX(案件入力!$R$2:$R$301,$T71-1))</f>
        <v/>
      </c>
      <c r="S71" s="35">
        <f>IF($T71="","",INDEX(案件入力!$S$2:$S$301,$T71-1))</f>
        <v/>
      </c>
      <c r="T71">
        <f t="array" ref="T71">IFERROR(SMALL(IF((案件入力!$A$2:$A$301&lt;&gt;"")*(案件入力!$R$2:$R$301&lt;&gt;"完了"),ROW(案件入力!$A$2:$A$301)),ROW()-1),"")</f>
        <v/>
      </c>
    </row>
    <row r="72">
      <c r="A72" s="35">
        <f>IF($T72="","",INDEX(案件入力!$A$2:$A$301,$T72-1))</f>
        <v/>
      </c>
      <c r="B72" s="36">
        <f>IF($T72="","",INDEX(案件入力!$B$2:$B$301,$T72-1))</f>
        <v/>
      </c>
      <c r="C72" s="35">
        <f>IF($T72="","",INDEX(案件入力!$C$2:$C$301,$T72-1))</f>
        <v/>
      </c>
      <c r="D72" s="37">
        <f>IF($T72="","",INDEX(案件入力!$D$2:$D$301,$T72-1))</f>
        <v/>
      </c>
      <c r="E72" s="35">
        <f>IF($T72="","",INDEX(案件入力!$E$2:$E$301,$T72-1))</f>
        <v/>
      </c>
      <c r="F72" s="35">
        <f>IF($T72="","",INDEX(案件入力!$F$2:$F$301,$T72-1))</f>
        <v/>
      </c>
      <c r="G72" s="35">
        <f>IF($T72="","",INDEX(案件入力!$G$2:$G$301,$T72-1))</f>
        <v/>
      </c>
      <c r="H72" s="49">
        <f>IF($T72="","",INDEX(案件入力!$H$2:$H$301,$T72-1))</f>
        <v/>
      </c>
      <c r="I72" s="49">
        <f>IF($T72="","",INDEX(案件入力!$I$2:$I$301,$T72-1))</f>
        <v/>
      </c>
      <c r="J72" s="39">
        <f>IF($T72="","",INDEX(案件入力!$J$2:$J$301,$T72-1))</f>
        <v/>
      </c>
      <c r="K72" s="36">
        <f>IF($T72="","",INDEX(案件入力!$K$2:$K$301,$T72-1))</f>
        <v/>
      </c>
      <c r="L72" s="49">
        <f>IF($T72="","",INDEX(案件入力!$L$2:$L$301,$T72-1))</f>
        <v/>
      </c>
      <c r="M72" s="49">
        <f>IF($T72="","",INDEX(案件入力!$M$2:$M$301,$T72-1))</f>
        <v/>
      </c>
      <c r="N72" s="39">
        <f>IF($T72="","",INDEX(案件入力!$N$2:$N$301,$T72-1))</f>
        <v/>
      </c>
      <c r="O72" s="36">
        <f>IF($T72="","",INDEX(案件入力!$O$2:$O$301,$T72-1))</f>
        <v/>
      </c>
      <c r="P72" s="37">
        <f>IF($T72="","",INDEX(案件入力!$P$2:$P$301,$T72-1))</f>
        <v/>
      </c>
      <c r="Q72" s="35">
        <f>IF($T72="","",INDEX(案件入力!$Q$2:$Q$301,$T72-1))</f>
        <v/>
      </c>
      <c r="R72" s="35">
        <f>IF($T72="","",INDEX(案件入力!$R$2:$R$301,$T72-1))</f>
        <v/>
      </c>
      <c r="S72" s="35">
        <f>IF($T72="","",INDEX(案件入力!$S$2:$S$301,$T72-1))</f>
        <v/>
      </c>
      <c r="T72">
        <f t="array" ref="T72">IFERROR(SMALL(IF((案件入力!$A$2:$A$301&lt;&gt;"")*(案件入力!$R$2:$R$301&lt;&gt;"完了"),ROW(案件入力!$A$2:$A$301)),ROW()-1),"")</f>
        <v/>
      </c>
    </row>
    <row r="73">
      <c r="A73" s="35">
        <f>IF($T73="","",INDEX(案件入力!$A$2:$A$301,$T73-1))</f>
        <v/>
      </c>
      <c r="B73" s="36">
        <f>IF($T73="","",INDEX(案件入力!$B$2:$B$301,$T73-1))</f>
        <v/>
      </c>
      <c r="C73" s="35">
        <f>IF($T73="","",INDEX(案件入力!$C$2:$C$301,$T73-1))</f>
        <v/>
      </c>
      <c r="D73" s="37">
        <f>IF($T73="","",INDEX(案件入力!$D$2:$D$301,$T73-1))</f>
        <v/>
      </c>
      <c r="E73" s="35">
        <f>IF($T73="","",INDEX(案件入力!$E$2:$E$301,$T73-1))</f>
        <v/>
      </c>
      <c r="F73" s="35">
        <f>IF($T73="","",INDEX(案件入力!$F$2:$F$301,$T73-1))</f>
        <v/>
      </c>
      <c r="G73" s="35">
        <f>IF($T73="","",INDEX(案件入力!$G$2:$G$301,$T73-1))</f>
        <v/>
      </c>
      <c r="H73" s="49">
        <f>IF($T73="","",INDEX(案件入力!$H$2:$H$301,$T73-1))</f>
        <v/>
      </c>
      <c r="I73" s="49">
        <f>IF($T73="","",INDEX(案件入力!$I$2:$I$301,$T73-1))</f>
        <v/>
      </c>
      <c r="J73" s="39">
        <f>IF($T73="","",INDEX(案件入力!$J$2:$J$301,$T73-1))</f>
        <v/>
      </c>
      <c r="K73" s="36">
        <f>IF($T73="","",INDEX(案件入力!$K$2:$K$301,$T73-1))</f>
        <v/>
      </c>
      <c r="L73" s="49">
        <f>IF($T73="","",INDEX(案件入力!$L$2:$L$301,$T73-1))</f>
        <v/>
      </c>
      <c r="M73" s="49">
        <f>IF($T73="","",INDEX(案件入力!$M$2:$M$301,$T73-1))</f>
        <v/>
      </c>
      <c r="N73" s="39">
        <f>IF($T73="","",INDEX(案件入力!$N$2:$N$301,$T73-1))</f>
        <v/>
      </c>
      <c r="O73" s="36">
        <f>IF($T73="","",INDEX(案件入力!$O$2:$O$301,$T73-1))</f>
        <v/>
      </c>
      <c r="P73" s="37">
        <f>IF($T73="","",INDEX(案件入力!$P$2:$P$301,$T73-1))</f>
        <v/>
      </c>
      <c r="Q73" s="35">
        <f>IF($T73="","",INDEX(案件入力!$Q$2:$Q$301,$T73-1))</f>
        <v/>
      </c>
      <c r="R73" s="35">
        <f>IF($T73="","",INDEX(案件入力!$R$2:$R$301,$T73-1))</f>
        <v/>
      </c>
      <c r="S73" s="35">
        <f>IF($T73="","",INDEX(案件入力!$S$2:$S$301,$T73-1))</f>
        <v/>
      </c>
      <c r="T73">
        <f t="array" ref="T73">IFERROR(SMALL(IF((案件入力!$A$2:$A$301&lt;&gt;"")*(案件入力!$R$2:$R$301&lt;&gt;"完了"),ROW(案件入力!$A$2:$A$301)),ROW()-1),"")</f>
        <v/>
      </c>
    </row>
    <row r="74">
      <c r="A74" s="35">
        <f>IF($T74="","",INDEX(案件入力!$A$2:$A$301,$T74-1))</f>
        <v/>
      </c>
      <c r="B74" s="36">
        <f>IF($T74="","",INDEX(案件入力!$B$2:$B$301,$T74-1))</f>
        <v/>
      </c>
      <c r="C74" s="35">
        <f>IF($T74="","",INDEX(案件入力!$C$2:$C$301,$T74-1))</f>
        <v/>
      </c>
      <c r="D74" s="37">
        <f>IF($T74="","",INDEX(案件入力!$D$2:$D$301,$T74-1))</f>
        <v/>
      </c>
      <c r="E74" s="35">
        <f>IF($T74="","",INDEX(案件入力!$E$2:$E$301,$T74-1))</f>
        <v/>
      </c>
      <c r="F74" s="35">
        <f>IF($T74="","",INDEX(案件入力!$F$2:$F$301,$T74-1))</f>
        <v/>
      </c>
      <c r="G74" s="35">
        <f>IF($T74="","",INDEX(案件入力!$G$2:$G$301,$T74-1))</f>
        <v/>
      </c>
      <c r="H74" s="49">
        <f>IF($T74="","",INDEX(案件入力!$H$2:$H$301,$T74-1))</f>
        <v/>
      </c>
      <c r="I74" s="49">
        <f>IF($T74="","",INDEX(案件入力!$I$2:$I$301,$T74-1))</f>
        <v/>
      </c>
      <c r="J74" s="39">
        <f>IF($T74="","",INDEX(案件入力!$J$2:$J$301,$T74-1))</f>
        <v/>
      </c>
      <c r="K74" s="36">
        <f>IF($T74="","",INDEX(案件入力!$K$2:$K$301,$T74-1))</f>
        <v/>
      </c>
      <c r="L74" s="49">
        <f>IF($T74="","",INDEX(案件入力!$L$2:$L$301,$T74-1))</f>
        <v/>
      </c>
      <c r="M74" s="49">
        <f>IF($T74="","",INDEX(案件入力!$M$2:$M$301,$T74-1))</f>
        <v/>
      </c>
      <c r="N74" s="39">
        <f>IF($T74="","",INDEX(案件入力!$N$2:$N$301,$T74-1))</f>
        <v/>
      </c>
      <c r="O74" s="36">
        <f>IF($T74="","",INDEX(案件入力!$O$2:$O$301,$T74-1))</f>
        <v/>
      </c>
      <c r="P74" s="37">
        <f>IF($T74="","",INDEX(案件入力!$P$2:$P$301,$T74-1))</f>
        <v/>
      </c>
      <c r="Q74" s="35">
        <f>IF($T74="","",INDEX(案件入力!$Q$2:$Q$301,$T74-1))</f>
        <v/>
      </c>
      <c r="R74" s="35">
        <f>IF($T74="","",INDEX(案件入力!$R$2:$R$301,$T74-1))</f>
        <v/>
      </c>
      <c r="S74" s="35">
        <f>IF($T74="","",INDEX(案件入力!$S$2:$S$301,$T74-1))</f>
        <v/>
      </c>
      <c r="T74">
        <f t="array" ref="T74">IFERROR(SMALL(IF((案件入力!$A$2:$A$301&lt;&gt;"")*(案件入力!$R$2:$R$301&lt;&gt;"完了"),ROW(案件入力!$A$2:$A$301)),ROW()-1),"")</f>
        <v/>
      </c>
    </row>
    <row r="75">
      <c r="A75" s="35">
        <f>IF($T75="","",INDEX(案件入力!$A$2:$A$301,$T75-1))</f>
        <v/>
      </c>
      <c r="B75" s="36">
        <f>IF($T75="","",INDEX(案件入力!$B$2:$B$301,$T75-1))</f>
        <v/>
      </c>
      <c r="C75" s="35">
        <f>IF($T75="","",INDEX(案件入力!$C$2:$C$301,$T75-1))</f>
        <v/>
      </c>
      <c r="D75" s="37">
        <f>IF($T75="","",INDEX(案件入力!$D$2:$D$301,$T75-1))</f>
        <v/>
      </c>
      <c r="E75" s="35">
        <f>IF($T75="","",INDEX(案件入力!$E$2:$E$301,$T75-1))</f>
        <v/>
      </c>
      <c r="F75" s="35">
        <f>IF($T75="","",INDEX(案件入力!$F$2:$F$301,$T75-1))</f>
        <v/>
      </c>
      <c r="G75" s="35">
        <f>IF($T75="","",INDEX(案件入力!$G$2:$G$301,$T75-1))</f>
        <v/>
      </c>
      <c r="H75" s="49">
        <f>IF($T75="","",INDEX(案件入力!$H$2:$H$301,$T75-1))</f>
        <v/>
      </c>
      <c r="I75" s="49">
        <f>IF($T75="","",INDEX(案件入力!$I$2:$I$301,$T75-1))</f>
        <v/>
      </c>
      <c r="J75" s="39">
        <f>IF($T75="","",INDEX(案件入力!$J$2:$J$301,$T75-1))</f>
        <v/>
      </c>
      <c r="K75" s="36">
        <f>IF($T75="","",INDEX(案件入力!$K$2:$K$301,$T75-1))</f>
        <v/>
      </c>
      <c r="L75" s="49">
        <f>IF($T75="","",INDEX(案件入力!$L$2:$L$301,$T75-1))</f>
        <v/>
      </c>
      <c r="M75" s="49">
        <f>IF($T75="","",INDEX(案件入力!$M$2:$M$301,$T75-1))</f>
        <v/>
      </c>
      <c r="N75" s="39">
        <f>IF($T75="","",INDEX(案件入力!$N$2:$N$301,$T75-1))</f>
        <v/>
      </c>
      <c r="O75" s="36">
        <f>IF($T75="","",INDEX(案件入力!$O$2:$O$301,$T75-1))</f>
        <v/>
      </c>
      <c r="P75" s="37">
        <f>IF($T75="","",INDEX(案件入力!$P$2:$P$301,$T75-1))</f>
        <v/>
      </c>
      <c r="Q75" s="35">
        <f>IF($T75="","",INDEX(案件入力!$Q$2:$Q$301,$T75-1))</f>
        <v/>
      </c>
      <c r="R75" s="35">
        <f>IF($T75="","",INDEX(案件入力!$R$2:$R$301,$T75-1))</f>
        <v/>
      </c>
      <c r="S75" s="35">
        <f>IF($T75="","",INDEX(案件入力!$S$2:$S$301,$T75-1))</f>
        <v/>
      </c>
      <c r="T75">
        <f t="array" ref="T75">IFERROR(SMALL(IF((案件入力!$A$2:$A$301&lt;&gt;"")*(案件入力!$R$2:$R$301&lt;&gt;"完了"),ROW(案件入力!$A$2:$A$301)),ROW()-1),"")</f>
        <v/>
      </c>
    </row>
    <row r="76">
      <c r="A76" s="35">
        <f>IF($T76="","",INDEX(案件入力!$A$2:$A$301,$T76-1))</f>
        <v/>
      </c>
      <c r="B76" s="36">
        <f>IF($T76="","",INDEX(案件入力!$B$2:$B$301,$T76-1))</f>
        <v/>
      </c>
      <c r="C76" s="35">
        <f>IF($T76="","",INDEX(案件入力!$C$2:$C$301,$T76-1))</f>
        <v/>
      </c>
      <c r="D76" s="37">
        <f>IF($T76="","",INDEX(案件入力!$D$2:$D$301,$T76-1))</f>
        <v/>
      </c>
      <c r="E76" s="35">
        <f>IF($T76="","",INDEX(案件入力!$E$2:$E$301,$T76-1))</f>
        <v/>
      </c>
      <c r="F76" s="35">
        <f>IF($T76="","",INDEX(案件入力!$F$2:$F$301,$T76-1))</f>
        <v/>
      </c>
      <c r="G76" s="35">
        <f>IF($T76="","",INDEX(案件入力!$G$2:$G$301,$T76-1))</f>
        <v/>
      </c>
      <c r="H76" s="49">
        <f>IF($T76="","",INDEX(案件入力!$H$2:$H$301,$T76-1))</f>
        <v/>
      </c>
      <c r="I76" s="49">
        <f>IF($T76="","",INDEX(案件入力!$I$2:$I$301,$T76-1))</f>
        <v/>
      </c>
      <c r="J76" s="39">
        <f>IF($T76="","",INDEX(案件入力!$J$2:$J$301,$T76-1))</f>
        <v/>
      </c>
      <c r="K76" s="36">
        <f>IF($T76="","",INDEX(案件入力!$K$2:$K$301,$T76-1))</f>
        <v/>
      </c>
      <c r="L76" s="49">
        <f>IF($T76="","",INDEX(案件入力!$L$2:$L$301,$T76-1))</f>
        <v/>
      </c>
      <c r="M76" s="49">
        <f>IF($T76="","",INDEX(案件入力!$M$2:$M$301,$T76-1))</f>
        <v/>
      </c>
      <c r="N76" s="39">
        <f>IF($T76="","",INDEX(案件入力!$N$2:$N$301,$T76-1))</f>
        <v/>
      </c>
      <c r="O76" s="36">
        <f>IF($T76="","",INDEX(案件入力!$O$2:$O$301,$T76-1))</f>
        <v/>
      </c>
      <c r="P76" s="37">
        <f>IF($T76="","",INDEX(案件入力!$P$2:$P$301,$T76-1))</f>
        <v/>
      </c>
      <c r="Q76" s="35">
        <f>IF($T76="","",INDEX(案件入力!$Q$2:$Q$301,$T76-1))</f>
        <v/>
      </c>
      <c r="R76" s="35">
        <f>IF($T76="","",INDEX(案件入力!$R$2:$R$301,$T76-1))</f>
        <v/>
      </c>
      <c r="S76" s="35">
        <f>IF($T76="","",INDEX(案件入力!$S$2:$S$301,$T76-1))</f>
        <v/>
      </c>
      <c r="T76">
        <f t="array" ref="T76">IFERROR(SMALL(IF((案件入力!$A$2:$A$301&lt;&gt;"")*(案件入力!$R$2:$R$301&lt;&gt;"完了"),ROW(案件入力!$A$2:$A$301)),ROW()-1),"")</f>
        <v/>
      </c>
    </row>
    <row r="77">
      <c r="A77" s="35">
        <f>IF($T77="","",INDEX(案件入力!$A$2:$A$301,$T77-1))</f>
        <v/>
      </c>
      <c r="B77" s="36">
        <f>IF($T77="","",INDEX(案件入力!$B$2:$B$301,$T77-1))</f>
        <v/>
      </c>
      <c r="C77" s="35">
        <f>IF($T77="","",INDEX(案件入力!$C$2:$C$301,$T77-1))</f>
        <v/>
      </c>
      <c r="D77" s="37">
        <f>IF($T77="","",INDEX(案件入力!$D$2:$D$301,$T77-1))</f>
        <v/>
      </c>
      <c r="E77" s="35">
        <f>IF($T77="","",INDEX(案件入力!$E$2:$E$301,$T77-1))</f>
        <v/>
      </c>
      <c r="F77" s="35">
        <f>IF($T77="","",INDEX(案件入力!$F$2:$F$301,$T77-1))</f>
        <v/>
      </c>
      <c r="G77" s="35">
        <f>IF($T77="","",INDEX(案件入力!$G$2:$G$301,$T77-1))</f>
        <v/>
      </c>
      <c r="H77" s="49">
        <f>IF($T77="","",INDEX(案件入力!$H$2:$H$301,$T77-1))</f>
        <v/>
      </c>
      <c r="I77" s="49">
        <f>IF($T77="","",INDEX(案件入力!$I$2:$I$301,$T77-1))</f>
        <v/>
      </c>
      <c r="J77" s="39">
        <f>IF($T77="","",INDEX(案件入力!$J$2:$J$301,$T77-1))</f>
        <v/>
      </c>
      <c r="K77" s="36">
        <f>IF($T77="","",INDEX(案件入力!$K$2:$K$301,$T77-1))</f>
        <v/>
      </c>
      <c r="L77" s="49">
        <f>IF($T77="","",INDEX(案件入力!$L$2:$L$301,$T77-1))</f>
        <v/>
      </c>
      <c r="M77" s="49">
        <f>IF($T77="","",INDEX(案件入力!$M$2:$M$301,$T77-1))</f>
        <v/>
      </c>
      <c r="N77" s="39">
        <f>IF($T77="","",INDEX(案件入力!$N$2:$N$301,$T77-1))</f>
        <v/>
      </c>
      <c r="O77" s="36">
        <f>IF($T77="","",INDEX(案件入力!$O$2:$O$301,$T77-1))</f>
        <v/>
      </c>
      <c r="P77" s="37">
        <f>IF($T77="","",INDEX(案件入力!$P$2:$P$301,$T77-1))</f>
        <v/>
      </c>
      <c r="Q77" s="35">
        <f>IF($T77="","",INDEX(案件入力!$Q$2:$Q$301,$T77-1))</f>
        <v/>
      </c>
      <c r="R77" s="35">
        <f>IF($T77="","",INDEX(案件入力!$R$2:$R$301,$T77-1))</f>
        <v/>
      </c>
      <c r="S77" s="35">
        <f>IF($T77="","",INDEX(案件入力!$S$2:$S$301,$T77-1))</f>
        <v/>
      </c>
      <c r="T77">
        <f t="array" ref="T77">IFERROR(SMALL(IF((案件入力!$A$2:$A$301&lt;&gt;"")*(案件入力!$R$2:$R$301&lt;&gt;"完了"),ROW(案件入力!$A$2:$A$301)),ROW()-1),"")</f>
        <v/>
      </c>
    </row>
    <row r="78">
      <c r="A78" s="35">
        <f>IF($T78="","",INDEX(案件入力!$A$2:$A$301,$T78-1))</f>
        <v/>
      </c>
      <c r="B78" s="36">
        <f>IF($T78="","",INDEX(案件入力!$B$2:$B$301,$T78-1))</f>
        <v/>
      </c>
      <c r="C78" s="35">
        <f>IF($T78="","",INDEX(案件入力!$C$2:$C$301,$T78-1))</f>
        <v/>
      </c>
      <c r="D78" s="37">
        <f>IF($T78="","",INDEX(案件入力!$D$2:$D$301,$T78-1))</f>
        <v/>
      </c>
      <c r="E78" s="35">
        <f>IF($T78="","",INDEX(案件入力!$E$2:$E$301,$T78-1))</f>
        <v/>
      </c>
      <c r="F78" s="35">
        <f>IF($T78="","",INDEX(案件入力!$F$2:$F$301,$T78-1))</f>
        <v/>
      </c>
      <c r="G78" s="35">
        <f>IF($T78="","",INDEX(案件入力!$G$2:$G$301,$T78-1))</f>
        <v/>
      </c>
      <c r="H78" s="49">
        <f>IF($T78="","",INDEX(案件入力!$H$2:$H$301,$T78-1))</f>
        <v/>
      </c>
      <c r="I78" s="49">
        <f>IF($T78="","",INDEX(案件入力!$I$2:$I$301,$T78-1))</f>
        <v/>
      </c>
      <c r="J78" s="39">
        <f>IF($T78="","",INDEX(案件入力!$J$2:$J$301,$T78-1))</f>
        <v/>
      </c>
      <c r="K78" s="36">
        <f>IF($T78="","",INDEX(案件入力!$K$2:$K$301,$T78-1))</f>
        <v/>
      </c>
      <c r="L78" s="49">
        <f>IF($T78="","",INDEX(案件入力!$L$2:$L$301,$T78-1))</f>
        <v/>
      </c>
      <c r="M78" s="49">
        <f>IF($T78="","",INDEX(案件入力!$M$2:$M$301,$T78-1))</f>
        <v/>
      </c>
      <c r="N78" s="39">
        <f>IF($T78="","",INDEX(案件入力!$N$2:$N$301,$T78-1))</f>
        <v/>
      </c>
      <c r="O78" s="36">
        <f>IF($T78="","",INDEX(案件入力!$O$2:$O$301,$T78-1))</f>
        <v/>
      </c>
      <c r="P78" s="37">
        <f>IF($T78="","",INDEX(案件入力!$P$2:$P$301,$T78-1))</f>
        <v/>
      </c>
      <c r="Q78" s="35">
        <f>IF($T78="","",INDEX(案件入力!$Q$2:$Q$301,$T78-1))</f>
        <v/>
      </c>
      <c r="R78" s="35">
        <f>IF($T78="","",INDEX(案件入力!$R$2:$R$301,$T78-1))</f>
        <v/>
      </c>
      <c r="S78" s="35">
        <f>IF($T78="","",INDEX(案件入力!$S$2:$S$301,$T78-1))</f>
        <v/>
      </c>
      <c r="T78">
        <f t="array" ref="T78">IFERROR(SMALL(IF((案件入力!$A$2:$A$301&lt;&gt;"")*(案件入力!$R$2:$R$301&lt;&gt;"完了"),ROW(案件入力!$A$2:$A$301)),ROW()-1),"")</f>
        <v/>
      </c>
    </row>
    <row r="79">
      <c r="A79" s="35">
        <f>IF($T79="","",INDEX(案件入力!$A$2:$A$301,$T79-1))</f>
        <v/>
      </c>
      <c r="B79" s="36">
        <f>IF($T79="","",INDEX(案件入力!$B$2:$B$301,$T79-1))</f>
        <v/>
      </c>
      <c r="C79" s="35">
        <f>IF($T79="","",INDEX(案件入力!$C$2:$C$301,$T79-1))</f>
        <v/>
      </c>
      <c r="D79" s="37">
        <f>IF($T79="","",INDEX(案件入力!$D$2:$D$301,$T79-1))</f>
        <v/>
      </c>
      <c r="E79" s="35">
        <f>IF($T79="","",INDEX(案件入力!$E$2:$E$301,$T79-1))</f>
        <v/>
      </c>
      <c r="F79" s="35">
        <f>IF($T79="","",INDEX(案件入力!$F$2:$F$301,$T79-1))</f>
        <v/>
      </c>
      <c r="G79" s="35">
        <f>IF($T79="","",INDEX(案件入力!$G$2:$G$301,$T79-1))</f>
        <v/>
      </c>
      <c r="H79" s="49">
        <f>IF($T79="","",INDEX(案件入力!$H$2:$H$301,$T79-1))</f>
        <v/>
      </c>
      <c r="I79" s="49">
        <f>IF($T79="","",INDEX(案件入力!$I$2:$I$301,$T79-1))</f>
        <v/>
      </c>
      <c r="J79" s="39">
        <f>IF($T79="","",INDEX(案件入力!$J$2:$J$301,$T79-1))</f>
        <v/>
      </c>
      <c r="K79" s="36">
        <f>IF($T79="","",INDEX(案件入力!$K$2:$K$301,$T79-1))</f>
        <v/>
      </c>
      <c r="L79" s="49">
        <f>IF($T79="","",INDEX(案件入力!$L$2:$L$301,$T79-1))</f>
        <v/>
      </c>
      <c r="M79" s="49">
        <f>IF($T79="","",INDEX(案件入力!$M$2:$M$301,$T79-1))</f>
        <v/>
      </c>
      <c r="N79" s="39">
        <f>IF($T79="","",INDEX(案件入力!$N$2:$N$301,$T79-1))</f>
        <v/>
      </c>
      <c r="O79" s="36">
        <f>IF($T79="","",INDEX(案件入力!$O$2:$O$301,$T79-1))</f>
        <v/>
      </c>
      <c r="P79" s="37">
        <f>IF($T79="","",INDEX(案件入力!$P$2:$P$301,$T79-1))</f>
        <v/>
      </c>
      <c r="Q79" s="35">
        <f>IF($T79="","",INDEX(案件入力!$Q$2:$Q$301,$T79-1))</f>
        <v/>
      </c>
      <c r="R79" s="35">
        <f>IF($T79="","",INDEX(案件入力!$R$2:$R$301,$T79-1))</f>
        <v/>
      </c>
      <c r="S79" s="35">
        <f>IF($T79="","",INDEX(案件入力!$S$2:$S$301,$T79-1))</f>
        <v/>
      </c>
      <c r="T79">
        <f t="array" ref="T79">IFERROR(SMALL(IF((案件入力!$A$2:$A$301&lt;&gt;"")*(案件入力!$R$2:$R$301&lt;&gt;"完了"),ROW(案件入力!$A$2:$A$301)),ROW()-1),"")</f>
        <v/>
      </c>
    </row>
    <row r="80">
      <c r="A80" s="35">
        <f>IF($T80="","",INDEX(案件入力!$A$2:$A$301,$T80-1))</f>
        <v/>
      </c>
      <c r="B80" s="36">
        <f>IF($T80="","",INDEX(案件入力!$B$2:$B$301,$T80-1))</f>
        <v/>
      </c>
      <c r="C80" s="35">
        <f>IF($T80="","",INDEX(案件入力!$C$2:$C$301,$T80-1))</f>
        <v/>
      </c>
      <c r="D80" s="37">
        <f>IF($T80="","",INDEX(案件入力!$D$2:$D$301,$T80-1))</f>
        <v/>
      </c>
      <c r="E80" s="35">
        <f>IF($T80="","",INDEX(案件入力!$E$2:$E$301,$T80-1))</f>
        <v/>
      </c>
      <c r="F80" s="35">
        <f>IF($T80="","",INDEX(案件入力!$F$2:$F$301,$T80-1))</f>
        <v/>
      </c>
      <c r="G80" s="35">
        <f>IF($T80="","",INDEX(案件入力!$G$2:$G$301,$T80-1))</f>
        <v/>
      </c>
      <c r="H80" s="49">
        <f>IF($T80="","",INDEX(案件入力!$H$2:$H$301,$T80-1))</f>
        <v/>
      </c>
      <c r="I80" s="49">
        <f>IF($T80="","",INDEX(案件入力!$I$2:$I$301,$T80-1))</f>
        <v/>
      </c>
      <c r="J80" s="39">
        <f>IF($T80="","",INDEX(案件入力!$J$2:$J$301,$T80-1))</f>
        <v/>
      </c>
      <c r="K80" s="36">
        <f>IF($T80="","",INDEX(案件入力!$K$2:$K$301,$T80-1))</f>
        <v/>
      </c>
      <c r="L80" s="49">
        <f>IF($T80="","",INDEX(案件入力!$L$2:$L$301,$T80-1))</f>
        <v/>
      </c>
      <c r="M80" s="49">
        <f>IF($T80="","",INDEX(案件入力!$M$2:$M$301,$T80-1))</f>
        <v/>
      </c>
      <c r="N80" s="39">
        <f>IF($T80="","",INDEX(案件入力!$N$2:$N$301,$T80-1))</f>
        <v/>
      </c>
      <c r="O80" s="36">
        <f>IF($T80="","",INDEX(案件入力!$O$2:$O$301,$T80-1))</f>
        <v/>
      </c>
      <c r="P80" s="37">
        <f>IF($T80="","",INDEX(案件入力!$P$2:$P$301,$T80-1))</f>
        <v/>
      </c>
      <c r="Q80" s="35">
        <f>IF($T80="","",INDEX(案件入力!$Q$2:$Q$301,$T80-1))</f>
        <v/>
      </c>
      <c r="R80" s="35">
        <f>IF($T80="","",INDEX(案件入力!$R$2:$R$301,$T80-1))</f>
        <v/>
      </c>
      <c r="S80" s="35">
        <f>IF($T80="","",INDEX(案件入力!$S$2:$S$301,$T80-1))</f>
        <v/>
      </c>
      <c r="T80">
        <f t="array" ref="T80">IFERROR(SMALL(IF((案件入力!$A$2:$A$301&lt;&gt;"")*(案件入力!$R$2:$R$301&lt;&gt;"完了"),ROW(案件入力!$A$2:$A$301)),ROW()-1),"")</f>
        <v/>
      </c>
    </row>
    <row r="81">
      <c r="A81" s="35">
        <f>IF($T81="","",INDEX(案件入力!$A$2:$A$301,$T81-1))</f>
        <v/>
      </c>
      <c r="B81" s="36">
        <f>IF($T81="","",INDEX(案件入力!$B$2:$B$301,$T81-1))</f>
        <v/>
      </c>
      <c r="C81" s="35">
        <f>IF($T81="","",INDEX(案件入力!$C$2:$C$301,$T81-1))</f>
        <v/>
      </c>
      <c r="D81" s="37">
        <f>IF($T81="","",INDEX(案件入力!$D$2:$D$301,$T81-1))</f>
        <v/>
      </c>
      <c r="E81" s="35">
        <f>IF($T81="","",INDEX(案件入力!$E$2:$E$301,$T81-1))</f>
        <v/>
      </c>
      <c r="F81" s="35">
        <f>IF($T81="","",INDEX(案件入力!$F$2:$F$301,$T81-1))</f>
        <v/>
      </c>
      <c r="G81" s="35">
        <f>IF($T81="","",INDEX(案件入力!$G$2:$G$301,$T81-1))</f>
        <v/>
      </c>
      <c r="H81" s="49">
        <f>IF($T81="","",INDEX(案件入力!$H$2:$H$301,$T81-1))</f>
        <v/>
      </c>
      <c r="I81" s="49">
        <f>IF($T81="","",INDEX(案件入力!$I$2:$I$301,$T81-1))</f>
        <v/>
      </c>
      <c r="J81" s="39">
        <f>IF($T81="","",INDEX(案件入力!$J$2:$J$301,$T81-1))</f>
        <v/>
      </c>
      <c r="K81" s="36">
        <f>IF($T81="","",INDEX(案件入力!$K$2:$K$301,$T81-1))</f>
        <v/>
      </c>
      <c r="L81" s="49">
        <f>IF($T81="","",INDEX(案件入力!$L$2:$L$301,$T81-1))</f>
        <v/>
      </c>
      <c r="M81" s="49">
        <f>IF($T81="","",INDEX(案件入力!$M$2:$M$301,$T81-1))</f>
        <v/>
      </c>
      <c r="N81" s="39">
        <f>IF($T81="","",INDEX(案件入力!$N$2:$N$301,$T81-1))</f>
        <v/>
      </c>
      <c r="O81" s="36">
        <f>IF($T81="","",INDEX(案件入力!$O$2:$O$301,$T81-1))</f>
        <v/>
      </c>
      <c r="P81" s="37">
        <f>IF($T81="","",INDEX(案件入力!$P$2:$P$301,$T81-1))</f>
        <v/>
      </c>
      <c r="Q81" s="35">
        <f>IF($T81="","",INDEX(案件入力!$Q$2:$Q$301,$T81-1))</f>
        <v/>
      </c>
      <c r="R81" s="35">
        <f>IF($T81="","",INDEX(案件入力!$R$2:$R$301,$T81-1))</f>
        <v/>
      </c>
      <c r="S81" s="35">
        <f>IF($T81="","",INDEX(案件入力!$S$2:$S$301,$T81-1))</f>
        <v/>
      </c>
      <c r="T81">
        <f t="array" ref="T81">IFERROR(SMALL(IF((案件入力!$A$2:$A$301&lt;&gt;"")*(案件入力!$R$2:$R$301&lt;&gt;"完了"),ROW(案件入力!$A$2:$A$301)),ROW()-1),"")</f>
        <v/>
      </c>
    </row>
    <row r="82">
      <c r="A82" s="35">
        <f>IF($T82="","",INDEX(案件入力!$A$2:$A$301,$T82-1))</f>
        <v/>
      </c>
      <c r="B82" s="36">
        <f>IF($T82="","",INDEX(案件入力!$B$2:$B$301,$T82-1))</f>
        <v/>
      </c>
      <c r="C82" s="35">
        <f>IF($T82="","",INDEX(案件入力!$C$2:$C$301,$T82-1))</f>
        <v/>
      </c>
      <c r="D82" s="37">
        <f>IF($T82="","",INDEX(案件入力!$D$2:$D$301,$T82-1))</f>
        <v/>
      </c>
      <c r="E82" s="35">
        <f>IF($T82="","",INDEX(案件入力!$E$2:$E$301,$T82-1))</f>
        <v/>
      </c>
      <c r="F82" s="35">
        <f>IF($T82="","",INDEX(案件入力!$F$2:$F$301,$T82-1))</f>
        <v/>
      </c>
      <c r="G82" s="35">
        <f>IF($T82="","",INDEX(案件入力!$G$2:$G$301,$T82-1))</f>
        <v/>
      </c>
      <c r="H82" s="49">
        <f>IF($T82="","",INDEX(案件入力!$H$2:$H$301,$T82-1))</f>
        <v/>
      </c>
      <c r="I82" s="49">
        <f>IF($T82="","",INDEX(案件入力!$I$2:$I$301,$T82-1))</f>
        <v/>
      </c>
      <c r="J82" s="39">
        <f>IF($T82="","",INDEX(案件入力!$J$2:$J$301,$T82-1))</f>
        <v/>
      </c>
      <c r="K82" s="36">
        <f>IF($T82="","",INDEX(案件入力!$K$2:$K$301,$T82-1))</f>
        <v/>
      </c>
      <c r="L82" s="49">
        <f>IF($T82="","",INDEX(案件入力!$L$2:$L$301,$T82-1))</f>
        <v/>
      </c>
      <c r="M82" s="49">
        <f>IF($T82="","",INDEX(案件入力!$M$2:$M$301,$T82-1))</f>
        <v/>
      </c>
      <c r="N82" s="39">
        <f>IF($T82="","",INDEX(案件入力!$N$2:$N$301,$T82-1))</f>
        <v/>
      </c>
      <c r="O82" s="36">
        <f>IF($T82="","",INDEX(案件入力!$O$2:$O$301,$T82-1))</f>
        <v/>
      </c>
      <c r="P82" s="37">
        <f>IF($T82="","",INDEX(案件入力!$P$2:$P$301,$T82-1))</f>
        <v/>
      </c>
      <c r="Q82" s="35">
        <f>IF($T82="","",INDEX(案件入力!$Q$2:$Q$301,$T82-1))</f>
        <v/>
      </c>
      <c r="R82" s="35">
        <f>IF($T82="","",INDEX(案件入力!$R$2:$R$301,$T82-1))</f>
        <v/>
      </c>
      <c r="S82" s="35">
        <f>IF($T82="","",INDEX(案件入力!$S$2:$S$301,$T82-1))</f>
        <v/>
      </c>
      <c r="T82">
        <f t="array" ref="T82">IFERROR(SMALL(IF((案件入力!$A$2:$A$301&lt;&gt;"")*(案件入力!$R$2:$R$301&lt;&gt;"完了"),ROW(案件入力!$A$2:$A$301)),ROW()-1),"")</f>
        <v/>
      </c>
    </row>
    <row r="83">
      <c r="A83" s="35">
        <f>IF($T83="","",INDEX(案件入力!$A$2:$A$301,$T83-1))</f>
        <v/>
      </c>
      <c r="B83" s="36">
        <f>IF($T83="","",INDEX(案件入力!$B$2:$B$301,$T83-1))</f>
        <v/>
      </c>
      <c r="C83" s="35">
        <f>IF($T83="","",INDEX(案件入力!$C$2:$C$301,$T83-1))</f>
        <v/>
      </c>
      <c r="D83" s="37">
        <f>IF($T83="","",INDEX(案件入力!$D$2:$D$301,$T83-1))</f>
        <v/>
      </c>
      <c r="E83" s="35">
        <f>IF($T83="","",INDEX(案件入力!$E$2:$E$301,$T83-1))</f>
        <v/>
      </c>
      <c r="F83" s="35">
        <f>IF($T83="","",INDEX(案件入力!$F$2:$F$301,$T83-1))</f>
        <v/>
      </c>
      <c r="G83" s="35">
        <f>IF($T83="","",INDEX(案件入力!$G$2:$G$301,$T83-1))</f>
        <v/>
      </c>
      <c r="H83" s="49">
        <f>IF($T83="","",INDEX(案件入力!$H$2:$H$301,$T83-1))</f>
        <v/>
      </c>
      <c r="I83" s="49">
        <f>IF($T83="","",INDEX(案件入力!$I$2:$I$301,$T83-1))</f>
        <v/>
      </c>
      <c r="J83" s="39">
        <f>IF($T83="","",INDEX(案件入力!$J$2:$J$301,$T83-1))</f>
        <v/>
      </c>
      <c r="K83" s="36">
        <f>IF($T83="","",INDEX(案件入力!$K$2:$K$301,$T83-1))</f>
        <v/>
      </c>
      <c r="L83" s="49">
        <f>IF($T83="","",INDEX(案件入力!$L$2:$L$301,$T83-1))</f>
        <v/>
      </c>
      <c r="M83" s="49">
        <f>IF($T83="","",INDEX(案件入力!$M$2:$M$301,$T83-1))</f>
        <v/>
      </c>
      <c r="N83" s="39">
        <f>IF($T83="","",INDEX(案件入力!$N$2:$N$301,$T83-1))</f>
        <v/>
      </c>
      <c r="O83" s="36">
        <f>IF($T83="","",INDEX(案件入力!$O$2:$O$301,$T83-1))</f>
        <v/>
      </c>
      <c r="P83" s="37">
        <f>IF($T83="","",INDEX(案件入力!$P$2:$P$301,$T83-1))</f>
        <v/>
      </c>
      <c r="Q83" s="35">
        <f>IF($T83="","",INDEX(案件入力!$Q$2:$Q$301,$T83-1))</f>
        <v/>
      </c>
      <c r="R83" s="35">
        <f>IF($T83="","",INDEX(案件入力!$R$2:$R$301,$T83-1))</f>
        <v/>
      </c>
      <c r="S83" s="35">
        <f>IF($T83="","",INDEX(案件入力!$S$2:$S$301,$T83-1))</f>
        <v/>
      </c>
      <c r="T83">
        <f t="array" ref="T83">IFERROR(SMALL(IF((案件入力!$A$2:$A$301&lt;&gt;"")*(案件入力!$R$2:$R$301&lt;&gt;"完了"),ROW(案件入力!$A$2:$A$301)),ROW()-1),"")</f>
        <v/>
      </c>
    </row>
    <row r="84">
      <c r="A84" s="35">
        <f>IF($T84="","",INDEX(案件入力!$A$2:$A$301,$T84-1))</f>
        <v/>
      </c>
      <c r="B84" s="36">
        <f>IF($T84="","",INDEX(案件入力!$B$2:$B$301,$T84-1))</f>
        <v/>
      </c>
      <c r="C84" s="35">
        <f>IF($T84="","",INDEX(案件入力!$C$2:$C$301,$T84-1))</f>
        <v/>
      </c>
      <c r="D84" s="37">
        <f>IF($T84="","",INDEX(案件入力!$D$2:$D$301,$T84-1))</f>
        <v/>
      </c>
      <c r="E84" s="35">
        <f>IF($T84="","",INDEX(案件入力!$E$2:$E$301,$T84-1))</f>
        <v/>
      </c>
      <c r="F84" s="35">
        <f>IF($T84="","",INDEX(案件入力!$F$2:$F$301,$T84-1))</f>
        <v/>
      </c>
      <c r="G84" s="35">
        <f>IF($T84="","",INDEX(案件入力!$G$2:$G$301,$T84-1))</f>
        <v/>
      </c>
      <c r="H84" s="49">
        <f>IF($T84="","",INDEX(案件入力!$H$2:$H$301,$T84-1))</f>
        <v/>
      </c>
      <c r="I84" s="49">
        <f>IF($T84="","",INDEX(案件入力!$I$2:$I$301,$T84-1))</f>
        <v/>
      </c>
      <c r="J84" s="39">
        <f>IF($T84="","",INDEX(案件入力!$J$2:$J$301,$T84-1))</f>
        <v/>
      </c>
      <c r="K84" s="36">
        <f>IF($T84="","",INDEX(案件入力!$K$2:$K$301,$T84-1))</f>
        <v/>
      </c>
      <c r="L84" s="49">
        <f>IF($T84="","",INDEX(案件入力!$L$2:$L$301,$T84-1))</f>
        <v/>
      </c>
      <c r="M84" s="49">
        <f>IF($T84="","",INDEX(案件入力!$M$2:$M$301,$T84-1))</f>
        <v/>
      </c>
      <c r="N84" s="39">
        <f>IF($T84="","",INDEX(案件入力!$N$2:$N$301,$T84-1))</f>
        <v/>
      </c>
      <c r="O84" s="36">
        <f>IF($T84="","",INDEX(案件入力!$O$2:$O$301,$T84-1))</f>
        <v/>
      </c>
      <c r="P84" s="37">
        <f>IF($T84="","",INDEX(案件入力!$P$2:$P$301,$T84-1))</f>
        <v/>
      </c>
      <c r="Q84" s="35">
        <f>IF($T84="","",INDEX(案件入力!$Q$2:$Q$301,$T84-1))</f>
        <v/>
      </c>
      <c r="R84" s="35">
        <f>IF($T84="","",INDEX(案件入力!$R$2:$R$301,$T84-1))</f>
        <v/>
      </c>
      <c r="S84" s="35">
        <f>IF($T84="","",INDEX(案件入力!$S$2:$S$301,$T84-1))</f>
        <v/>
      </c>
      <c r="T84">
        <f t="array" ref="T84">IFERROR(SMALL(IF((案件入力!$A$2:$A$301&lt;&gt;"")*(案件入力!$R$2:$R$301&lt;&gt;"完了"),ROW(案件入力!$A$2:$A$301)),ROW()-1),"")</f>
        <v/>
      </c>
    </row>
    <row r="85">
      <c r="A85" s="35">
        <f>IF($T85="","",INDEX(案件入力!$A$2:$A$301,$T85-1))</f>
        <v/>
      </c>
      <c r="B85" s="36">
        <f>IF($T85="","",INDEX(案件入力!$B$2:$B$301,$T85-1))</f>
        <v/>
      </c>
      <c r="C85" s="35">
        <f>IF($T85="","",INDEX(案件入力!$C$2:$C$301,$T85-1))</f>
        <v/>
      </c>
      <c r="D85" s="37">
        <f>IF($T85="","",INDEX(案件入力!$D$2:$D$301,$T85-1))</f>
        <v/>
      </c>
      <c r="E85" s="35">
        <f>IF($T85="","",INDEX(案件入力!$E$2:$E$301,$T85-1))</f>
        <v/>
      </c>
      <c r="F85" s="35">
        <f>IF($T85="","",INDEX(案件入力!$F$2:$F$301,$T85-1))</f>
        <v/>
      </c>
      <c r="G85" s="35">
        <f>IF($T85="","",INDEX(案件入力!$G$2:$G$301,$T85-1))</f>
        <v/>
      </c>
      <c r="H85" s="49">
        <f>IF($T85="","",INDEX(案件入力!$H$2:$H$301,$T85-1))</f>
        <v/>
      </c>
      <c r="I85" s="49">
        <f>IF($T85="","",INDEX(案件入力!$I$2:$I$301,$T85-1))</f>
        <v/>
      </c>
      <c r="J85" s="39">
        <f>IF($T85="","",INDEX(案件入力!$J$2:$J$301,$T85-1))</f>
        <v/>
      </c>
      <c r="K85" s="36">
        <f>IF($T85="","",INDEX(案件入力!$K$2:$K$301,$T85-1))</f>
        <v/>
      </c>
      <c r="L85" s="49">
        <f>IF($T85="","",INDEX(案件入力!$L$2:$L$301,$T85-1))</f>
        <v/>
      </c>
      <c r="M85" s="49">
        <f>IF($T85="","",INDEX(案件入力!$M$2:$M$301,$T85-1))</f>
        <v/>
      </c>
      <c r="N85" s="39">
        <f>IF($T85="","",INDEX(案件入力!$N$2:$N$301,$T85-1))</f>
        <v/>
      </c>
      <c r="O85" s="36">
        <f>IF($T85="","",INDEX(案件入力!$O$2:$O$301,$T85-1))</f>
        <v/>
      </c>
      <c r="P85" s="37">
        <f>IF($T85="","",INDEX(案件入力!$P$2:$P$301,$T85-1))</f>
        <v/>
      </c>
      <c r="Q85" s="35">
        <f>IF($T85="","",INDEX(案件入力!$Q$2:$Q$301,$T85-1))</f>
        <v/>
      </c>
      <c r="R85" s="35">
        <f>IF($T85="","",INDEX(案件入力!$R$2:$R$301,$T85-1))</f>
        <v/>
      </c>
      <c r="S85" s="35">
        <f>IF($T85="","",INDEX(案件入力!$S$2:$S$301,$T85-1))</f>
        <v/>
      </c>
      <c r="T85">
        <f t="array" ref="T85">IFERROR(SMALL(IF((案件入力!$A$2:$A$301&lt;&gt;"")*(案件入力!$R$2:$R$301&lt;&gt;"完了"),ROW(案件入力!$A$2:$A$301)),ROW()-1),"")</f>
        <v/>
      </c>
    </row>
    <row r="86">
      <c r="A86" s="35">
        <f>IF($T86="","",INDEX(案件入力!$A$2:$A$301,$T86-1))</f>
        <v/>
      </c>
      <c r="B86" s="36">
        <f>IF($T86="","",INDEX(案件入力!$B$2:$B$301,$T86-1))</f>
        <v/>
      </c>
      <c r="C86" s="35">
        <f>IF($T86="","",INDEX(案件入力!$C$2:$C$301,$T86-1))</f>
        <v/>
      </c>
      <c r="D86" s="37">
        <f>IF($T86="","",INDEX(案件入力!$D$2:$D$301,$T86-1))</f>
        <v/>
      </c>
      <c r="E86" s="35">
        <f>IF($T86="","",INDEX(案件入力!$E$2:$E$301,$T86-1))</f>
        <v/>
      </c>
      <c r="F86" s="35">
        <f>IF($T86="","",INDEX(案件入力!$F$2:$F$301,$T86-1))</f>
        <v/>
      </c>
      <c r="G86" s="35">
        <f>IF($T86="","",INDEX(案件入力!$G$2:$G$301,$T86-1))</f>
        <v/>
      </c>
      <c r="H86" s="49">
        <f>IF($T86="","",INDEX(案件入力!$H$2:$H$301,$T86-1))</f>
        <v/>
      </c>
      <c r="I86" s="49">
        <f>IF($T86="","",INDEX(案件入力!$I$2:$I$301,$T86-1))</f>
        <v/>
      </c>
      <c r="J86" s="39">
        <f>IF($T86="","",INDEX(案件入力!$J$2:$J$301,$T86-1))</f>
        <v/>
      </c>
      <c r="K86" s="36">
        <f>IF($T86="","",INDEX(案件入力!$K$2:$K$301,$T86-1))</f>
        <v/>
      </c>
      <c r="L86" s="49">
        <f>IF($T86="","",INDEX(案件入力!$L$2:$L$301,$T86-1))</f>
        <v/>
      </c>
      <c r="M86" s="49">
        <f>IF($T86="","",INDEX(案件入力!$M$2:$M$301,$T86-1))</f>
        <v/>
      </c>
      <c r="N86" s="39">
        <f>IF($T86="","",INDEX(案件入力!$N$2:$N$301,$T86-1))</f>
        <v/>
      </c>
      <c r="O86" s="36">
        <f>IF($T86="","",INDEX(案件入力!$O$2:$O$301,$T86-1))</f>
        <v/>
      </c>
      <c r="P86" s="37">
        <f>IF($T86="","",INDEX(案件入力!$P$2:$P$301,$T86-1))</f>
        <v/>
      </c>
      <c r="Q86" s="35">
        <f>IF($T86="","",INDEX(案件入力!$Q$2:$Q$301,$T86-1))</f>
        <v/>
      </c>
      <c r="R86" s="35">
        <f>IF($T86="","",INDEX(案件入力!$R$2:$R$301,$T86-1))</f>
        <v/>
      </c>
      <c r="S86" s="35">
        <f>IF($T86="","",INDEX(案件入力!$S$2:$S$301,$T86-1))</f>
        <v/>
      </c>
      <c r="T86">
        <f t="array" ref="T86">IFERROR(SMALL(IF((案件入力!$A$2:$A$301&lt;&gt;"")*(案件入力!$R$2:$R$301&lt;&gt;"完了"),ROW(案件入力!$A$2:$A$301)),ROW()-1),"")</f>
        <v/>
      </c>
    </row>
    <row r="87">
      <c r="A87" s="35">
        <f>IF($T87="","",INDEX(案件入力!$A$2:$A$301,$T87-1))</f>
        <v/>
      </c>
      <c r="B87" s="36">
        <f>IF($T87="","",INDEX(案件入力!$B$2:$B$301,$T87-1))</f>
        <v/>
      </c>
      <c r="C87" s="35">
        <f>IF($T87="","",INDEX(案件入力!$C$2:$C$301,$T87-1))</f>
        <v/>
      </c>
      <c r="D87" s="37">
        <f>IF($T87="","",INDEX(案件入力!$D$2:$D$301,$T87-1))</f>
        <v/>
      </c>
      <c r="E87" s="35">
        <f>IF($T87="","",INDEX(案件入力!$E$2:$E$301,$T87-1))</f>
        <v/>
      </c>
      <c r="F87" s="35">
        <f>IF($T87="","",INDEX(案件入力!$F$2:$F$301,$T87-1))</f>
        <v/>
      </c>
      <c r="G87" s="35">
        <f>IF($T87="","",INDEX(案件入力!$G$2:$G$301,$T87-1))</f>
        <v/>
      </c>
      <c r="H87" s="49">
        <f>IF($T87="","",INDEX(案件入力!$H$2:$H$301,$T87-1))</f>
        <v/>
      </c>
      <c r="I87" s="49">
        <f>IF($T87="","",INDEX(案件入力!$I$2:$I$301,$T87-1))</f>
        <v/>
      </c>
      <c r="J87" s="39">
        <f>IF($T87="","",INDEX(案件入力!$J$2:$J$301,$T87-1))</f>
        <v/>
      </c>
      <c r="K87" s="36">
        <f>IF($T87="","",INDEX(案件入力!$K$2:$K$301,$T87-1))</f>
        <v/>
      </c>
      <c r="L87" s="49">
        <f>IF($T87="","",INDEX(案件入力!$L$2:$L$301,$T87-1))</f>
        <v/>
      </c>
      <c r="M87" s="49">
        <f>IF($T87="","",INDEX(案件入力!$M$2:$M$301,$T87-1))</f>
        <v/>
      </c>
      <c r="N87" s="39">
        <f>IF($T87="","",INDEX(案件入力!$N$2:$N$301,$T87-1))</f>
        <v/>
      </c>
      <c r="O87" s="36">
        <f>IF($T87="","",INDEX(案件入力!$O$2:$O$301,$T87-1))</f>
        <v/>
      </c>
      <c r="P87" s="37">
        <f>IF($T87="","",INDEX(案件入力!$P$2:$P$301,$T87-1))</f>
        <v/>
      </c>
      <c r="Q87" s="35">
        <f>IF($T87="","",INDEX(案件入力!$Q$2:$Q$301,$T87-1))</f>
        <v/>
      </c>
      <c r="R87" s="35">
        <f>IF($T87="","",INDEX(案件入力!$R$2:$R$301,$T87-1))</f>
        <v/>
      </c>
      <c r="S87" s="35">
        <f>IF($T87="","",INDEX(案件入力!$S$2:$S$301,$T87-1))</f>
        <v/>
      </c>
      <c r="T87">
        <f t="array" ref="T87">IFERROR(SMALL(IF((案件入力!$A$2:$A$301&lt;&gt;"")*(案件入力!$R$2:$R$301&lt;&gt;"完了"),ROW(案件入力!$A$2:$A$301)),ROW()-1),"")</f>
        <v/>
      </c>
    </row>
    <row r="88">
      <c r="A88" s="35">
        <f>IF($T88="","",INDEX(案件入力!$A$2:$A$301,$T88-1))</f>
        <v/>
      </c>
      <c r="B88" s="36">
        <f>IF($T88="","",INDEX(案件入力!$B$2:$B$301,$T88-1))</f>
        <v/>
      </c>
      <c r="C88" s="35">
        <f>IF($T88="","",INDEX(案件入力!$C$2:$C$301,$T88-1))</f>
        <v/>
      </c>
      <c r="D88" s="37">
        <f>IF($T88="","",INDEX(案件入力!$D$2:$D$301,$T88-1))</f>
        <v/>
      </c>
      <c r="E88" s="35">
        <f>IF($T88="","",INDEX(案件入力!$E$2:$E$301,$T88-1))</f>
        <v/>
      </c>
      <c r="F88" s="35">
        <f>IF($T88="","",INDEX(案件入力!$F$2:$F$301,$T88-1))</f>
        <v/>
      </c>
      <c r="G88" s="35">
        <f>IF($T88="","",INDEX(案件入力!$G$2:$G$301,$T88-1))</f>
        <v/>
      </c>
      <c r="H88" s="49">
        <f>IF($T88="","",INDEX(案件入力!$H$2:$H$301,$T88-1))</f>
        <v/>
      </c>
      <c r="I88" s="49">
        <f>IF($T88="","",INDEX(案件入力!$I$2:$I$301,$T88-1))</f>
        <v/>
      </c>
      <c r="J88" s="39">
        <f>IF($T88="","",INDEX(案件入力!$J$2:$J$301,$T88-1))</f>
        <v/>
      </c>
      <c r="K88" s="36">
        <f>IF($T88="","",INDEX(案件入力!$K$2:$K$301,$T88-1))</f>
        <v/>
      </c>
      <c r="L88" s="49">
        <f>IF($T88="","",INDEX(案件入力!$L$2:$L$301,$T88-1))</f>
        <v/>
      </c>
      <c r="M88" s="49">
        <f>IF($T88="","",INDEX(案件入力!$M$2:$M$301,$T88-1))</f>
        <v/>
      </c>
      <c r="N88" s="39">
        <f>IF($T88="","",INDEX(案件入力!$N$2:$N$301,$T88-1))</f>
        <v/>
      </c>
      <c r="O88" s="36">
        <f>IF($T88="","",INDEX(案件入力!$O$2:$O$301,$T88-1))</f>
        <v/>
      </c>
      <c r="P88" s="37">
        <f>IF($T88="","",INDEX(案件入力!$P$2:$P$301,$T88-1))</f>
        <v/>
      </c>
      <c r="Q88" s="35">
        <f>IF($T88="","",INDEX(案件入力!$Q$2:$Q$301,$T88-1))</f>
        <v/>
      </c>
      <c r="R88" s="35">
        <f>IF($T88="","",INDEX(案件入力!$R$2:$R$301,$T88-1))</f>
        <v/>
      </c>
      <c r="S88" s="35">
        <f>IF($T88="","",INDEX(案件入力!$S$2:$S$301,$T88-1))</f>
        <v/>
      </c>
      <c r="T88">
        <f t="array" ref="T88">IFERROR(SMALL(IF((案件入力!$A$2:$A$301&lt;&gt;"")*(案件入力!$R$2:$R$301&lt;&gt;"完了"),ROW(案件入力!$A$2:$A$301)),ROW()-1),"")</f>
        <v/>
      </c>
    </row>
    <row r="89">
      <c r="A89" s="35">
        <f>IF($T89="","",INDEX(案件入力!$A$2:$A$301,$T89-1))</f>
        <v/>
      </c>
      <c r="B89" s="36">
        <f>IF($T89="","",INDEX(案件入力!$B$2:$B$301,$T89-1))</f>
        <v/>
      </c>
      <c r="C89" s="35">
        <f>IF($T89="","",INDEX(案件入力!$C$2:$C$301,$T89-1))</f>
        <v/>
      </c>
      <c r="D89" s="37">
        <f>IF($T89="","",INDEX(案件入力!$D$2:$D$301,$T89-1))</f>
        <v/>
      </c>
      <c r="E89" s="35">
        <f>IF($T89="","",INDEX(案件入力!$E$2:$E$301,$T89-1))</f>
        <v/>
      </c>
      <c r="F89" s="35">
        <f>IF($T89="","",INDEX(案件入力!$F$2:$F$301,$T89-1))</f>
        <v/>
      </c>
      <c r="G89" s="35">
        <f>IF($T89="","",INDEX(案件入力!$G$2:$G$301,$T89-1))</f>
        <v/>
      </c>
      <c r="H89" s="49">
        <f>IF($T89="","",INDEX(案件入力!$H$2:$H$301,$T89-1))</f>
        <v/>
      </c>
      <c r="I89" s="49">
        <f>IF($T89="","",INDEX(案件入力!$I$2:$I$301,$T89-1))</f>
        <v/>
      </c>
      <c r="J89" s="39">
        <f>IF($T89="","",INDEX(案件入力!$J$2:$J$301,$T89-1))</f>
        <v/>
      </c>
      <c r="K89" s="36">
        <f>IF($T89="","",INDEX(案件入力!$K$2:$K$301,$T89-1))</f>
        <v/>
      </c>
      <c r="L89" s="49">
        <f>IF($T89="","",INDEX(案件入力!$L$2:$L$301,$T89-1))</f>
        <v/>
      </c>
      <c r="M89" s="49">
        <f>IF($T89="","",INDEX(案件入力!$M$2:$M$301,$T89-1))</f>
        <v/>
      </c>
      <c r="N89" s="39">
        <f>IF($T89="","",INDEX(案件入力!$N$2:$N$301,$T89-1))</f>
        <v/>
      </c>
      <c r="O89" s="36">
        <f>IF($T89="","",INDEX(案件入力!$O$2:$O$301,$T89-1))</f>
        <v/>
      </c>
      <c r="P89" s="37">
        <f>IF($T89="","",INDEX(案件入力!$P$2:$P$301,$T89-1))</f>
        <v/>
      </c>
      <c r="Q89" s="35">
        <f>IF($T89="","",INDEX(案件入力!$Q$2:$Q$301,$T89-1))</f>
        <v/>
      </c>
      <c r="R89" s="35">
        <f>IF($T89="","",INDEX(案件入力!$R$2:$R$301,$T89-1))</f>
        <v/>
      </c>
      <c r="S89" s="35">
        <f>IF($T89="","",INDEX(案件入力!$S$2:$S$301,$T89-1))</f>
        <v/>
      </c>
      <c r="T89">
        <f t="array" ref="T89">IFERROR(SMALL(IF((案件入力!$A$2:$A$301&lt;&gt;"")*(案件入力!$R$2:$R$301&lt;&gt;"完了"),ROW(案件入力!$A$2:$A$301)),ROW()-1),"")</f>
        <v/>
      </c>
    </row>
    <row r="90">
      <c r="A90" s="35">
        <f>IF($T90="","",INDEX(案件入力!$A$2:$A$301,$T90-1))</f>
        <v/>
      </c>
      <c r="B90" s="36">
        <f>IF($T90="","",INDEX(案件入力!$B$2:$B$301,$T90-1))</f>
        <v/>
      </c>
      <c r="C90" s="35">
        <f>IF($T90="","",INDEX(案件入力!$C$2:$C$301,$T90-1))</f>
        <v/>
      </c>
      <c r="D90" s="37">
        <f>IF($T90="","",INDEX(案件入力!$D$2:$D$301,$T90-1))</f>
        <v/>
      </c>
      <c r="E90" s="35">
        <f>IF($T90="","",INDEX(案件入力!$E$2:$E$301,$T90-1))</f>
        <v/>
      </c>
      <c r="F90" s="35">
        <f>IF($T90="","",INDEX(案件入力!$F$2:$F$301,$T90-1))</f>
        <v/>
      </c>
      <c r="G90" s="35">
        <f>IF($T90="","",INDEX(案件入力!$G$2:$G$301,$T90-1))</f>
        <v/>
      </c>
      <c r="H90" s="49">
        <f>IF($T90="","",INDEX(案件入力!$H$2:$H$301,$T90-1))</f>
        <v/>
      </c>
      <c r="I90" s="49">
        <f>IF($T90="","",INDEX(案件入力!$I$2:$I$301,$T90-1))</f>
        <v/>
      </c>
      <c r="J90" s="39">
        <f>IF($T90="","",INDEX(案件入力!$J$2:$J$301,$T90-1))</f>
        <v/>
      </c>
      <c r="K90" s="36">
        <f>IF($T90="","",INDEX(案件入力!$K$2:$K$301,$T90-1))</f>
        <v/>
      </c>
      <c r="L90" s="49">
        <f>IF($T90="","",INDEX(案件入力!$L$2:$L$301,$T90-1))</f>
        <v/>
      </c>
      <c r="M90" s="49">
        <f>IF($T90="","",INDEX(案件入力!$M$2:$M$301,$T90-1))</f>
        <v/>
      </c>
      <c r="N90" s="39">
        <f>IF($T90="","",INDEX(案件入力!$N$2:$N$301,$T90-1))</f>
        <v/>
      </c>
      <c r="O90" s="36">
        <f>IF($T90="","",INDEX(案件入力!$O$2:$O$301,$T90-1))</f>
        <v/>
      </c>
      <c r="P90" s="37">
        <f>IF($T90="","",INDEX(案件入力!$P$2:$P$301,$T90-1))</f>
        <v/>
      </c>
      <c r="Q90" s="35">
        <f>IF($T90="","",INDEX(案件入力!$Q$2:$Q$301,$T90-1))</f>
        <v/>
      </c>
      <c r="R90" s="35">
        <f>IF($T90="","",INDEX(案件入力!$R$2:$R$301,$T90-1))</f>
        <v/>
      </c>
      <c r="S90" s="35">
        <f>IF($T90="","",INDEX(案件入力!$S$2:$S$301,$T90-1))</f>
        <v/>
      </c>
      <c r="T90">
        <f t="array" ref="T90">IFERROR(SMALL(IF((案件入力!$A$2:$A$301&lt;&gt;"")*(案件入力!$R$2:$R$301&lt;&gt;"完了"),ROW(案件入力!$A$2:$A$301)),ROW()-1),"")</f>
        <v/>
      </c>
    </row>
    <row r="91">
      <c r="A91" s="35">
        <f>IF($T91="","",INDEX(案件入力!$A$2:$A$301,$T91-1))</f>
        <v/>
      </c>
      <c r="B91" s="36">
        <f>IF($T91="","",INDEX(案件入力!$B$2:$B$301,$T91-1))</f>
        <v/>
      </c>
      <c r="C91" s="35">
        <f>IF($T91="","",INDEX(案件入力!$C$2:$C$301,$T91-1))</f>
        <v/>
      </c>
      <c r="D91" s="37">
        <f>IF($T91="","",INDEX(案件入力!$D$2:$D$301,$T91-1))</f>
        <v/>
      </c>
      <c r="E91" s="35">
        <f>IF($T91="","",INDEX(案件入力!$E$2:$E$301,$T91-1))</f>
        <v/>
      </c>
      <c r="F91" s="35">
        <f>IF($T91="","",INDEX(案件入力!$F$2:$F$301,$T91-1))</f>
        <v/>
      </c>
      <c r="G91" s="35">
        <f>IF($T91="","",INDEX(案件入力!$G$2:$G$301,$T91-1))</f>
        <v/>
      </c>
      <c r="H91" s="49">
        <f>IF($T91="","",INDEX(案件入力!$H$2:$H$301,$T91-1))</f>
        <v/>
      </c>
      <c r="I91" s="49">
        <f>IF($T91="","",INDEX(案件入力!$I$2:$I$301,$T91-1))</f>
        <v/>
      </c>
      <c r="J91" s="39">
        <f>IF($T91="","",INDEX(案件入力!$J$2:$J$301,$T91-1))</f>
        <v/>
      </c>
      <c r="K91" s="36">
        <f>IF($T91="","",INDEX(案件入力!$K$2:$K$301,$T91-1))</f>
        <v/>
      </c>
      <c r="L91" s="49">
        <f>IF($T91="","",INDEX(案件入力!$L$2:$L$301,$T91-1))</f>
        <v/>
      </c>
      <c r="M91" s="49">
        <f>IF($T91="","",INDEX(案件入力!$M$2:$M$301,$T91-1))</f>
        <v/>
      </c>
      <c r="N91" s="39">
        <f>IF($T91="","",INDEX(案件入力!$N$2:$N$301,$T91-1))</f>
        <v/>
      </c>
      <c r="O91" s="36">
        <f>IF($T91="","",INDEX(案件入力!$O$2:$O$301,$T91-1))</f>
        <v/>
      </c>
      <c r="P91" s="37">
        <f>IF($T91="","",INDEX(案件入力!$P$2:$P$301,$T91-1))</f>
        <v/>
      </c>
      <c r="Q91" s="35">
        <f>IF($T91="","",INDEX(案件入力!$Q$2:$Q$301,$T91-1))</f>
        <v/>
      </c>
      <c r="R91" s="35">
        <f>IF($T91="","",INDEX(案件入力!$R$2:$R$301,$T91-1))</f>
        <v/>
      </c>
      <c r="S91" s="35">
        <f>IF($T91="","",INDEX(案件入力!$S$2:$S$301,$T91-1))</f>
        <v/>
      </c>
      <c r="T91">
        <f t="array" ref="T91">IFERROR(SMALL(IF((案件入力!$A$2:$A$301&lt;&gt;"")*(案件入力!$R$2:$R$301&lt;&gt;"完了"),ROW(案件入力!$A$2:$A$301)),ROW()-1),"")</f>
        <v/>
      </c>
    </row>
    <row r="92">
      <c r="A92" s="35">
        <f>IF($T92="","",INDEX(案件入力!$A$2:$A$301,$T92-1))</f>
        <v/>
      </c>
      <c r="B92" s="36">
        <f>IF($T92="","",INDEX(案件入力!$B$2:$B$301,$T92-1))</f>
        <v/>
      </c>
      <c r="C92" s="35">
        <f>IF($T92="","",INDEX(案件入力!$C$2:$C$301,$T92-1))</f>
        <v/>
      </c>
      <c r="D92" s="37">
        <f>IF($T92="","",INDEX(案件入力!$D$2:$D$301,$T92-1))</f>
        <v/>
      </c>
      <c r="E92" s="35">
        <f>IF($T92="","",INDEX(案件入力!$E$2:$E$301,$T92-1))</f>
        <v/>
      </c>
      <c r="F92" s="35">
        <f>IF($T92="","",INDEX(案件入力!$F$2:$F$301,$T92-1))</f>
        <v/>
      </c>
      <c r="G92" s="35">
        <f>IF($T92="","",INDEX(案件入力!$G$2:$G$301,$T92-1))</f>
        <v/>
      </c>
      <c r="H92" s="49">
        <f>IF($T92="","",INDEX(案件入力!$H$2:$H$301,$T92-1))</f>
        <v/>
      </c>
      <c r="I92" s="49">
        <f>IF($T92="","",INDEX(案件入力!$I$2:$I$301,$T92-1))</f>
        <v/>
      </c>
      <c r="J92" s="39">
        <f>IF($T92="","",INDEX(案件入力!$J$2:$J$301,$T92-1))</f>
        <v/>
      </c>
      <c r="K92" s="36">
        <f>IF($T92="","",INDEX(案件入力!$K$2:$K$301,$T92-1))</f>
        <v/>
      </c>
      <c r="L92" s="49">
        <f>IF($T92="","",INDEX(案件入力!$L$2:$L$301,$T92-1))</f>
        <v/>
      </c>
      <c r="M92" s="49">
        <f>IF($T92="","",INDEX(案件入力!$M$2:$M$301,$T92-1))</f>
        <v/>
      </c>
      <c r="N92" s="39">
        <f>IF($T92="","",INDEX(案件入力!$N$2:$N$301,$T92-1))</f>
        <v/>
      </c>
      <c r="O92" s="36">
        <f>IF($T92="","",INDEX(案件入力!$O$2:$O$301,$T92-1))</f>
        <v/>
      </c>
      <c r="P92" s="37">
        <f>IF($T92="","",INDEX(案件入力!$P$2:$P$301,$T92-1))</f>
        <v/>
      </c>
      <c r="Q92" s="35">
        <f>IF($T92="","",INDEX(案件入力!$Q$2:$Q$301,$T92-1))</f>
        <v/>
      </c>
      <c r="R92" s="35">
        <f>IF($T92="","",INDEX(案件入力!$R$2:$R$301,$T92-1))</f>
        <v/>
      </c>
      <c r="S92" s="35">
        <f>IF($T92="","",INDEX(案件入力!$S$2:$S$301,$T92-1))</f>
        <v/>
      </c>
      <c r="T92">
        <f t="array" ref="T92">IFERROR(SMALL(IF((案件入力!$A$2:$A$301&lt;&gt;"")*(案件入力!$R$2:$R$301&lt;&gt;"完了"),ROW(案件入力!$A$2:$A$301)),ROW()-1),"")</f>
        <v/>
      </c>
    </row>
    <row r="93">
      <c r="A93" s="35">
        <f>IF($T93="","",INDEX(案件入力!$A$2:$A$301,$T93-1))</f>
        <v/>
      </c>
      <c r="B93" s="36">
        <f>IF($T93="","",INDEX(案件入力!$B$2:$B$301,$T93-1))</f>
        <v/>
      </c>
      <c r="C93" s="35">
        <f>IF($T93="","",INDEX(案件入力!$C$2:$C$301,$T93-1))</f>
        <v/>
      </c>
      <c r="D93" s="37">
        <f>IF($T93="","",INDEX(案件入力!$D$2:$D$301,$T93-1))</f>
        <v/>
      </c>
      <c r="E93" s="35">
        <f>IF($T93="","",INDEX(案件入力!$E$2:$E$301,$T93-1))</f>
        <v/>
      </c>
      <c r="F93" s="35">
        <f>IF($T93="","",INDEX(案件入力!$F$2:$F$301,$T93-1))</f>
        <v/>
      </c>
      <c r="G93" s="35">
        <f>IF($T93="","",INDEX(案件入力!$G$2:$G$301,$T93-1))</f>
        <v/>
      </c>
      <c r="H93" s="49">
        <f>IF($T93="","",INDEX(案件入力!$H$2:$H$301,$T93-1))</f>
        <v/>
      </c>
      <c r="I93" s="49">
        <f>IF($T93="","",INDEX(案件入力!$I$2:$I$301,$T93-1))</f>
        <v/>
      </c>
      <c r="J93" s="39">
        <f>IF($T93="","",INDEX(案件入力!$J$2:$J$301,$T93-1))</f>
        <v/>
      </c>
      <c r="K93" s="36">
        <f>IF($T93="","",INDEX(案件入力!$K$2:$K$301,$T93-1))</f>
        <v/>
      </c>
      <c r="L93" s="49">
        <f>IF($T93="","",INDEX(案件入力!$L$2:$L$301,$T93-1))</f>
        <v/>
      </c>
      <c r="M93" s="49">
        <f>IF($T93="","",INDEX(案件入力!$M$2:$M$301,$T93-1))</f>
        <v/>
      </c>
      <c r="N93" s="39">
        <f>IF($T93="","",INDEX(案件入力!$N$2:$N$301,$T93-1))</f>
        <v/>
      </c>
      <c r="O93" s="36">
        <f>IF($T93="","",INDEX(案件入力!$O$2:$O$301,$T93-1))</f>
        <v/>
      </c>
      <c r="P93" s="37">
        <f>IF($T93="","",INDEX(案件入力!$P$2:$P$301,$T93-1))</f>
        <v/>
      </c>
      <c r="Q93" s="35">
        <f>IF($T93="","",INDEX(案件入力!$Q$2:$Q$301,$T93-1))</f>
        <v/>
      </c>
      <c r="R93" s="35">
        <f>IF($T93="","",INDEX(案件入力!$R$2:$R$301,$T93-1))</f>
        <v/>
      </c>
      <c r="S93" s="35">
        <f>IF($T93="","",INDEX(案件入力!$S$2:$S$301,$T93-1))</f>
        <v/>
      </c>
      <c r="T93">
        <f t="array" ref="T93">IFERROR(SMALL(IF((案件入力!$A$2:$A$301&lt;&gt;"")*(案件入力!$R$2:$R$301&lt;&gt;"完了"),ROW(案件入力!$A$2:$A$301)),ROW()-1),"")</f>
        <v/>
      </c>
    </row>
    <row r="94">
      <c r="A94" s="35">
        <f>IF($T94="","",INDEX(案件入力!$A$2:$A$301,$T94-1))</f>
        <v/>
      </c>
      <c r="B94" s="36">
        <f>IF($T94="","",INDEX(案件入力!$B$2:$B$301,$T94-1))</f>
        <v/>
      </c>
      <c r="C94" s="35">
        <f>IF($T94="","",INDEX(案件入力!$C$2:$C$301,$T94-1))</f>
        <v/>
      </c>
      <c r="D94" s="37">
        <f>IF($T94="","",INDEX(案件入力!$D$2:$D$301,$T94-1))</f>
        <v/>
      </c>
      <c r="E94" s="35">
        <f>IF($T94="","",INDEX(案件入力!$E$2:$E$301,$T94-1))</f>
        <v/>
      </c>
      <c r="F94" s="35">
        <f>IF($T94="","",INDEX(案件入力!$F$2:$F$301,$T94-1))</f>
        <v/>
      </c>
      <c r="G94" s="35">
        <f>IF($T94="","",INDEX(案件入力!$G$2:$G$301,$T94-1))</f>
        <v/>
      </c>
      <c r="H94" s="49">
        <f>IF($T94="","",INDEX(案件入力!$H$2:$H$301,$T94-1))</f>
        <v/>
      </c>
      <c r="I94" s="49">
        <f>IF($T94="","",INDEX(案件入力!$I$2:$I$301,$T94-1))</f>
        <v/>
      </c>
      <c r="J94" s="39">
        <f>IF($T94="","",INDEX(案件入力!$J$2:$J$301,$T94-1))</f>
        <v/>
      </c>
      <c r="K94" s="36">
        <f>IF($T94="","",INDEX(案件入力!$K$2:$K$301,$T94-1))</f>
        <v/>
      </c>
      <c r="L94" s="49">
        <f>IF($T94="","",INDEX(案件入力!$L$2:$L$301,$T94-1))</f>
        <v/>
      </c>
      <c r="M94" s="49">
        <f>IF($T94="","",INDEX(案件入力!$M$2:$M$301,$T94-1))</f>
        <v/>
      </c>
      <c r="N94" s="39">
        <f>IF($T94="","",INDEX(案件入力!$N$2:$N$301,$T94-1))</f>
        <v/>
      </c>
      <c r="O94" s="36">
        <f>IF($T94="","",INDEX(案件入力!$O$2:$O$301,$T94-1))</f>
        <v/>
      </c>
      <c r="P94" s="37">
        <f>IF($T94="","",INDEX(案件入力!$P$2:$P$301,$T94-1))</f>
        <v/>
      </c>
      <c r="Q94" s="35">
        <f>IF($T94="","",INDEX(案件入力!$Q$2:$Q$301,$T94-1))</f>
        <v/>
      </c>
      <c r="R94" s="35">
        <f>IF($T94="","",INDEX(案件入力!$R$2:$R$301,$T94-1))</f>
        <v/>
      </c>
      <c r="S94" s="35">
        <f>IF($T94="","",INDEX(案件入力!$S$2:$S$301,$T94-1))</f>
        <v/>
      </c>
      <c r="T94">
        <f t="array" ref="T94">IFERROR(SMALL(IF((案件入力!$A$2:$A$301&lt;&gt;"")*(案件入力!$R$2:$R$301&lt;&gt;"完了"),ROW(案件入力!$A$2:$A$301)),ROW()-1),"")</f>
        <v/>
      </c>
    </row>
    <row r="95">
      <c r="A95" s="35">
        <f>IF($T95="","",INDEX(案件入力!$A$2:$A$301,$T95-1))</f>
        <v/>
      </c>
      <c r="B95" s="36">
        <f>IF($T95="","",INDEX(案件入力!$B$2:$B$301,$T95-1))</f>
        <v/>
      </c>
      <c r="C95" s="35">
        <f>IF($T95="","",INDEX(案件入力!$C$2:$C$301,$T95-1))</f>
        <v/>
      </c>
      <c r="D95" s="37">
        <f>IF($T95="","",INDEX(案件入力!$D$2:$D$301,$T95-1))</f>
        <v/>
      </c>
      <c r="E95" s="35">
        <f>IF($T95="","",INDEX(案件入力!$E$2:$E$301,$T95-1))</f>
        <v/>
      </c>
      <c r="F95" s="35">
        <f>IF($T95="","",INDEX(案件入力!$F$2:$F$301,$T95-1))</f>
        <v/>
      </c>
      <c r="G95" s="35">
        <f>IF($T95="","",INDEX(案件入力!$G$2:$G$301,$T95-1))</f>
        <v/>
      </c>
      <c r="H95" s="49">
        <f>IF($T95="","",INDEX(案件入力!$H$2:$H$301,$T95-1))</f>
        <v/>
      </c>
      <c r="I95" s="49">
        <f>IF($T95="","",INDEX(案件入力!$I$2:$I$301,$T95-1))</f>
        <v/>
      </c>
      <c r="J95" s="39">
        <f>IF($T95="","",INDEX(案件入力!$J$2:$J$301,$T95-1))</f>
        <v/>
      </c>
      <c r="K95" s="36">
        <f>IF($T95="","",INDEX(案件入力!$K$2:$K$301,$T95-1))</f>
        <v/>
      </c>
      <c r="L95" s="49">
        <f>IF($T95="","",INDEX(案件入力!$L$2:$L$301,$T95-1))</f>
        <v/>
      </c>
      <c r="M95" s="49">
        <f>IF($T95="","",INDEX(案件入力!$M$2:$M$301,$T95-1))</f>
        <v/>
      </c>
      <c r="N95" s="39">
        <f>IF($T95="","",INDEX(案件入力!$N$2:$N$301,$T95-1))</f>
        <v/>
      </c>
      <c r="O95" s="36">
        <f>IF($T95="","",INDEX(案件入力!$O$2:$O$301,$T95-1))</f>
        <v/>
      </c>
      <c r="P95" s="37">
        <f>IF($T95="","",INDEX(案件入力!$P$2:$P$301,$T95-1))</f>
        <v/>
      </c>
      <c r="Q95" s="35">
        <f>IF($T95="","",INDEX(案件入力!$Q$2:$Q$301,$T95-1))</f>
        <v/>
      </c>
      <c r="R95" s="35">
        <f>IF($T95="","",INDEX(案件入力!$R$2:$R$301,$T95-1))</f>
        <v/>
      </c>
      <c r="S95" s="35">
        <f>IF($T95="","",INDEX(案件入力!$S$2:$S$301,$T95-1))</f>
        <v/>
      </c>
      <c r="T95">
        <f t="array" ref="T95">IFERROR(SMALL(IF((案件入力!$A$2:$A$301&lt;&gt;"")*(案件入力!$R$2:$R$301&lt;&gt;"完了"),ROW(案件入力!$A$2:$A$301)),ROW()-1),"")</f>
        <v/>
      </c>
    </row>
    <row r="96">
      <c r="A96" s="35">
        <f>IF($T96="","",INDEX(案件入力!$A$2:$A$301,$T96-1))</f>
        <v/>
      </c>
      <c r="B96" s="36">
        <f>IF($T96="","",INDEX(案件入力!$B$2:$B$301,$T96-1))</f>
        <v/>
      </c>
      <c r="C96" s="35">
        <f>IF($T96="","",INDEX(案件入力!$C$2:$C$301,$T96-1))</f>
        <v/>
      </c>
      <c r="D96" s="37">
        <f>IF($T96="","",INDEX(案件入力!$D$2:$D$301,$T96-1))</f>
        <v/>
      </c>
      <c r="E96" s="35">
        <f>IF($T96="","",INDEX(案件入力!$E$2:$E$301,$T96-1))</f>
        <v/>
      </c>
      <c r="F96" s="35">
        <f>IF($T96="","",INDEX(案件入力!$F$2:$F$301,$T96-1))</f>
        <v/>
      </c>
      <c r="G96" s="35">
        <f>IF($T96="","",INDEX(案件入力!$G$2:$G$301,$T96-1))</f>
        <v/>
      </c>
      <c r="H96" s="49">
        <f>IF($T96="","",INDEX(案件入力!$H$2:$H$301,$T96-1))</f>
        <v/>
      </c>
      <c r="I96" s="49">
        <f>IF($T96="","",INDEX(案件入力!$I$2:$I$301,$T96-1))</f>
        <v/>
      </c>
      <c r="J96" s="39">
        <f>IF($T96="","",INDEX(案件入力!$J$2:$J$301,$T96-1))</f>
        <v/>
      </c>
      <c r="K96" s="36">
        <f>IF($T96="","",INDEX(案件入力!$K$2:$K$301,$T96-1))</f>
        <v/>
      </c>
      <c r="L96" s="49">
        <f>IF($T96="","",INDEX(案件入力!$L$2:$L$301,$T96-1))</f>
        <v/>
      </c>
      <c r="M96" s="49">
        <f>IF($T96="","",INDEX(案件入力!$M$2:$M$301,$T96-1))</f>
        <v/>
      </c>
      <c r="N96" s="39">
        <f>IF($T96="","",INDEX(案件入力!$N$2:$N$301,$T96-1))</f>
        <v/>
      </c>
      <c r="O96" s="36">
        <f>IF($T96="","",INDEX(案件入力!$O$2:$O$301,$T96-1))</f>
        <v/>
      </c>
      <c r="P96" s="37">
        <f>IF($T96="","",INDEX(案件入力!$P$2:$P$301,$T96-1))</f>
        <v/>
      </c>
      <c r="Q96" s="35">
        <f>IF($T96="","",INDEX(案件入力!$Q$2:$Q$301,$T96-1))</f>
        <v/>
      </c>
      <c r="R96" s="35">
        <f>IF($T96="","",INDEX(案件入力!$R$2:$R$301,$T96-1))</f>
        <v/>
      </c>
      <c r="S96" s="35">
        <f>IF($T96="","",INDEX(案件入力!$S$2:$S$301,$T96-1))</f>
        <v/>
      </c>
      <c r="T96">
        <f t="array" ref="T96">IFERROR(SMALL(IF((案件入力!$A$2:$A$301&lt;&gt;"")*(案件入力!$R$2:$R$301&lt;&gt;"完了"),ROW(案件入力!$A$2:$A$301)),ROW()-1),"")</f>
        <v/>
      </c>
    </row>
    <row r="97">
      <c r="A97" s="35">
        <f>IF($T97="","",INDEX(案件入力!$A$2:$A$301,$T97-1))</f>
        <v/>
      </c>
      <c r="B97" s="36">
        <f>IF($T97="","",INDEX(案件入力!$B$2:$B$301,$T97-1))</f>
        <v/>
      </c>
      <c r="C97" s="35">
        <f>IF($T97="","",INDEX(案件入力!$C$2:$C$301,$T97-1))</f>
        <v/>
      </c>
      <c r="D97" s="37">
        <f>IF($T97="","",INDEX(案件入力!$D$2:$D$301,$T97-1))</f>
        <v/>
      </c>
      <c r="E97" s="35">
        <f>IF($T97="","",INDEX(案件入力!$E$2:$E$301,$T97-1))</f>
        <v/>
      </c>
      <c r="F97" s="35">
        <f>IF($T97="","",INDEX(案件入力!$F$2:$F$301,$T97-1))</f>
        <v/>
      </c>
      <c r="G97" s="35">
        <f>IF($T97="","",INDEX(案件入力!$G$2:$G$301,$T97-1))</f>
        <v/>
      </c>
      <c r="H97" s="49">
        <f>IF($T97="","",INDEX(案件入力!$H$2:$H$301,$T97-1))</f>
        <v/>
      </c>
      <c r="I97" s="49">
        <f>IF($T97="","",INDEX(案件入力!$I$2:$I$301,$T97-1))</f>
        <v/>
      </c>
      <c r="J97" s="39">
        <f>IF($T97="","",INDEX(案件入力!$J$2:$J$301,$T97-1))</f>
        <v/>
      </c>
      <c r="K97" s="36">
        <f>IF($T97="","",INDEX(案件入力!$K$2:$K$301,$T97-1))</f>
        <v/>
      </c>
      <c r="L97" s="49">
        <f>IF($T97="","",INDEX(案件入力!$L$2:$L$301,$T97-1))</f>
        <v/>
      </c>
      <c r="M97" s="49">
        <f>IF($T97="","",INDEX(案件入力!$M$2:$M$301,$T97-1))</f>
        <v/>
      </c>
      <c r="N97" s="39">
        <f>IF($T97="","",INDEX(案件入力!$N$2:$N$301,$T97-1))</f>
        <v/>
      </c>
      <c r="O97" s="36">
        <f>IF($T97="","",INDEX(案件入力!$O$2:$O$301,$T97-1))</f>
        <v/>
      </c>
      <c r="P97" s="37">
        <f>IF($T97="","",INDEX(案件入力!$P$2:$P$301,$T97-1))</f>
        <v/>
      </c>
      <c r="Q97" s="35">
        <f>IF($T97="","",INDEX(案件入力!$Q$2:$Q$301,$T97-1))</f>
        <v/>
      </c>
      <c r="R97" s="35">
        <f>IF($T97="","",INDEX(案件入力!$R$2:$R$301,$T97-1))</f>
        <v/>
      </c>
      <c r="S97" s="35">
        <f>IF($T97="","",INDEX(案件入力!$S$2:$S$301,$T97-1))</f>
        <v/>
      </c>
      <c r="T97">
        <f t="array" ref="T97">IFERROR(SMALL(IF((案件入力!$A$2:$A$301&lt;&gt;"")*(案件入力!$R$2:$R$301&lt;&gt;"完了"),ROW(案件入力!$A$2:$A$301)),ROW()-1),"")</f>
        <v/>
      </c>
    </row>
    <row r="98">
      <c r="A98" s="35">
        <f>IF($T98="","",INDEX(案件入力!$A$2:$A$301,$T98-1))</f>
        <v/>
      </c>
      <c r="B98" s="36">
        <f>IF($T98="","",INDEX(案件入力!$B$2:$B$301,$T98-1))</f>
        <v/>
      </c>
      <c r="C98" s="35">
        <f>IF($T98="","",INDEX(案件入力!$C$2:$C$301,$T98-1))</f>
        <v/>
      </c>
      <c r="D98" s="37">
        <f>IF($T98="","",INDEX(案件入力!$D$2:$D$301,$T98-1))</f>
        <v/>
      </c>
      <c r="E98" s="35">
        <f>IF($T98="","",INDEX(案件入力!$E$2:$E$301,$T98-1))</f>
        <v/>
      </c>
      <c r="F98" s="35">
        <f>IF($T98="","",INDEX(案件入力!$F$2:$F$301,$T98-1))</f>
        <v/>
      </c>
      <c r="G98" s="35">
        <f>IF($T98="","",INDEX(案件入力!$G$2:$G$301,$T98-1))</f>
        <v/>
      </c>
      <c r="H98" s="49">
        <f>IF($T98="","",INDEX(案件入力!$H$2:$H$301,$T98-1))</f>
        <v/>
      </c>
      <c r="I98" s="49">
        <f>IF($T98="","",INDEX(案件入力!$I$2:$I$301,$T98-1))</f>
        <v/>
      </c>
      <c r="J98" s="39">
        <f>IF($T98="","",INDEX(案件入力!$J$2:$J$301,$T98-1))</f>
        <v/>
      </c>
      <c r="K98" s="36">
        <f>IF($T98="","",INDEX(案件入力!$K$2:$K$301,$T98-1))</f>
        <v/>
      </c>
      <c r="L98" s="49">
        <f>IF($T98="","",INDEX(案件入力!$L$2:$L$301,$T98-1))</f>
        <v/>
      </c>
      <c r="M98" s="49">
        <f>IF($T98="","",INDEX(案件入力!$M$2:$M$301,$T98-1))</f>
        <v/>
      </c>
      <c r="N98" s="39">
        <f>IF($T98="","",INDEX(案件入力!$N$2:$N$301,$T98-1))</f>
        <v/>
      </c>
      <c r="O98" s="36">
        <f>IF($T98="","",INDEX(案件入力!$O$2:$O$301,$T98-1))</f>
        <v/>
      </c>
      <c r="P98" s="37">
        <f>IF($T98="","",INDEX(案件入力!$P$2:$P$301,$T98-1))</f>
        <v/>
      </c>
      <c r="Q98" s="35">
        <f>IF($T98="","",INDEX(案件入力!$Q$2:$Q$301,$T98-1))</f>
        <v/>
      </c>
      <c r="R98" s="35">
        <f>IF($T98="","",INDEX(案件入力!$R$2:$R$301,$T98-1))</f>
        <v/>
      </c>
      <c r="S98" s="35">
        <f>IF($T98="","",INDEX(案件入力!$S$2:$S$301,$T98-1))</f>
        <v/>
      </c>
      <c r="T98">
        <f t="array" ref="T98">IFERROR(SMALL(IF((案件入力!$A$2:$A$301&lt;&gt;"")*(案件入力!$R$2:$R$301&lt;&gt;"完了"),ROW(案件入力!$A$2:$A$301)),ROW()-1),"")</f>
        <v/>
      </c>
    </row>
    <row r="99">
      <c r="A99" s="35">
        <f>IF($T99="","",INDEX(案件入力!$A$2:$A$301,$T99-1))</f>
        <v/>
      </c>
      <c r="B99" s="36">
        <f>IF($T99="","",INDEX(案件入力!$B$2:$B$301,$T99-1))</f>
        <v/>
      </c>
      <c r="C99" s="35">
        <f>IF($T99="","",INDEX(案件入力!$C$2:$C$301,$T99-1))</f>
        <v/>
      </c>
      <c r="D99" s="37">
        <f>IF($T99="","",INDEX(案件入力!$D$2:$D$301,$T99-1))</f>
        <v/>
      </c>
      <c r="E99" s="35">
        <f>IF($T99="","",INDEX(案件入力!$E$2:$E$301,$T99-1))</f>
        <v/>
      </c>
      <c r="F99" s="35">
        <f>IF($T99="","",INDEX(案件入力!$F$2:$F$301,$T99-1))</f>
        <v/>
      </c>
      <c r="G99" s="35">
        <f>IF($T99="","",INDEX(案件入力!$G$2:$G$301,$T99-1))</f>
        <v/>
      </c>
      <c r="H99" s="49">
        <f>IF($T99="","",INDEX(案件入力!$H$2:$H$301,$T99-1))</f>
        <v/>
      </c>
      <c r="I99" s="49">
        <f>IF($T99="","",INDEX(案件入力!$I$2:$I$301,$T99-1))</f>
        <v/>
      </c>
      <c r="J99" s="39">
        <f>IF($T99="","",INDEX(案件入力!$J$2:$J$301,$T99-1))</f>
        <v/>
      </c>
      <c r="K99" s="36">
        <f>IF($T99="","",INDEX(案件入力!$K$2:$K$301,$T99-1))</f>
        <v/>
      </c>
      <c r="L99" s="49">
        <f>IF($T99="","",INDEX(案件入力!$L$2:$L$301,$T99-1))</f>
        <v/>
      </c>
      <c r="M99" s="49">
        <f>IF($T99="","",INDEX(案件入力!$M$2:$M$301,$T99-1))</f>
        <v/>
      </c>
      <c r="N99" s="39">
        <f>IF($T99="","",INDEX(案件入力!$N$2:$N$301,$T99-1))</f>
        <v/>
      </c>
      <c r="O99" s="36">
        <f>IF($T99="","",INDEX(案件入力!$O$2:$O$301,$T99-1))</f>
        <v/>
      </c>
      <c r="P99" s="37">
        <f>IF($T99="","",INDEX(案件入力!$P$2:$P$301,$T99-1))</f>
        <v/>
      </c>
      <c r="Q99" s="35">
        <f>IF($T99="","",INDEX(案件入力!$Q$2:$Q$301,$T99-1))</f>
        <v/>
      </c>
      <c r="R99" s="35">
        <f>IF($T99="","",INDEX(案件入力!$R$2:$R$301,$T99-1))</f>
        <v/>
      </c>
      <c r="S99" s="35">
        <f>IF($T99="","",INDEX(案件入力!$S$2:$S$301,$T99-1))</f>
        <v/>
      </c>
      <c r="T99">
        <f t="array" ref="T99">IFERROR(SMALL(IF((案件入力!$A$2:$A$301&lt;&gt;"")*(案件入力!$R$2:$R$301&lt;&gt;"完了"),ROW(案件入力!$A$2:$A$301)),ROW()-1),"")</f>
        <v/>
      </c>
    </row>
    <row r="100">
      <c r="A100" s="35">
        <f>IF($T100="","",INDEX(案件入力!$A$2:$A$301,$T100-1))</f>
        <v/>
      </c>
      <c r="B100" s="36">
        <f>IF($T100="","",INDEX(案件入力!$B$2:$B$301,$T100-1))</f>
        <v/>
      </c>
      <c r="C100" s="35">
        <f>IF($T100="","",INDEX(案件入力!$C$2:$C$301,$T100-1))</f>
        <v/>
      </c>
      <c r="D100" s="37">
        <f>IF($T100="","",INDEX(案件入力!$D$2:$D$301,$T100-1))</f>
        <v/>
      </c>
      <c r="E100" s="35">
        <f>IF($T100="","",INDEX(案件入力!$E$2:$E$301,$T100-1))</f>
        <v/>
      </c>
      <c r="F100" s="35">
        <f>IF($T100="","",INDEX(案件入力!$F$2:$F$301,$T100-1))</f>
        <v/>
      </c>
      <c r="G100" s="35">
        <f>IF($T100="","",INDEX(案件入力!$G$2:$G$301,$T100-1))</f>
        <v/>
      </c>
      <c r="H100" s="49">
        <f>IF($T100="","",INDEX(案件入力!$H$2:$H$301,$T100-1))</f>
        <v/>
      </c>
      <c r="I100" s="49">
        <f>IF($T100="","",INDEX(案件入力!$I$2:$I$301,$T100-1))</f>
        <v/>
      </c>
      <c r="J100" s="39">
        <f>IF($T100="","",INDEX(案件入力!$J$2:$J$301,$T100-1))</f>
        <v/>
      </c>
      <c r="K100" s="36">
        <f>IF($T100="","",INDEX(案件入力!$K$2:$K$301,$T100-1))</f>
        <v/>
      </c>
      <c r="L100" s="49">
        <f>IF($T100="","",INDEX(案件入力!$L$2:$L$301,$T100-1))</f>
        <v/>
      </c>
      <c r="M100" s="49">
        <f>IF($T100="","",INDEX(案件入力!$M$2:$M$301,$T100-1))</f>
        <v/>
      </c>
      <c r="N100" s="39">
        <f>IF($T100="","",INDEX(案件入力!$N$2:$N$301,$T100-1))</f>
        <v/>
      </c>
      <c r="O100" s="36">
        <f>IF($T100="","",INDEX(案件入力!$O$2:$O$301,$T100-1))</f>
        <v/>
      </c>
      <c r="P100" s="37">
        <f>IF($T100="","",INDEX(案件入力!$P$2:$P$301,$T100-1))</f>
        <v/>
      </c>
      <c r="Q100" s="35">
        <f>IF($T100="","",INDEX(案件入力!$Q$2:$Q$301,$T100-1))</f>
        <v/>
      </c>
      <c r="R100" s="35">
        <f>IF($T100="","",INDEX(案件入力!$R$2:$R$301,$T100-1))</f>
        <v/>
      </c>
      <c r="S100" s="35">
        <f>IF($T100="","",INDEX(案件入力!$S$2:$S$301,$T100-1))</f>
        <v/>
      </c>
      <c r="T100">
        <f t="array" ref="T100">IFERROR(SMALL(IF((案件入力!$A$2:$A$301&lt;&gt;"")*(案件入力!$R$2:$R$301&lt;&gt;"完了"),ROW(案件入力!$A$2:$A$301)),ROW()-1),"")</f>
        <v/>
      </c>
    </row>
    <row r="101">
      <c r="A101" s="35">
        <f>IF($T101="","",INDEX(案件入力!$A$2:$A$301,$T101-1))</f>
        <v/>
      </c>
      <c r="B101" s="36">
        <f>IF($T101="","",INDEX(案件入力!$B$2:$B$301,$T101-1))</f>
        <v/>
      </c>
      <c r="C101" s="35">
        <f>IF($T101="","",INDEX(案件入力!$C$2:$C$301,$T101-1))</f>
        <v/>
      </c>
      <c r="D101" s="37">
        <f>IF($T101="","",INDEX(案件入力!$D$2:$D$301,$T101-1))</f>
        <v/>
      </c>
      <c r="E101" s="35">
        <f>IF($T101="","",INDEX(案件入力!$E$2:$E$301,$T101-1))</f>
        <v/>
      </c>
      <c r="F101" s="35">
        <f>IF($T101="","",INDEX(案件入力!$F$2:$F$301,$T101-1))</f>
        <v/>
      </c>
      <c r="G101" s="35">
        <f>IF($T101="","",INDEX(案件入力!$G$2:$G$301,$T101-1))</f>
        <v/>
      </c>
      <c r="H101" s="49">
        <f>IF($T101="","",INDEX(案件入力!$H$2:$H$301,$T101-1))</f>
        <v/>
      </c>
      <c r="I101" s="49">
        <f>IF($T101="","",INDEX(案件入力!$I$2:$I$301,$T101-1))</f>
        <v/>
      </c>
      <c r="J101" s="39">
        <f>IF($T101="","",INDEX(案件入力!$J$2:$J$301,$T101-1))</f>
        <v/>
      </c>
      <c r="K101" s="36">
        <f>IF($T101="","",INDEX(案件入力!$K$2:$K$301,$T101-1))</f>
        <v/>
      </c>
      <c r="L101" s="49">
        <f>IF($T101="","",INDEX(案件入力!$L$2:$L$301,$T101-1))</f>
        <v/>
      </c>
      <c r="M101" s="49">
        <f>IF($T101="","",INDEX(案件入力!$M$2:$M$301,$T101-1))</f>
        <v/>
      </c>
      <c r="N101" s="39">
        <f>IF($T101="","",INDEX(案件入力!$N$2:$N$301,$T101-1))</f>
        <v/>
      </c>
      <c r="O101" s="36">
        <f>IF($T101="","",INDEX(案件入力!$O$2:$O$301,$T101-1))</f>
        <v/>
      </c>
      <c r="P101" s="37">
        <f>IF($T101="","",INDEX(案件入力!$P$2:$P$301,$T101-1))</f>
        <v/>
      </c>
      <c r="Q101" s="35">
        <f>IF($T101="","",INDEX(案件入力!$Q$2:$Q$301,$T101-1))</f>
        <v/>
      </c>
      <c r="R101" s="35">
        <f>IF($T101="","",INDEX(案件入力!$R$2:$R$301,$T101-1))</f>
        <v/>
      </c>
      <c r="S101" s="35">
        <f>IF($T101="","",INDEX(案件入力!$S$2:$S$301,$T101-1))</f>
        <v/>
      </c>
      <c r="T101">
        <f t="array" ref="T101">IFERROR(SMALL(IF((案件入力!$A$2:$A$301&lt;&gt;"")*(案件入力!$R$2:$R$301&lt;&gt;"完了"),ROW(案件入力!$A$2:$A$301)),ROW()-1),"")</f>
        <v/>
      </c>
    </row>
    <row r="102">
      <c r="A102" s="35">
        <f>IF($T102="","",INDEX(案件入力!$A$2:$A$301,$T102-1))</f>
        <v/>
      </c>
      <c r="B102" s="36">
        <f>IF($T102="","",INDEX(案件入力!$B$2:$B$301,$T102-1))</f>
        <v/>
      </c>
      <c r="C102" s="35">
        <f>IF($T102="","",INDEX(案件入力!$C$2:$C$301,$T102-1))</f>
        <v/>
      </c>
      <c r="D102" s="37">
        <f>IF($T102="","",INDEX(案件入力!$D$2:$D$301,$T102-1))</f>
        <v/>
      </c>
      <c r="E102" s="35">
        <f>IF($T102="","",INDEX(案件入力!$E$2:$E$301,$T102-1))</f>
        <v/>
      </c>
      <c r="F102" s="35">
        <f>IF($T102="","",INDEX(案件入力!$F$2:$F$301,$T102-1))</f>
        <v/>
      </c>
      <c r="G102" s="35">
        <f>IF($T102="","",INDEX(案件入力!$G$2:$G$301,$T102-1))</f>
        <v/>
      </c>
      <c r="H102" s="49">
        <f>IF($T102="","",INDEX(案件入力!$H$2:$H$301,$T102-1))</f>
        <v/>
      </c>
      <c r="I102" s="49">
        <f>IF($T102="","",INDEX(案件入力!$I$2:$I$301,$T102-1))</f>
        <v/>
      </c>
      <c r="J102" s="39">
        <f>IF($T102="","",INDEX(案件入力!$J$2:$J$301,$T102-1))</f>
        <v/>
      </c>
      <c r="K102" s="36">
        <f>IF($T102="","",INDEX(案件入力!$K$2:$K$301,$T102-1))</f>
        <v/>
      </c>
      <c r="L102" s="49">
        <f>IF($T102="","",INDEX(案件入力!$L$2:$L$301,$T102-1))</f>
        <v/>
      </c>
      <c r="M102" s="49">
        <f>IF($T102="","",INDEX(案件入力!$M$2:$M$301,$T102-1))</f>
        <v/>
      </c>
      <c r="N102" s="39">
        <f>IF($T102="","",INDEX(案件入力!$N$2:$N$301,$T102-1))</f>
        <v/>
      </c>
      <c r="O102" s="36">
        <f>IF($T102="","",INDEX(案件入力!$O$2:$O$301,$T102-1))</f>
        <v/>
      </c>
      <c r="P102" s="37">
        <f>IF($T102="","",INDEX(案件入力!$P$2:$P$301,$T102-1))</f>
        <v/>
      </c>
      <c r="Q102" s="35">
        <f>IF($T102="","",INDEX(案件入力!$Q$2:$Q$301,$T102-1))</f>
        <v/>
      </c>
      <c r="R102" s="35">
        <f>IF($T102="","",INDEX(案件入力!$R$2:$R$301,$T102-1))</f>
        <v/>
      </c>
      <c r="S102" s="35">
        <f>IF($T102="","",INDEX(案件入力!$S$2:$S$301,$T102-1))</f>
        <v/>
      </c>
      <c r="T102">
        <f t="array" ref="T102">IFERROR(SMALL(IF((案件入力!$A$2:$A$301&lt;&gt;"")*(案件入力!$R$2:$R$301&lt;&gt;"完了"),ROW(案件入力!$A$2:$A$301)),ROW()-1),"")</f>
        <v/>
      </c>
    </row>
    <row r="103">
      <c r="A103" s="35">
        <f>IF($T103="","",INDEX(案件入力!$A$2:$A$301,$T103-1))</f>
        <v/>
      </c>
      <c r="B103" s="36">
        <f>IF($T103="","",INDEX(案件入力!$B$2:$B$301,$T103-1))</f>
        <v/>
      </c>
      <c r="C103" s="35">
        <f>IF($T103="","",INDEX(案件入力!$C$2:$C$301,$T103-1))</f>
        <v/>
      </c>
      <c r="D103" s="37">
        <f>IF($T103="","",INDEX(案件入力!$D$2:$D$301,$T103-1))</f>
        <v/>
      </c>
      <c r="E103" s="35">
        <f>IF($T103="","",INDEX(案件入力!$E$2:$E$301,$T103-1))</f>
        <v/>
      </c>
      <c r="F103" s="35">
        <f>IF($T103="","",INDEX(案件入力!$F$2:$F$301,$T103-1))</f>
        <v/>
      </c>
      <c r="G103" s="35">
        <f>IF($T103="","",INDEX(案件入力!$G$2:$G$301,$T103-1))</f>
        <v/>
      </c>
      <c r="H103" s="49">
        <f>IF($T103="","",INDEX(案件入力!$H$2:$H$301,$T103-1))</f>
        <v/>
      </c>
      <c r="I103" s="49">
        <f>IF($T103="","",INDEX(案件入力!$I$2:$I$301,$T103-1))</f>
        <v/>
      </c>
      <c r="J103" s="39">
        <f>IF($T103="","",INDEX(案件入力!$J$2:$J$301,$T103-1))</f>
        <v/>
      </c>
      <c r="K103" s="36">
        <f>IF($T103="","",INDEX(案件入力!$K$2:$K$301,$T103-1))</f>
        <v/>
      </c>
      <c r="L103" s="49">
        <f>IF($T103="","",INDEX(案件入力!$L$2:$L$301,$T103-1))</f>
        <v/>
      </c>
      <c r="M103" s="49">
        <f>IF($T103="","",INDEX(案件入力!$M$2:$M$301,$T103-1))</f>
        <v/>
      </c>
      <c r="N103" s="39">
        <f>IF($T103="","",INDEX(案件入力!$N$2:$N$301,$T103-1))</f>
        <v/>
      </c>
      <c r="O103" s="36">
        <f>IF($T103="","",INDEX(案件入力!$O$2:$O$301,$T103-1))</f>
        <v/>
      </c>
      <c r="P103" s="37">
        <f>IF($T103="","",INDEX(案件入力!$P$2:$P$301,$T103-1))</f>
        <v/>
      </c>
      <c r="Q103" s="35">
        <f>IF($T103="","",INDEX(案件入力!$Q$2:$Q$301,$T103-1))</f>
        <v/>
      </c>
      <c r="R103" s="35">
        <f>IF($T103="","",INDEX(案件入力!$R$2:$R$301,$T103-1))</f>
        <v/>
      </c>
      <c r="S103" s="35">
        <f>IF($T103="","",INDEX(案件入力!$S$2:$S$301,$T103-1))</f>
        <v/>
      </c>
      <c r="T103">
        <f t="array" ref="T103">IFERROR(SMALL(IF((案件入力!$A$2:$A$301&lt;&gt;"")*(案件入力!$R$2:$R$301&lt;&gt;"完了"),ROW(案件入力!$A$2:$A$301)),ROW()-1),"")</f>
        <v/>
      </c>
    </row>
    <row r="104">
      <c r="A104" s="35">
        <f>IF($T104="","",INDEX(案件入力!$A$2:$A$301,$T104-1))</f>
        <v/>
      </c>
      <c r="B104" s="36">
        <f>IF($T104="","",INDEX(案件入力!$B$2:$B$301,$T104-1))</f>
        <v/>
      </c>
      <c r="C104" s="35">
        <f>IF($T104="","",INDEX(案件入力!$C$2:$C$301,$T104-1))</f>
        <v/>
      </c>
      <c r="D104" s="37">
        <f>IF($T104="","",INDEX(案件入力!$D$2:$D$301,$T104-1))</f>
        <v/>
      </c>
      <c r="E104" s="35">
        <f>IF($T104="","",INDEX(案件入力!$E$2:$E$301,$T104-1))</f>
        <v/>
      </c>
      <c r="F104" s="35">
        <f>IF($T104="","",INDEX(案件入力!$F$2:$F$301,$T104-1))</f>
        <v/>
      </c>
      <c r="G104" s="35">
        <f>IF($T104="","",INDEX(案件入力!$G$2:$G$301,$T104-1))</f>
        <v/>
      </c>
      <c r="H104" s="49">
        <f>IF($T104="","",INDEX(案件入力!$H$2:$H$301,$T104-1))</f>
        <v/>
      </c>
      <c r="I104" s="49">
        <f>IF($T104="","",INDEX(案件入力!$I$2:$I$301,$T104-1))</f>
        <v/>
      </c>
      <c r="J104" s="39">
        <f>IF($T104="","",INDEX(案件入力!$J$2:$J$301,$T104-1))</f>
        <v/>
      </c>
      <c r="K104" s="36">
        <f>IF($T104="","",INDEX(案件入力!$K$2:$K$301,$T104-1))</f>
        <v/>
      </c>
      <c r="L104" s="49">
        <f>IF($T104="","",INDEX(案件入力!$L$2:$L$301,$T104-1))</f>
        <v/>
      </c>
      <c r="M104" s="49">
        <f>IF($T104="","",INDEX(案件入力!$M$2:$M$301,$T104-1))</f>
        <v/>
      </c>
      <c r="N104" s="39">
        <f>IF($T104="","",INDEX(案件入力!$N$2:$N$301,$T104-1))</f>
        <v/>
      </c>
      <c r="O104" s="36">
        <f>IF($T104="","",INDEX(案件入力!$O$2:$O$301,$T104-1))</f>
        <v/>
      </c>
      <c r="P104" s="37">
        <f>IF($T104="","",INDEX(案件入力!$P$2:$P$301,$T104-1))</f>
        <v/>
      </c>
      <c r="Q104" s="35">
        <f>IF($T104="","",INDEX(案件入力!$Q$2:$Q$301,$T104-1))</f>
        <v/>
      </c>
      <c r="R104" s="35">
        <f>IF($T104="","",INDEX(案件入力!$R$2:$R$301,$T104-1))</f>
        <v/>
      </c>
      <c r="S104" s="35">
        <f>IF($T104="","",INDEX(案件入力!$S$2:$S$301,$T104-1))</f>
        <v/>
      </c>
      <c r="T104">
        <f t="array" ref="T104">IFERROR(SMALL(IF((案件入力!$A$2:$A$301&lt;&gt;"")*(案件入力!$R$2:$R$301&lt;&gt;"完了"),ROW(案件入力!$A$2:$A$301)),ROW()-1),"")</f>
        <v/>
      </c>
    </row>
    <row r="105">
      <c r="A105" s="35">
        <f>IF($T105="","",INDEX(案件入力!$A$2:$A$301,$T105-1))</f>
        <v/>
      </c>
      <c r="B105" s="36">
        <f>IF($T105="","",INDEX(案件入力!$B$2:$B$301,$T105-1))</f>
        <v/>
      </c>
      <c r="C105" s="35">
        <f>IF($T105="","",INDEX(案件入力!$C$2:$C$301,$T105-1))</f>
        <v/>
      </c>
      <c r="D105" s="37">
        <f>IF($T105="","",INDEX(案件入力!$D$2:$D$301,$T105-1))</f>
        <v/>
      </c>
      <c r="E105" s="35">
        <f>IF($T105="","",INDEX(案件入力!$E$2:$E$301,$T105-1))</f>
        <v/>
      </c>
      <c r="F105" s="35">
        <f>IF($T105="","",INDEX(案件入力!$F$2:$F$301,$T105-1))</f>
        <v/>
      </c>
      <c r="G105" s="35">
        <f>IF($T105="","",INDEX(案件入力!$G$2:$G$301,$T105-1))</f>
        <v/>
      </c>
      <c r="H105" s="49">
        <f>IF($T105="","",INDEX(案件入力!$H$2:$H$301,$T105-1))</f>
        <v/>
      </c>
      <c r="I105" s="49">
        <f>IF($T105="","",INDEX(案件入力!$I$2:$I$301,$T105-1))</f>
        <v/>
      </c>
      <c r="J105" s="39">
        <f>IF($T105="","",INDEX(案件入力!$J$2:$J$301,$T105-1))</f>
        <v/>
      </c>
      <c r="K105" s="36">
        <f>IF($T105="","",INDEX(案件入力!$K$2:$K$301,$T105-1))</f>
        <v/>
      </c>
      <c r="L105" s="49">
        <f>IF($T105="","",INDEX(案件入力!$L$2:$L$301,$T105-1))</f>
        <v/>
      </c>
      <c r="M105" s="49">
        <f>IF($T105="","",INDEX(案件入力!$M$2:$M$301,$T105-1))</f>
        <v/>
      </c>
      <c r="N105" s="39">
        <f>IF($T105="","",INDEX(案件入力!$N$2:$N$301,$T105-1))</f>
        <v/>
      </c>
      <c r="O105" s="36">
        <f>IF($T105="","",INDEX(案件入力!$O$2:$O$301,$T105-1))</f>
        <v/>
      </c>
      <c r="P105" s="37">
        <f>IF($T105="","",INDEX(案件入力!$P$2:$P$301,$T105-1))</f>
        <v/>
      </c>
      <c r="Q105" s="35">
        <f>IF($T105="","",INDEX(案件入力!$Q$2:$Q$301,$T105-1))</f>
        <v/>
      </c>
      <c r="R105" s="35">
        <f>IF($T105="","",INDEX(案件入力!$R$2:$R$301,$T105-1))</f>
        <v/>
      </c>
      <c r="S105" s="35">
        <f>IF($T105="","",INDEX(案件入力!$S$2:$S$301,$T105-1))</f>
        <v/>
      </c>
      <c r="T105">
        <f t="array" ref="T105">IFERROR(SMALL(IF((案件入力!$A$2:$A$301&lt;&gt;"")*(案件入力!$R$2:$R$301&lt;&gt;"完了"),ROW(案件入力!$A$2:$A$301)),ROW()-1),"")</f>
        <v/>
      </c>
    </row>
    <row r="106">
      <c r="A106" s="35">
        <f>IF($T106="","",INDEX(案件入力!$A$2:$A$301,$T106-1))</f>
        <v/>
      </c>
      <c r="B106" s="36">
        <f>IF($T106="","",INDEX(案件入力!$B$2:$B$301,$T106-1))</f>
        <v/>
      </c>
      <c r="C106" s="35">
        <f>IF($T106="","",INDEX(案件入力!$C$2:$C$301,$T106-1))</f>
        <v/>
      </c>
      <c r="D106" s="37">
        <f>IF($T106="","",INDEX(案件入力!$D$2:$D$301,$T106-1))</f>
        <v/>
      </c>
      <c r="E106" s="35">
        <f>IF($T106="","",INDEX(案件入力!$E$2:$E$301,$T106-1))</f>
        <v/>
      </c>
      <c r="F106" s="35">
        <f>IF($T106="","",INDEX(案件入力!$F$2:$F$301,$T106-1))</f>
        <v/>
      </c>
      <c r="G106" s="35">
        <f>IF($T106="","",INDEX(案件入力!$G$2:$G$301,$T106-1))</f>
        <v/>
      </c>
      <c r="H106" s="49">
        <f>IF($T106="","",INDEX(案件入力!$H$2:$H$301,$T106-1))</f>
        <v/>
      </c>
      <c r="I106" s="49">
        <f>IF($T106="","",INDEX(案件入力!$I$2:$I$301,$T106-1))</f>
        <v/>
      </c>
      <c r="J106" s="39">
        <f>IF($T106="","",INDEX(案件入力!$J$2:$J$301,$T106-1))</f>
        <v/>
      </c>
      <c r="K106" s="36">
        <f>IF($T106="","",INDEX(案件入力!$K$2:$K$301,$T106-1))</f>
        <v/>
      </c>
      <c r="L106" s="49">
        <f>IF($T106="","",INDEX(案件入力!$L$2:$L$301,$T106-1))</f>
        <v/>
      </c>
      <c r="M106" s="49">
        <f>IF($T106="","",INDEX(案件入力!$M$2:$M$301,$T106-1))</f>
        <v/>
      </c>
      <c r="N106" s="39">
        <f>IF($T106="","",INDEX(案件入力!$N$2:$N$301,$T106-1))</f>
        <v/>
      </c>
      <c r="O106" s="36">
        <f>IF($T106="","",INDEX(案件入力!$O$2:$O$301,$T106-1))</f>
        <v/>
      </c>
      <c r="P106" s="37">
        <f>IF($T106="","",INDEX(案件入力!$P$2:$P$301,$T106-1))</f>
        <v/>
      </c>
      <c r="Q106" s="35">
        <f>IF($T106="","",INDEX(案件入力!$Q$2:$Q$301,$T106-1))</f>
        <v/>
      </c>
      <c r="R106" s="35">
        <f>IF($T106="","",INDEX(案件入力!$R$2:$R$301,$T106-1))</f>
        <v/>
      </c>
      <c r="S106" s="35">
        <f>IF($T106="","",INDEX(案件入力!$S$2:$S$301,$T106-1))</f>
        <v/>
      </c>
      <c r="T106">
        <f t="array" ref="T106">IFERROR(SMALL(IF((案件入力!$A$2:$A$301&lt;&gt;"")*(案件入力!$R$2:$R$301&lt;&gt;"完了"),ROW(案件入力!$A$2:$A$301)),ROW()-1),"")</f>
        <v/>
      </c>
    </row>
    <row r="107">
      <c r="A107" s="35">
        <f>IF($T107="","",INDEX(案件入力!$A$2:$A$301,$T107-1))</f>
        <v/>
      </c>
      <c r="B107" s="36">
        <f>IF($T107="","",INDEX(案件入力!$B$2:$B$301,$T107-1))</f>
        <v/>
      </c>
      <c r="C107" s="35">
        <f>IF($T107="","",INDEX(案件入力!$C$2:$C$301,$T107-1))</f>
        <v/>
      </c>
      <c r="D107" s="37">
        <f>IF($T107="","",INDEX(案件入力!$D$2:$D$301,$T107-1))</f>
        <v/>
      </c>
      <c r="E107" s="35">
        <f>IF($T107="","",INDEX(案件入力!$E$2:$E$301,$T107-1))</f>
        <v/>
      </c>
      <c r="F107" s="35">
        <f>IF($T107="","",INDEX(案件入力!$F$2:$F$301,$T107-1))</f>
        <v/>
      </c>
      <c r="G107" s="35">
        <f>IF($T107="","",INDEX(案件入力!$G$2:$G$301,$T107-1))</f>
        <v/>
      </c>
      <c r="H107" s="49">
        <f>IF($T107="","",INDEX(案件入力!$H$2:$H$301,$T107-1))</f>
        <v/>
      </c>
      <c r="I107" s="49">
        <f>IF($T107="","",INDEX(案件入力!$I$2:$I$301,$T107-1))</f>
        <v/>
      </c>
      <c r="J107" s="39">
        <f>IF($T107="","",INDEX(案件入力!$J$2:$J$301,$T107-1))</f>
        <v/>
      </c>
      <c r="K107" s="36">
        <f>IF($T107="","",INDEX(案件入力!$K$2:$K$301,$T107-1))</f>
        <v/>
      </c>
      <c r="L107" s="49">
        <f>IF($T107="","",INDEX(案件入力!$L$2:$L$301,$T107-1))</f>
        <v/>
      </c>
      <c r="M107" s="49">
        <f>IF($T107="","",INDEX(案件入力!$M$2:$M$301,$T107-1))</f>
        <v/>
      </c>
      <c r="N107" s="39">
        <f>IF($T107="","",INDEX(案件入力!$N$2:$N$301,$T107-1))</f>
        <v/>
      </c>
      <c r="O107" s="36">
        <f>IF($T107="","",INDEX(案件入力!$O$2:$O$301,$T107-1))</f>
        <v/>
      </c>
      <c r="P107" s="37">
        <f>IF($T107="","",INDEX(案件入力!$P$2:$P$301,$T107-1))</f>
        <v/>
      </c>
      <c r="Q107" s="35">
        <f>IF($T107="","",INDEX(案件入力!$Q$2:$Q$301,$T107-1))</f>
        <v/>
      </c>
      <c r="R107" s="35">
        <f>IF($T107="","",INDEX(案件入力!$R$2:$R$301,$T107-1))</f>
        <v/>
      </c>
      <c r="S107" s="35">
        <f>IF($T107="","",INDEX(案件入力!$S$2:$S$301,$T107-1))</f>
        <v/>
      </c>
      <c r="T107">
        <f t="array" ref="T107">IFERROR(SMALL(IF((案件入力!$A$2:$A$301&lt;&gt;"")*(案件入力!$R$2:$R$301&lt;&gt;"完了"),ROW(案件入力!$A$2:$A$301)),ROW()-1),"")</f>
        <v/>
      </c>
    </row>
    <row r="108">
      <c r="A108" s="35">
        <f>IF($T108="","",INDEX(案件入力!$A$2:$A$301,$T108-1))</f>
        <v/>
      </c>
      <c r="B108" s="36">
        <f>IF($T108="","",INDEX(案件入力!$B$2:$B$301,$T108-1))</f>
        <v/>
      </c>
      <c r="C108" s="35">
        <f>IF($T108="","",INDEX(案件入力!$C$2:$C$301,$T108-1))</f>
        <v/>
      </c>
      <c r="D108" s="37">
        <f>IF($T108="","",INDEX(案件入力!$D$2:$D$301,$T108-1))</f>
        <v/>
      </c>
      <c r="E108" s="35">
        <f>IF($T108="","",INDEX(案件入力!$E$2:$E$301,$T108-1))</f>
        <v/>
      </c>
      <c r="F108" s="35">
        <f>IF($T108="","",INDEX(案件入力!$F$2:$F$301,$T108-1))</f>
        <v/>
      </c>
      <c r="G108" s="35">
        <f>IF($T108="","",INDEX(案件入力!$G$2:$G$301,$T108-1))</f>
        <v/>
      </c>
      <c r="H108" s="49">
        <f>IF($T108="","",INDEX(案件入力!$H$2:$H$301,$T108-1))</f>
        <v/>
      </c>
      <c r="I108" s="49">
        <f>IF($T108="","",INDEX(案件入力!$I$2:$I$301,$T108-1))</f>
        <v/>
      </c>
      <c r="J108" s="39">
        <f>IF($T108="","",INDEX(案件入力!$J$2:$J$301,$T108-1))</f>
        <v/>
      </c>
      <c r="K108" s="36">
        <f>IF($T108="","",INDEX(案件入力!$K$2:$K$301,$T108-1))</f>
        <v/>
      </c>
      <c r="L108" s="49">
        <f>IF($T108="","",INDEX(案件入力!$L$2:$L$301,$T108-1))</f>
        <v/>
      </c>
      <c r="M108" s="49">
        <f>IF($T108="","",INDEX(案件入力!$M$2:$M$301,$T108-1))</f>
        <v/>
      </c>
      <c r="N108" s="39">
        <f>IF($T108="","",INDEX(案件入力!$N$2:$N$301,$T108-1))</f>
        <v/>
      </c>
      <c r="O108" s="36">
        <f>IF($T108="","",INDEX(案件入力!$O$2:$O$301,$T108-1))</f>
        <v/>
      </c>
      <c r="P108" s="37">
        <f>IF($T108="","",INDEX(案件入力!$P$2:$P$301,$T108-1))</f>
        <v/>
      </c>
      <c r="Q108" s="35">
        <f>IF($T108="","",INDEX(案件入力!$Q$2:$Q$301,$T108-1))</f>
        <v/>
      </c>
      <c r="R108" s="35">
        <f>IF($T108="","",INDEX(案件入力!$R$2:$R$301,$T108-1))</f>
        <v/>
      </c>
      <c r="S108" s="35">
        <f>IF($T108="","",INDEX(案件入力!$S$2:$S$301,$T108-1))</f>
        <v/>
      </c>
      <c r="T108">
        <f t="array" ref="T108">IFERROR(SMALL(IF((案件入力!$A$2:$A$301&lt;&gt;"")*(案件入力!$R$2:$R$301&lt;&gt;"完了"),ROW(案件入力!$A$2:$A$301)),ROW()-1),"")</f>
        <v/>
      </c>
    </row>
    <row r="109">
      <c r="A109" s="35">
        <f>IF($T109="","",INDEX(案件入力!$A$2:$A$301,$T109-1))</f>
        <v/>
      </c>
      <c r="B109" s="36">
        <f>IF($T109="","",INDEX(案件入力!$B$2:$B$301,$T109-1))</f>
        <v/>
      </c>
      <c r="C109" s="35">
        <f>IF($T109="","",INDEX(案件入力!$C$2:$C$301,$T109-1))</f>
        <v/>
      </c>
      <c r="D109" s="37">
        <f>IF($T109="","",INDEX(案件入力!$D$2:$D$301,$T109-1))</f>
        <v/>
      </c>
      <c r="E109" s="35">
        <f>IF($T109="","",INDEX(案件入力!$E$2:$E$301,$T109-1))</f>
        <v/>
      </c>
      <c r="F109" s="35">
        <f>IF($T109="","",INDEX(案件入力!$F$2:$F$301,$T109-1))</f>
        <v/>
      </c>
      <c r="G109" s="35">
        <f>IF($T109="","",INDEX(案件入力!$G$2:$G$301,$T109-1))</f>
        <v/>
      </c>
      <c r="H109" s="49">
        <f>IF($T109="","",INDEX(案件入力!$H$2:$H$301,$T109-1))</f>
        <v/>
      </c>
      <c r="I109" s="49">
        <f>IF($T109="","",INDEX(案件入力!$I$2:$I$301,$T109-1))</f>
        <v/>
      </c>
      <c r="J109" s="39">
        <f>IF($T109="","",INDEX(案件入力!$J$2:$J$301,$T109-1))</f>
        <v/>
      </c>
      <c r="K109" s="36">
        <f>IF($T109="","",INDEX(案件入力!$K$2:$K$301,$T109-1))</f>
        <v/>
      </c>
      <c r="L109" s="49">
        <f>IF($T109="","",INDEX(案件入力!$L$2:$L$301,$T109-1))</f>
        <v/>
      </c>
      <c r="M109" s="49">
        <f>IF($T109="","",INDEX(案件入力!$M$2:$M$301,$T109-1))</f>
        <v/>
      </c>
      <c r="N109" s="39">
        <f>IF($T109="","",INDEX(案件入力!$N$2:$N$301,$T109-1))</f>
        <v/>
      </c>
      <c r="O109" s="36">
        <f>IF($T109="","",INDEX(案件入力!$O$2:$O$301,$T109-1))</f>
        <v/>
      </c>
      <c r="P109" s="37">
        <f>IF($T109="","",INDEX(案件入力!$P$2:$P$301,$T109-1))</f>
        <v/>
      </c>
      <c r="Q109" s="35">
        <f>IF($T109="","",INDEX(案件入力!$Q$2:$Q$301,$T109-1))</f>
        <v/>
      </c>
      <c r="R109" s="35">
        <f>IF($T109="","",INDEX(案件入力!$R$2:$R$301,$T109-1))</f>
        <v/>
      </c>
      <c r="S109" s="35">
        <f>IF($T109="","",INDEX(案件入力!$S$2:$S$301,$T109-1))</f>
        <v/>
      </c>
      <c r="T109">
        <f t="array" ref="T109">IFERROR(SMALL(IF((案件入力!$A$2:$A$301&lt;&gt;"")*(案件入力!$R$2:$R$301&lt;&gt;"完了"),ROW(案件入力!$A$2:$A$301)),ROW()-1),"")</f>
        <v/>
      </c>
    </row>
    <row r="110">
      <c r="A110" s="35">
        <f>IF($T110="","",INDEX(案件入力!$A$2:$A$301,$T110-1))</f>
        <v/>
      </c>
      <c r="B110" s="36">
        <f>IF($T110="","",INDEX(案件入力!$B$2:$B$301,$T110-1))</f>
        <v/>
      </c>
      <c r="C110" s="35">
        <f>IF($T110="","",INDEX(案件入力!$C$2:$C$301,$T110-1))</f>
        <v/>
      </c>
      <c r="D110" s="37">
        <f>IF($T110="","",INDEX(案件入力!$D$2:$D$301,$T110-1))</f>
        <v/>
      </c>
      <c r="E110" s="35">
        <f>IF($T110="","",INDEX(案件入力!$E$2:$E$301,$T110-1))</f>
        <v/>
      </c>
      <c r="F110" s="35">
        <f>IF($T110="","",INDEX(案件入力!$F$2:$F$301,$T110-1))</f>
        <v/>
      </c>
      <c r="G110" s="35">
        <f>IF($T110="","",INDEX(案件入力!$G$2:$G$301,$T110-1))</f>
        <v/>
      </c>
      <c r="H110" s="49">
        <f>IF($T110="","",INDEX(案件入力!$H$2:$H$301,$T110-1))</f>
        <v/>
      </c>
      <c r="I110" s="49">
        <f>IF($T110="","",INDEX(案件入力!$I$2:$I$301,$T110-1))</f>
        <v/>
      </c>
      <c r="J110" s="39">
        <f>IF($T110="","",INDEX(案件入力!$J$2:$J$301,$T110-1))</f>
        <v/>
      </c>
      <c r="K110" s="36">
        <f>IF($T110="","",INDEX(案件入力!$K$2:$K$301,$T110-1))</f>
        <v/>
      </c>
      <c r="L110" s="49">
        <f>IF($T110="","",INDEX(案件入力!$L$2:$L$301,$T110-1))</f>
        <v/>
      </c>
      <c r="M110" s="49">
        <f>IF($T110="","",INDEX(案件入力!$M$2:$M$301,$T110-1))</f>
        <v/>
      </c>
      <c r="N110" s="39">
        <f>IF($T110="","",INDEX(案件入力!$N$2:$N$301,$T110-1))</f>
        <v/>
      </c>
      <c r="O110" s="36">
        <f>IF($T110="","",INDEX(案件入力!$O$2:$O$301,$T110-1))</f>
        <v/>
      </c>
      <c r="P110" s="37">
        <f>IF($T110="","",INDEX(案件入力!$P$2:$P$301,$T110-1))</f>
        <v/>
      </c>
      <c r="Q110" s="35">
        <f>IF($T110="","",INDEX(案件入力!$Q$2:$Q$301,$T110-1))</f>
        <v/>
      </c>
      <c r="R110" s="35">
        <f>IF($T110="","",INDEX(案件入力!$R$2:$R$301,$T110-1))</f>
        <v/>
      </c>
      <c r="S110" s="35">
        <f>IF($T110="","",INDEX(案件入力!$S$2:$S$301,$T110-1))</f>
        <v/>
      </c>
      <c r="T110">
        <f t="array" ref="T110">IFERROR(SMALL(IF((案件入力!$A$2:$A$301&lt;&gt;"")*(案件入力!$R$2:$R$301&lt;&gt;"完了"),ROW(案件入力!$A$2:$A$301)),ROW()-1),"")</f>
        <v/>
      </c>
    </row>
    <row r="111">
      <c r="A111" s="35">
        <f>IF($T111="","",INDEX(案件入力!$A$2:$A$301,$T111-1))</f>
        <v/>
      </c>
      <c r="B111" s="36">
        <f>IF($T111="","",INDEX(案件入力!$B$2:$B$301,$T111-1))</f>
        <v/>
      </c>
      <c r="C111" s="35">
        <f>IF($T111="","",INDEX(案件入力!$C$2:$C$301,$T111-1))</f>
        <v/>
      </c>
      <c r="D111" s="37">
        <f>IF($T111="","",INDEX(案件入力!$D$2:$D$301,$T111-1))</f>
        <v/>
      </c>
      <c r="E111" s="35">
        <f>IF($T111="","",INDEX(案件入力!$E$2:$E$301,$T111-1))</f>
        <v/>
      </c>
      <c r="F111" s="35">
        <f>IF($T111="","",INDEX(案件入力!$F$2:$F$301,$T111-1))</f>
        <v/>
      </c>
      <c r="G111" s="35">
        <f>IF($T111="","",INDEX(案件入力!$G$2:$G$301,$T111-1))</f>
        <v/>
      </c>
      <c r="H111" s="49">
        <f>IF($T111="","",INDEX(案件入力!$H$2:$H$301,$T111-1))</f>
        <v/>
      </c>
      <c r="I111" s="49">
        <f>IF($T111="","",INDEX(案件入力!$I$2:$I$301,$T111-1))</f>
        <v/>
      </c>
      <c r="J111" s="39">
        <f>IF($T111="","",INDEX(案件入力!$J$2:$J$301,$T111-1))</f>
        <v/>
      </c>
      <c r="K111" s="36">
        <f>IF($T111="","",INDEX(案件入力!$K$2:$K$301,$T111-1))</f>
        <v/>
      </c>
      <c r="L111" s="49">
        <f>IF($T111="","",INDEX(案件入力!$L$2:$L$301,$T111-1))</f>
        <v/>
      </c>
      <c r="M111" s="49">
        <f>IF($T111="","",INDEX(案件入力!$M$2:$M$301,$T111-1))</f>
        <v/>
      </c>
      <c r="N111" s="39">
        <f>IF($T111="","",INDEX(案件入力!$N$2:$N$301,$T111-1))</f>
        <v/>
      </c>
      <c r="O111" s="36">
        <f>IF($T111="","",INDEX(案件入力!$O$2:$O$301,$T111-1))</f>
        <v/>
      </c>
      <c r="P111" s="37">
        <f>IF($T111="","",INDEX(案件入力!$P$2:$P$301,$T111-1))</f>
        <v/>
      </c>
      <c r="Q111" s="35">
        <f>IF($T111="","",INDEX(案件入力!$Q$2:$Q$301,$T111-1))</f>
        <v/>
      </c>
      <c r="R111" s="35">
        <f>IF($T111="","",INDEX(案件入力!$R$2:$R$301,$T111-1))</f>
        <v/>
      </c>
      <c r="S111" s="35">
        <f>IF($T111="","",INDEX(案件入力!$S$2:$S$301,$T111-1))</f>
        <v/>
      </c>
      <c r="T111">
        <f t="array" ref="T111">IFERROR(SMALL(IF((案件入力!$A$2:$A$301&lt;&gt;"")*(案件入力!$R$2:$R$301&lt;&gt;"完了"),ROW(案件入力!$A$2:$A$301)),ROW()-1),"")</f>
        <v/>
      </c>
    </row>
    <row r="112">
      <c r="A112" s="35">
        <f>IF($T112="","",INDEX(案件入力!$A$2:$A$301,$T112-1))</f>
        <v/>
      </c>
      <c r="B112" s="36">
        <f>IF($T112="","",INDEX(案件入力!$B$2:$B$301,$T112-1))</f>
        <v/>
      </c>
      <c r="C112" s="35">
        <f>IF($T112="","",INDEX(案件入力!$C$2:$C$301,$T112-1))</f>
        <v/>
      </c>
      <c r="D112" s="37">
        <f>IF($T112="","",INDEX(案件入力!$D$2:$D$301,$T112-1))</f>
        <v/>
      </c>
      <c r="E112" s="35">
        <f>IF($T112="","",INDEX(案件入力!$E$2:$E$301,$T112-1))</f>
        <v/>
      </c>
      <c r="F112" s="35">
        <f>IF($T112="","",INDEX(案件入力!$F$2:$F$301,$T112-1))</f>
        <v/>
      </c>
      <c r="G112" s="35">
        <f>IF($T112="","",INDEX(案件入力!$G$2:$G$301,$T112-1))</f>
        <v/>
      </c>
      <c r="H112" s="49">
        <f>IF($T112="","",INDEX(案件入力!$H$2:$H$301,$T112-1))</f>
        <v/>
      </c>
      <c r="I112" s="49">
        <f>IF($T112="","",INDEX(案件入力!$I$2:$I$301,$T112-1))</f>
        <v/>
      </c>
      <c r="J112" s="39">
        <f>IF($T112="","",INDEX(案件入力!$J$2:$J$301,$T112-1))</f>
        <v/>
      </c>
      <c r="K112" s="36">
        <f>IF($T112="","",INDEX(案件入力!$K$2:$K$301,$T112-1))</f>
        <v/>
      </c>
      <c r="L112" s="49">
        <f>IF($T112="","",INDEX(案件入力!$L$2:$L$301,$T112-1))</f>
        <v/>
      </c>
      <c r="M112" s="49">
        <f>IF($T112="","",INDEX(案件入力!$M$2:$M$301,$T112-1))</f>
        <v/>
      </c>
      <c r="N112" s="39">
        <f>IF($T112="","",INDEX(案件入力!$N$2:$N$301,$T112-1))</f>
        <v/>
      </c>
      <c r="O112" s="36">
        <f>IF($T112="","",INDEX(案件入力!$O$2:$O$301,$T112-1))</f>
        <v/>
      </c>
      <c r="P112" s="37">
        <f>IF($T112="","",INDEX(案件入力!$P$2:$P$301,$T112-1))</f>
        <v/>
      </c>
      <c r="Q112" s="35">
        <f>IF($T112="","",INDEX(案件入力!$Q$2:$Q$301,$T112-1))</f>
        <v/>
      </c>
      <c r="R112" s="35">
        <f>IF($T112="","",INDEX(案件入力!$R$2:$R$301,$T112-1))</f>
        <v/>
      </c>
      <c r="S112" s="35">
        <f>IF($T112="","",INDEX(案件入力!$S$2:$S$301,$T112-1))</f>
        <v/>
      </c>
      <c r="T112">
        <f t="array" ref="T112">IFERROR(SMALL(IF((案件入力!$A$2:$A$301&lt;&gt;"")*(案件入力!$R$2:$R$301&lt;&gt;"完了"),ROW(案件入力!$A$2:$A$301)),ROW()-1),"")</f>
        <v/>
      </c>
    </row>
    <row r="113">
      <c r="A113" s="35">
        <f>IF($T113="","",INDEX(案件入力!$A$2:$A$301,$T113-1))</f>
        <v/>
      </c>
      <c r="B113" s="36">
        <f>IF($T113="","",INDEX(案件入力!$B$2:$B$301,$T113-1))</f>
        <v/>
      </c>
      <c r="C113" s="35">
        <f>IF($T113="","",INDEX(案件入力!$C$2:$C$301,$T113-1))</f>
        <v/>
      </c>
      <c r="D113" s="37">
        <f>IF($T113="","",INDEX(案件入力!$D$2:$D$301,$T113-1))</f>
        <v/>
      </c>
      <c r="E113" s="35">
        <f>IF($T113="","",INDEX(案件入力!$E$2:$E$301,$T113-1))</f>
        <v/>
      </c>
      <c r="F113" s="35">
        <f>IF($T113="","",INDEX(案件入力!$F$2:$F$301,$T113-1))</f>
        <v/>
      </c>
      <c r="G113" s="35">
        <f>IF($T113="","",INDEX(案件入力!$G$2:$G$301,$T113-1))</f>
        <v/>
      </c>
      <c r="H113" s="49">
        <f>IF($T113="","",INDEX(案件入力!$H$2:$H$301,$T113-1))</f>
        <v/>
      </c>
      <c r="I113" s="49">
        <f>IF($T113="","",INDEX(案件入力!$I$2:$I$301,$T113-1))</f>
        <v/>
      </c>
      <c r="J113" s="39">
        <f>IF($T113="","",INDEX(案件入力!$J$2:$J$301,$T113-1))</f>
        <v/>
      </c>
      <c r="K113" s="36">
        <f>IF($T113="","",INDEX(案件入力!$K$2:$K$301,$T113-1))</f>
        <v/>
      </c>
      <c r="L113" s="49">
        <f>IF($T113="","",INDEX(案件入力!$L$2:$L$301,$T113-1))</f>
        <v/>
      </c>
      <c r="M113" s="49">
        <f>IF($T113="","",INDEX(案件入力!$M$2:$M$301,$T113-1))</f>
        <v/>
      </c>
      <c r="N113" s="39">
        <f>IF($T113="","",INDEX(案件入力!$N$2:$N$301,$T113-1))</f>
        <v/>
      </c>
      <c r="O113" s="36">
        <f>IF($T113="","",INDEX(案件入力!$O$2:$O$301,$T113-1))</f>
        <v/>
      </c>
      <c r="P113" s="37">
        <f>IF($T113="","",INDEX(案件入力!$P$2:$P$301,$T113-1))</f>
        <v/>
      </c>
      <c r="Q113" s="35">
        <f>IF($T113="","",INDEX(案件入力!$Q$2:$Q$301,$T113-1))</f>
        <v/>
      </c>
      <c r="R113" s="35">
        <f>IF($T113="","",INDEX(案件入力!$R$2:$R$301,$T113-1))</f>
        <v/>
      </c>
      <c r="S113" s="35">
        <f>IF($T113="","",INDEX(案件入力!$S$2:$S$301,$T113-1))</f>
        <v/>
      </c>
      <c r="T113">
        <f t="array" ref="T113">IFERROR(SMALL(IF((案件入力!$A$2:$A$301&lt;&gt;"")*(案件入力!$R$2:$R$301&lt;&gt;"完了"),ROW(案件入力!$A$2:$A$301)),ROW()-1),"")</f>
        <v/>
      </c>
    </row>
    <row r="114">
      <c r="A114" s="35">
        <f>IF($T114="","",INDEX(案件入力!$A$2:$A$301,$T114-1))</f>
        <v/>
      </c>
      <c r="B114" s="36">
        <f>IF($T114="","",INDEX(案件入力!$B$2:$B$301,$T114-1))</f>
        <v/>
      </c>
      <c r="C114" s="35">
        <f>IF($T114="","",INDEX(案件入力!$C$2:$C$301,$T114-1))</f>
        <v/>
      </c>
      <c r="D114" s="37">
        <f>IF($T114="","",INDEX(案件入力!$D$2:$D$301,$T114-1))</f>
        <v/>
      </c>
      <c r="E114" s="35">
        <f>IF($T114="","",INDEX(案件入力!$E$2:$E$301,$T114-1))</f>
        <v/>
      </c>
      <c r="F114" s="35">
        <f>IF($T114="","",INDEX(案件入力!$F$2:$F$301,$T114-1))</f>
        <v/>
      </c>
      <c r="G114" s="35">
        <f>IF($T114="","",INDEX(案件入力!$G$2:$G$301,$T114-1))</f>
        <v/>
      </c>
      <c r="H114" s="49">
        <f>IF($T114="","",INDEX(案件入力!$H$2:$H$301,$T114-1))</f>
        <v/>
      </c>
      <c r="I114" s="49">
        <f>IF($T114="","",INDEX(案件入力!$I$2:$I$301,$T114-1))</f>
        <v/>
      </c>
      <c r="J114" s="39">
        <f>IF($T114="","",INDEX(案件入力!$J$2:$J$301,$T114-1))</f>
        <v/>
      </c>
      <c r="K114" s="36">
        <f>IF($T114="","",INDEX(案件入力!$K$2:$K$301,$T114-1))</f>
        <v/>
      </c>
      <c r="L114" s="49">
        <f>IF($T114="","",INDEX(案件入力!$L$2:$L$301,$T114-1))</f>
        <v/>
      </c>
      <c r="M114" s="49">
        <f>IF($T114="","",INDEX(案件入力!$M$2:$M$301,$T114-1))</f>
        <v/>
      </c>
      <c r="N114" s="39">
        <f>IF($T114="","",INDEX(案件入力!$N$2:$N$301,$T114-1))</f>
        <v/>
      </c>
      <c r="O114" s="36">
        <f>IF($T114="","",INDEX(案件入力!$O$2:$O$301,$T114-1))</f>
        <v/>
      </c>
      <c r="P114" s="37">
        <f>IF($T114="","",INDEX(案件入力!$P$2:$P$301,$T114-1))</f>
        <v/>
      </c>
      <c r="Q114" s="35">
        <f>IF($T114="","",INDEX(案件入力!$Q$2:$Q$301,$T114-1))</f>
        <v/>
      </c>
      <c r="R114" s="35">
        <f>IF($T114="","",INDEX(案件入力!$R$2:$R$301,$T114-1))</f>
        <v/>
      </c>
      <c r="S114" s="35">
        <f>IF($T114="","",INDEX(案件入力!$S$2:$S$301,$T114-1))</f>
        <v/>
      </c>
      <c r="T114">
        <f t="array" ref="T114">IFERROR(SMALL(IF((案件入力!$A$2:$A$301&lt;&gt;"")*(案件入力!$R$2:$R$301&lt;&gt;"完了"),ROW(案件入力!$A$2:$A$301)),ROW()-1),"")</f>
        <v/>
      </c>
    </row>
    <row r="115">
      <c r="A115" s="35">
        <f>IF($T115="","",INDEX(案件入力!$A$2:$A$301,$T115-1))</f>
        <v/>
      </c>
      <c r="B115" s="36">
        <f>IF($T115="","",INDEX(案件入力!$B$2:$B$301,$T115-1))</f>
        <v/>
      </c>
      <c r="C115" s="35">
        <f>IF($T115="","",INDEX(案件入力!$C$2:$C$301,$T115-1))</f>
        <v/>
      </c>
      <c r="D115" s="37">
        <f>IF($T115="","",INDEX(案件入力!$D$2:$D$301,$T115-1))</f>
        <v/>
      </c>
      <c r="E115" s="35">
        <f>IF($T115="","",INDEX(案件入力!$E$2:$E$301,$T115-1))</f>
        <v/>
      </c>
      <c r="F115" s="35">
        <f>IF($T115="","",INDEX(案件入力!$F$2:$F$301,$T115-1))</f>
        <v/>
      </c>
      <c r="G115" s="35">
        <f>IF($T115="","",INDEX(案件入力!$G$2:$G$301,$T115-1))</f>
        <v/>
      </c>
      <c r="H115" s="49">
        <f>IF($T115="","",INDEX(案件入力!$H$2:$H$301,$T115-1))</f>
        <v/>
      </c>
      <c r="I115" s="49">
        <f>IF($T115="","",INDEX(案件入力!$I$2:$I$301,$T115-1))</f>
        <v/>
      </c>
      <c r="J115" s="39">
        <f>IF($T115="","",INDEX(案件入力!$J$2:$J$301,$T115-1))</f>
        <v/>
      </c>
      <c r="K115" s="36">
        <f>IF($T115="","",INDEX(案件入力!$K$2:$K$301,$T115-1))</f>
        <v/>
      </c>
      <c r="L115" s="49">
        <f>IF($T115="","",INDEX(案件入力!$L$2:$L$301,$T115-1))</f>
        <v/>
      </c>
      <c r="M115" s="49">
        <f>IF($T115="","",INDEX(案件入力!$M$2:$M$301,$T115-1))</f>
        <v/>
      </c>
      <c r="N115" s="39">
        <f>IF($T115="","",INDEX(案件入力!$N$2:$N$301,$T115-1))</f>
        <v/>
      </c>
      <c r="O115" s="36">
        <f>IF($T115="","",INDEX(案件入力!$O$2:$O$301,$T115-1))</f>
        <v/>
      </c>
      <c r="P115" s="37">
        <f>IF($T115="","",INDEX(案件入力!$P$2:$P$301,$T115-1))</f>
        <v/>
      </c>
      <c r="Q115" s="35">
        <f>IF($T115="","",INDEX(案件入力!$Q$2:$Q$301,$T115-1))</f>
        <v/>
      </c>
      <c r="R115" s="35">
        <f>IF($T115="","",INDEX(案件入力!$R$2:$R$301,$T115-1))</f>
        <v/>
      </c>
      <c r="S115" s="35">
        <f>IF($T115="","",INDEX(案件入力!$S$2:$S$301,$T115-1))</f>
        <v/>
      </c>
      <c r="T115">
        <f t="array" ref="T115">IFERROR(SMALL(IF((案件入力!$A$2:$A$301&lt;&gt;"")*(案件入力!$R$2:$R$301&lt;&gt;"完了"),ROW(案件入力!$A$2:$A$301)),ROW()-1),"")</f>
        <v/>
      </c>
    </row>
    <row r="116">
      <c r="A116" s="35">
        <f>IF($T116="","",INDEX(案件入力!$A$2:$A$301,$T116-1))</f>
        <v/>
      </c>
      <c r="B116" s="36">
        <f>IF($T116="","",INDEX(案件入力!$B$2:$B$301,$T116-1))</f>
        <v/>
      </c>
      <c r="C116" s="35">
        <f>IF($T116="","",INDEX(案件入力!$C$2:$C$301,$T116-1))</f>
        <v/>
      </c>
      <c r="D116" s="37">
        <f>IF($T116="","",INDEX(案件入力!$D$2:$D$301,$T116-1))</f>
        <v/>
      </c>
      <c r="E116" s="35">
        <f>IF($T116="","",INDEX(案件入力!$E$2:$E$301,$T116-1))</f>
        <v/>
      </c>
      <c r="F116" s="35">
        <f>IF($T116="","",INDEX(案件入力!$F$2:$F$301,$T116-1))</f>
        <v/>
      </c>
      <c r="G116" s="35">
        <f>IF($T116="","",INDEX(案件入力!$G$2:$G$301,$T116-1))</f>
        <v/>
      </c>
      <c r="H116" s="49">
        <f>IF($T116="","",INDEX(案件入力!$H$2:$H$301,$T116-1))</f>
        <v/>
      </c>
      <c r="I116" s="49">
        <f>IF($T116="","",INDEX(案件入力!$I$2:$I$301,$T116-1))</f>
        <v/>
      </c>
      <c r="J116" s="39">
        <f>IF($T116="","",INDEX(案件入力!$J$2:$J$301,$T116-1))</f>
        <v/>
      </c>
      <c r="K116" s="36">
        <f>IF($T116="","",INDEX(案件入力!$K$2:$K$301,$T116-1))</f>
        <v/>
      </c>
      <c r="L116" s="49">
        <f>IF($T116="","",INDEX(案件入力!$L$2:$L$301,$T116-1))</f>
        <v/>
      </c>
      <c r="M116" s="49">
        <f>IF($T116="","",INDEX(案件入力!$M$2:$M$301,$T116-1))</f>
        <v/>
      </c>
      <c r="N116" s="39">
        <f>IF($T116="","",INDEX(案件入力!$N$2:$N$301,$T116-1))</f>
        <v/>
      </c>
      <c r="O116" s="36">
        <f>IF($T116="","",INDEX(案件入力!$O$2:$O$301,$T116-1))</f>
        <v/>
      </c>
      <c r="P116" s="37">
        <f>IF($T116="","",INDEX(案件入力!$P$2:$P$301,$T116-1))</f>
        <v/>
      </c>
      <c r="Q116" s="35">
        <f>IF($T116="","",INDEX(案件入力!$Q$2:$Q$301,$T116-1))</f>
        <v/>
      </c>
      <c r="R116" s="35">
        <f>IF($T116="","",INDEX(案件入力!$R$2:$R$301,$T116-1))</f>
        <v/>
      </c>
      <c r="S116" s="35">
        <f>IF($T116="","",INDEX(案件入力!$S$2:$S$301,$T116-1))</f>
        <v/>
      </c>
      <c r="T116">
        <f t="array" ref="T116">IFERROR(SMALL(IF((案件入力!$A$2:$A$301&lt;&gt;"")*(案件入力!$R$2:$R$301&lt;&gt;"完了"),ROW(案件入力!$A$2:$A$301)),ROW()-1),"")</f>
        <v/>
      </c>
    </row>
    <row r="117">
      <c r="A117" s="35">
        <f>IF($T117="","",INDEX(案件入力!$A$2:$A$301,$T117-1))</f>
        <v/>
      </c>
      <c r="B117" s="36">
        <f>IF($T117="","",INDEX(案件入力!$B$2:$B$301,$T117-1))</f>
        <v/>
      </c>
      <c r="C117" s="35">
        <f>IF($T117="","",INDEX(案件入力!$C$2:$C$301,$T117-1))</f>
        <v/>
      </c>
      <c r="D117" s="37">
        <f>IF($T117="","",INDEX(案件入力!$D$2:$D$301,$T117-1))</f>
        <v/>
      </c>
      <c r="E117" s="35">
        <f>IF($T117="","",INDEX(案件入力!$E$2:$E$301,$T117-1))</f>
        <v/>
      </c>
      <c r="F117" s="35">
        <f>IF($T117="","",INDEX(案件入力!$F$2:$F$301,$T117-1))</f>
        <v/>
      </c>
      <c r="G117" s="35">
        <f>IF($T117="","",INDEX(案件入力!$G$2:$G$301,$T117-1))</f>
        <v/>
      </c>
      <c r="H117" s="49">
        <f>IF($T117="","",INDEX(案件入力!$H$2:$H$301,$T117-1))</f>
        <v/>
      </c>
      <c r="I117" s="49">
        <f>IF($T117="","",INDEX(案件入力!$I$2:$I$301,$T117-1))</f>
        <v/>
      </c>
      <c r="J117" s="39">
        <f>IF($T117="","",INDEX(案件入力!$J$2:$J$301,$T117-1))</f>
        <v/>
      </c>
      <c r="K117" s="36">
        <f>IF($T117="","",INDEX(案件入力!$K$2:$K$301,$T117-1))</f>
        <v/>
      </c>
      <c r="L117" s="49">
        <f>IF($T117="","",INDEX(案件入力!$L$2:$L$301,$T117-1))</f>
        <v/>
      </c>
      <c r="M117" s="49">
        <f>IF($T117="","",INDEX(案件入力!$M$2:$M$301,$T117-1))</f>
        <v/>
      </c>
      <c r="N117" s="39">
        <f>IF($T117="","",INDEX(案件入力!$N$2:$N$301,$T117-1))</f>
        <v/>
      </c>
      <c r="O117" s="36">
        <f>IF($T117="","",INDEX(案件入力!$O$2:$O$301,$T117-1))</f>
        <v/>
      </c>
      <c r="P117" s="37">
        <f>IF($T117="","",INDEX(案件入力!$P$2:$P$301,$T117-1))</f>
        <v/>
      </c>
      <c r="Q117" s="35">
        <f>IF($T117="","",INDEX(案件入力!$Q$2:$Q$301,$T117-1))</f>
        <v/>
      </c>
      <c r="R117" s="35">
        <f>IF($T117="","",INDEX(案件入力!$R$2:$R$301,$T117-1))</f>
        <v/>
      </c>
      <c r="S117" s="35">
        <f>IF($T117="","",INDEX(案件入力!$S$2:$S$301,$T117-1))</f>
        <v/>
      </c>
      <c r="T117">
        <f t="array" ref="T117">IFERROR(SMALL(IF((案件入力!$A$2:$A$301&lt;&gt;"")*(案件入力!$R$2:$R$301&lt;&gt;"完了"),ROW(案件入力!$A$2:$A$301)),ROW()-1),"")</f>
        <v/>
      </c>
    </row>
    <row r="118">
      <c r="A118" s="35">
        <f>IF($T118="","",INDEX(案件入力!$A$2:$A$301,$T118-1))</f>
        <v/>
      </c>
      <c r="B118" s="36">
        <f>IF($T118="","",INDEX(案件入力!$B$2:$B$301,$T118-1))</f>
        <v/>
      </c>
      <c r="C118" s="35">
        <f>IF($T118="","",INDEX(案件入力!$C$2:$C$301,$T118-1))</f>
        <v/>
      </c>
      <c r="D118" s="37">
        <f>IF($T118="","",INDEX(案件入力!$D$2:$D$301,$T118-1))</f>
        <v/>
      </c>
      <c r="E118" s="35">
        <f>IF($T118="","",INDEX(案件入力!$E$2:$E$301,$T118-1))</f>
        <v/>
      </c>
      <c r="F118" s="35">
        <f>IF($T118="","",INDEX(案件入力!$F$2:$F$301,$T118-1))</f>
        <v/>
      </c>
      <c r="G118" s="35">
        <f>IF($T118="","",INDEX(案件入力!$G$2:$G$301,$T118-1))</f>
        <v/>
      </c>
      <c r="H118" s="49">
        <f>IF($T118="","",INDEX(案件入力!$H$2:$H$301,$T118-1))</f>
        <v/>
      </c>
      <c r="I118" s="49">
        <f>IF($T118="","",INDEX(案件入力!$I$2:$I$301,$T118-1))</f>
        <v/>
      </c>
      <c r="J118" s="39">
        <f>IF($T118="","",INDEX(案件入力!$J$2:$J$301,$T118-1))</f>
        <v/>
      </c>
      <c r="K118" s="36">
        <f>IF($T118="","",INDEX(案件入力!$K$2:$K$301,$T118-1))</f>
        <v/>
      </c>
      <c r="L118" s="49">
        <f>IF($T118="","",INDEX(案件入力!$L$2:$L$301,$T118-1))</f>
        <v/>
      </c>
      <c r="M118" s="49">
        <f>IF($T118="","",INDEX(案件入力!$M$2:$M$301,$T118-1))</f>
        <v/>
      </c>
      <c r="N118" s="39">
        <f>IF($T118="","",INDEX(案件入力!$N$2:$N$301,$T118-1))</f>
        <v/>
      </c>
      <c r="O118" s="36">
        <f>IF($T118="","",INDEX(案件入力!$O$2:$O$301,$T118-1))</f>
        <v/>
      </c>
      <c r="P118" s="37">
        <f>IF($T118="","",INDEX(案件入力!$P$2:$P$301,$T118-1))</f>
        <v/>
      </c>
      <c r="Q118" s="35">
        <f>IF($T118="","",INDEX(案件入力!$Q$2:$Q$301,$T118-1))</f>
        <v/>
      </c>
      <c r="R118" s="35">
        <f>IF($T118="","",INDEX(案件入力!$R$2:$R$301,$T118-1))</f>
        <v/>
      </c>
      <c r="S118" s="35">
        <f>IF($T118="","",INDEX(案件入力!$S$2:$S$301,$T118-1))</f>
        <v/>
      </c>
      <c r="T118">
        <f t="array" ref="T118">IFERROR(SMALL(IF((案件入力!$A$2:$A$301&lt;&gt;"")*(案件入力!$R$2:$R$301&lt;&gt;"完了"),ROW(案件入力!$A$2:$A$301)),ROW()-1),"")</f>
        <v/>
      </c>
    </row>
    <row r="119">
      <c r="A119" s="35">
        <f>IF($T119="","",INDEX(案件入力!$A$2:$A$301,$T119-1))</f>
        <v/>
      </c>
      <c r="B119" s="36">
        <f>IF($T119="","",INDEX(案件入力!$B$2:$B$301,$T119-1))</f>
        <v/>
      </c>
      <c r="C119" s="35">
        <f>IF($T119="","",INDEX(案件入力!$C$2:$C$301,$T119-1))</f>
        <v/>
      </c>
      <c r="D119" s="37">
        <f>IF($T119="","",INDEX(案件入力!$D$2:$D$301,$T119-1))</f>
        <v/>
      </c>
      <c r="E119" s="35">
        <f>IF($T119="","",INDEX(案件入力!$E$2:$E$301,$T119-1))</f>
        <v/>
      </c>
      <c r="F119" s="35">
        <f>IF($T119="","",INDEX(案件入力!$F$2:$F$301,$T119-1))</f>
        <v/>
      </c>
      <c r="G119" s="35">
        <f>IF($T119="","",INDEX(案件入力!$G$2:$G$301,$T119-1))</f>
        <v/>
      </c>
      <c r="H119" s="49">
        <f>IF($T119="","",INDEX(案件入力!$H$2:$H$301,$T119-1))</f>
        <v/>
      </c>
      <c r="I119" s="49">
        <f>IF($T119="","",INDEX(案件入力!$I$2:$I$301,$T119-1))</f>
        <v/>
      </c>
      <c r="J119" s="39">
        <f>IF($T119="","",INDEX(案件入力!$J$2:$J$301,$T119-1))</f>
        <v/>
      </c>
      <c r="K119" s="36">
        <f>IF($T119="","",INDEX(案件入力!$K$2:$K$301,$T119-1))</f>
        <v/>
      </c>
      <c r="L119" s="49">
        <f>IF($T119="","",INDEX(案件入力!$L$2:$L$301,$T119-1))</f>
        <v/>
      </c>
      <c r="M119" s="49">
        <f>IF($T119="","",INDEX(案件入力!$M$2:$M$301,$T119-1))</f>
        <v/>
      </c>
      <c r="N119" s="39">
        <f>IF($T119="","",INDEX(案件入力!$N$2:$N$301,$T119-1))</f>
        <v/>
      </c>
      <c r="O119" s="36">
        <f>IF($T119="","",INDEX(案件入力!$O$2:$O$301,$T119-1))</f>
        <v/>
      </c>
      <c r="P119" s="37">
        <f>IF($T119="","",INDEX(案件入力!$P$2:$P$301,$T119-1))</f>
        <v/>
      </c>
      <c r="Q119" s="35">
        <f>IF($T119="","",INDEX(案件入力!$Q$2:$Q$301,$T119-1))</f>
        <v/>
      </c>
      <c r="R119" s="35">
        <f>IF($T119="","",INDEX(案件入力!$R$2:$R$301,$T119-1))</f>
        <v/>
      </c>
      <c r="S119" s="35">
        <f>IF($T119="","",INDEX(案件入力!$S$2:$S$301,$T119-1))</f>
        <v/>
      </c>
      <c r="T119">
        <f t="array" ref="T119">IFERROR(SMALL(IF((案件入力!$A$2:$A$301&lt;&gt;"")*(案件入力!$R$2:$R$301&lt;&gt;"完了"),ROW(案件入力!$A$2:$A$301)),ROW()-1),"")</f>
        <v/>
      </c>
    </row>
    <row r="120">
      <c r="A120" s="35">
        <f>IF($T120="","",INDEX(案件入力!$A$2:$A$301,$T120-1))</f>
        <v/>
      </c>
      <c r="B120" s="36">
        <f>IF($T120="","",INDEX(案件入力!$B$2:$B$301,$T120-1))</f>
        <v/>
      </c>
      <c r="C120" s="35">
        <f>IF($T120="","",INDEX(案件入力!$C$2:$C$301,$T120-1))</f>
        <v/>
      </c>
      <c r="D120" s="37">
        <f>IF($T120="","",INDEX(案件入力!$D$2:$D$301,$T120-1))</f>
        <v/>
      </c>
      <c r="E120" s="35">
        <f>IF($T120="","",INDEX(案件入力!$E$2:$E$301,$T120-1))</f>
        <v/>
      </c>
      <c r="F120" s="35">
        <f>IF($T120="","",INDEX(案件入力!$F$2:$F$301,$T120-1))</f>
        <v/>
      </c>
      <c r="G120" s="35">
        <f>IF($T120="","",INDEX(案件入力!$G$2:$G$301,$T120-1))</f>
        <v/>
      </c>
      <c r="H120" s="49">
        <f>IF($T120="","",INDEX(案件入力!$H$2:$H$301,$T120-1))</f>
        <v/>
      </c>
      <c r="I120" s="49">
        <f>IF($T120="","",INDEX(案件入力!$I$2:$I$301,$T120-1))</f>
        <v/>
      </c>
      <c r="J120" s="39">
        <f>IF($T120="","",INDEX(案件入力!$J$2:$J$301,$T120-1))</f>
        <v/>
      </c>
      <c r="K120" s="36">
        <f>IF($T120="","",INDEX(案件入力!$K$2:$K$301,$T120-1))</f>
        <v/>
      </c>
      <c r="L120" s="49">
        <f>IF($T120="","",INDEX(案件入力!$L$2:$L$301,$T120-1))</f>
        <v/>
      </c>
      <c r="M120" s="49">
        <f>IF($T120="","",INDEX(案件入力!$M$2:$M$301,$T120-1))</f>
        <v/>
      </c>
      <c r="N120" s="39">
        <f>IF($T120="","",INDEX(案件入力!$N$2:$N$301,$T120-1))</f>
        <v/>
      </c>
      <c r="O120" s="36">
        <f>IF($T120="","",INDEX(案件入力!$O$2:$O$301,$T120-1))</f>
        <v/>
      </c>
      <c r="P120" s="37">
        <f>IF($T120="","",INDEX(案件入力!$P$2:$P$301,$T120-1))</f>
        <v/>
      </c>
      <c r="Q120" s="35">
        <f>IF($T120="","",INDEX(案件入力!$Q$2:$Q$301,$T120-1))</f>
        <v/>
      </c>
      <c r="R120" s="35">
        <f>IF($T120="","",INDEX(案件入力!$R$2:$R$301,$T120-1))</f>
        <v/>
      </c>
      <c r="S120" s="35">
        <f>IF($T120="","",INDEX(案件入力!$S$2:$S$301,$T120-1))</f>
        <v/>
      </c>
      <c r="T120">
        <f t="array" ref="T120">IFERROR(SMALL(IF((案件入力!$A$2:$A$301&lt;&gt;"")*(案件入力!$R$2:$R$301&lt;&gt;"完了"),ROW(案件入力!$A$2:$A$301)),ROW()-1),"")</f>
        <v/>
      </c>
    </row>
    <row r="121">
      <c r="A121" s="35">
        <f>IF($T121="","",INDEX(案件入力!$A$2:$A$301,$T121-1))</f>
        <v/>
      </c>
      <c r="B121" s="36">
        <f>IF($T121="","",INDEX(案件入力!$B$2:$B$301,$T121-1))</f>
        <v/>
      </c>
      <c r="C121" s="35">
        <f>IF($T121="","",INDEX(案件入力!$C$2:$C$301,$T121-1))</f>
        <v/>
      </c>
      <c r="D121" s="37">
        <f>IF($T121="","",INDEX(案件入力!$D$2:$D$301,$T121-1))</f>
        <v/>
      </c>
      <c r="E121" s="35">
        <f>IF($T121="","",INDEX(案件入力!$E$2:$E$301,$T121-1))</f>
        <v/>
      </c>
      <c r="F121" s="35">
        <f>IF($T121="","",INDEX(案件入力!$F$2:$F$301,$T121-1))</f>
        <v/>
      </c>
      <c r="G121" s="35">
        <f>IF($T121="","",INDEX(案件入力!$G$2:$G$301,$T121-1))</f>
        <v/>
      </c>
      <c r="H121" s="49">
        <f>IF($T121="","",INDEX(案件入力!$H$2:$H$301,$T121-1))</f>
        <v/>
      </c>
      <c r="I121" s="49">
        <f>IF($T121="","",INDEX(案件入力!$I$2:$I$301,$T121-1))</f>
        <v/>
      </c>
      <c r="J121" s="39">
        <f>IF($T121="","",INDEX(案件入力!$J$2:$J$301,$T121-1))</f>
        <v/>
      </c>
      <c r="K121" s="36">
        <f>IF($T121="","",INDEX(案件入力!$K$2:$K$301,$T121-1))</f>
        <v/>
      </c>
      <c r="L121" s="49">
        <f>IF($T121="","",INDEX(案件入力!$L$2:$L$301,$T121-1))</f>
        <v/>
      </c>
      <c r="M121" s="49">
        <f>IF($T121="","",INDEX(案件入力!$M$2:$M$301,$T121-1))</f>
        <v/>
      </c>
      <c r="N121" s="39">
        <f>IF($T121="","",INDEX(案件入力!$N$2:$N$301,$T121-1))</f>
        <v/>
      </c>
      <c r="O121" s="36">
        <f>IF($T121="","",INDEX(案件入力!$O$2:$O$301,$T121-1))</f>
        <v/>
      </c>
      <c r="P121" s="37">
        <f>IF($T121="","",INDEX(案件入力!$P$2:$P$301,$T121-1))</f>
        <v/>
      </c>
      <c r="Q121" s="35">
        <f>IF($T121="","",INDEX(案件入力!$Q$2:$Q$301,$T121-1))</f>
        <v/>
      </c>
      <c r="R121" s="35">
        <f>IF($T121="","",INDEX(案件入力!$R$2:$R$301,$T121-1))</f>
        <v/>
      </c>
      <c r="S121" s="35">
        <f>IF($T121="","",INDEX(案件入力!$S$2:$S$301,$T121-1))</f>
        <v/>
      </c>
      <c r="T121">
        <f t="array" ref="T121">IFERROR(SMALL(IF((案件入力!$A$2:$A$301&lt;&gt;"")*(案件入力!$R$2:$R$301&lt;&gt;"完了"),ROW(案件入力!$A$2:$A$301)),ROW()-1),"")</f>
        <v/>
      </c>
    </row>
    <row r="122">
      <c r="A122" s="35">
        <f>IF($T122="","",INDEX(案件入力!$A$2:$A$301,$T122-1))</f>
        <v/>
      </c>
      <c r="B122" s="36">
        <f>IF($T122="","",INDEX(案件入力!$B$2:$B$301,$T122-1))</f>
        <v/>
      </c>
      <c r="C122" s="35">
        <f>IF($T122="","",INDEX(案件入力!$C$2:$C$301,$T122-1))</f>
        <v/>
      </c>
      <c r="D122" s="37">
        <f>IF($T122="","",INDEX(案件入力!$D$2:$D$301,$T122-1))</f>
        <v/>
      </c>
      <c r="E122" s="35">
        <f>IF($T122="","",INDEX(案件入力!$E$2:$E$301,$T122-1))</f>
        <v/>
      </c>
      <c r="F122" s="35">
        <f>IF($T122="","",INDEX(案件入力!$F$2:$F$301,$T122-1))</f>
        <v/>
      </c>
      <c r="G122" s="35">
        <f>IF($T122="","",INDEX(案件入力!$G$2:$G$301,$T122-1))</f>
        <v/>
      </c>
      <c r="H122" s="49">
        <f>IF($T122="","",INDEX(案件入力!$H$2:$H$301,$T122-1))</f>
        <v/>
      </c>
      <c r="I122" s="49">
        <f>IF($T122="","",INDEX(案件入力!$I$2:$I$301,$T122-1))</f>
        <v/>
      </c>
      <c r="J122" s="39">
        <f>IF($T122="","",INDEX(案件入力!$J$2:$J$301,$T122-1))</f>
        <v/>
      </c>
      <c r="K122" s="36">
        <f>IF($T122="","",INDEX(案件入力!$K$2:$K$301,$T122-1))</f>
        <v/>
      </c>
      <c r="L122" s="49">
        <f>IF($T122="","",INDEX(案件入力!$L$2:$L$301,$T122-1))</f>
        <v/>
      </c>
      <c r="M122" s="49">
        <f>IF($T122="","",INDEX(案件入力!$M$2:$M$301,$T122-1))</f>
        <v/>
      </c>
      <c r="N122" s="39">
        <f>IF($T122="","",INDEX(案件入力!$N$2:$N$301,$T122-1))</f>
        <v/>
      </c>
      <c r="O122" s="36">
        <f>IF($T122="","",INDEX(案件入力!$O$2:$O$301,$T122-1))</f>
        <v/>
      </c>
      <c r="P122" s="37">
        <f>IF($T122="","",INDEX(案件入力!$P$2:$P$301,$T122-1))</f>
        <v/>
      </c>
      <c r="Q122" s="35">
        <f>IF($T122="","",INDEX(案件入力!$Q$2:$Q$301,$T122-1))</f>
        <v/>
      </c>
      <c r="R122" s="35">
        <f>IF($T122="","",INDEX(案件入力!$R$2:$R$301,$T122-1))</f>
        <v/>
      </c>
      <c r="S122" s="35">
        <f>IF($T122="","",INDEX(案件入力!$S$2:$S$301,$T122-1))</f>
        <v/>
      </c>
      <c r="T122">
        <f t="array" ref="T122">IFERROR(SMALL(IF((案件入力!$A$2:$A$301&lt;&gt;"")*(案件入力!$R$2:$R$301&lt;&gt;"完了"),ROW(案件入力!$A$2:$A$301)),ROW()-1),"")</f>
        <v/>
      </c>
    </row>
    <row r="123">
      <c r="A123" s="35">
        <f>IF($T123="","",INDEX(案件入力!$A$2:$A$301,$T123-1))</f>
        <v/>
      </c>
      <c r="B123" s="36">
        <f>IF($T123="","",INDEX(案件入力!$B$2:$B$301,$T123-1))</f>
        <v/>
      </c>
      <c r="C123" s="35">
        <f>IF($T123="","",INDEX(案件入力!$C$2:$C$301,$T123-1))</f>
        <v/>
      </c>
      <c r="D123" s="37">
        <f>IF($T123="","",INDEX(案件入力!$D$2:$D$301,$T123-1))</f>
        <v/>
      </c>
      <c r="E123" s="35">
        <f>IF($T123="","",INDEX(案件入力!$E$2:$E$301,$T123-1))</f>
        <v/>
      </c>
      <c r="F123" s="35">
        <f>IF($T123="","",INDEX(案件入力!$F$2:$F$301,$T123-1))</f>
        <v/>
      </c>
      <c r="G123" s="35">
        <f>IF($T123="","",INDEX(案件入力!$G$2:$G$301,$T123-1))</f>
        <v/>
      </c>
      <c r="H123" s="49">
        <f>IF($T123="","",INDEX(案件入力!$H$2:$H$301,$T123-1))</f>
        <v/>
      </c>
      <c r="I123" s="49">
        <f>IF($T123="","",INDEX(案件入力!$I$2:$I$301,$T123-1))</f>
        <v/>
      </c>
      <c r="J123" s="39">
        <f>IF($T123="","",INDEX(案件入力!$J$2:$J$301,$T123-1))</f>
        <v/>
      </c>
      <c r="K123" s="36">
        <f>IF($T123="","",INDEX(案件入力!$K$2:$K$301,$T123-1))</f>
        <v/>
      </c>
      <c r="L123" s="49">
        <f>IF($T123="","",INDEX(案件入力!$L$2:$L$301,$T123-1))</f>
        <v/>
      </c>
      <c r="M123" s="49">
        <f>IF($T123="","",INDEX(案件入力!$M$2:$M$301,$T123-1))</f>
        <v/>
      </c>
      <c r="N123" s="39">
        <f>IF($T123="","",INDEX(案件入力!$N$2:$N$301,$T123-1))</f>
        <v/>
      </c>
      <c r="O123" s="36">
        <f>IF($T123="","",INDEX(案件入力!$O$2:$O$301,$T123-1))</f>
        <v/>
      </c>
      <c r="P123" s="37">
        <f>IF($T123="","",INDEX(案件入力!$P$2:$P$301,$T123-1))</f>
        <v/>
      </c>
      <c r="Q123" s="35">
        <f>IF($T123="","",INDEX(案件入力!$Q$2:$Q$301,$T123-1))</f>
        <v/>
      </c>
      <c r="R123" s="35">
        <f>IF($T123="","",INDEX(案件入力!$R$2:$R$301,$T123-1))</f>
        <v/>
      </c>
      <c r="S123" s="35">
        <f>IF($T123="","",INDEX(案件入力!$S$2:$S$301,$T123-1))</f>
        <v/>
      </c>
      <c r="T123">
        <f t="array" ref="T123">IFERROR(SMALL(IF((案件入力!$A$2:$A$301&lt;&gt;"")*(案件入力!$R$2:$R$301&lt;&gt;"完了"),ROW(案件入力!$A$2:$A$301)),ROW()-1),"")</f>
        <v/>
      </c>
    </row>
    <row r="124">
      <c r="A124" s="35">
        <f>IF($T124="","",INDEX(案件入力!$A$2:$A$301,$T124-1))</f>
        <v/>
      </c>
      <c r="B124" s="36">
        <f>IF($T124="","",INDEX(案件入力!$B$2:$B$301,$T124-1))</f>
        <v/>
      </c>
      <c r="C124" s="35">
        <f>IF($T124="","",INDEX(案件入力!$C$2:$C$301,$T124-1))</f>
        <v/>
      </c>
      <c r="D124" s="37">
        <f>IF($T124="","",INDEX(案件入力!$D$2:$D$301,$T124-1))</f>
        <v/>
      </c>
      <c r="E124" s="35">
        <f>IF($T124="","",INDEX(案件入力!$E$2:$E$301,$T124-1))</f>
        <v/>
      </c>
      <c r="F124" s="35">
        <f>IF($T124="","",INDEX(案件入力!$F$2:$F$301,$T124-1))</f>
        <v/>
      </c>
      <c r="G124" s="35">
        <f>IF($T124="","",INDEX(案件入力!$G$2:$G$301,$T124-1))</f>
        <v/>
      </c>
      <c r="H124" s="49">
        <f>IF($T124="","",INDEX(案件入力!$H$2:$H$301,$T124-1))</f>
        <v/>
      </c>
      <c r="I124" s="49">
        <f>IF($T124="","",INDEX(案件入力!$I$2:$I$301,$T124-1))</f>
        <v/>
      </c>
      <c r="J124" s="39">
        <f>IF($T124="","",INDEX(案件入力!$J$2:$J$301,$T124-1))</f>
        <v/>
      </c>
      <c r="K124" s="36">
        <f>IF($T124="","",INDEX(案件入力!$K$2:$K$301,$T124-1))</f>
        <v/>
      </c>
      <c r="L124" s="49">
        <f>IF($T124="","",INDEX(案件入力!$L$2:$L$301,$T124-1))</f>
        <v/>
      </c>
      <c r="M124" s="49">
        <f>IF($T124="","",INDEX(案件入力!$M$2:$M$301,$T124-1))</f>
        <v/>
      </c>
      <c r="N124" s="39">
        <f>IF($T124="","",INDEX(案件入力!$N$2:$N$301,$T124-1))</f>
        <v/>
      </c>
      <c r="O124" s="36">
        <f>IF($T124="","",INDEX(案件入力!$O$2:$O$301,$T124-1))</f>
        <v/>
      </c>
      <c r="P124" s="37">
        <f>IF($T124="","",INDEX(案件入力!$P$2:$P$301,$T124-1))</f>
        <v/>
      </c>
      <c r="Q124" s="35">
        <f>IF($T124="","",INDEX(案件入力!$Q$2:$Q$301,$T124-1))</f>
        <v/>
      </c>
      <c r="R124" s="35">
        <f>IF($T124="","",INDEX(案件入力!$R$2:$R$301,$T124-1))</f>
        <v/>
      </c>
      <c r="S124" s="35">
        <f>IF($T124="","",INDEX(案件入力!$S$2:$S$301,$T124-1))</f>
        <v/>
      </c>
      <c r="T124">
        <f t="array" ref="T124">IFERROR(SMALL(IF((案件入力!$A$2:$A$301&lt;&gt;"")*(案件入力!$R$2:$R$301&lt;&gt;"完了"),ROW(案件入力!$A$2:$A$301)),ROW()-1),"")</f>
        <v/>
      </c>
    </row>
    <row r="125">
      <c r="A125" s="35">
        <f>IF($T125="","",INDEX(案件入力!$A$2:$A$301,$T125-1))</f>
        <v/>
      </c>
      <c r="B125" s="36">
        <f>IF($T125="","",INDEX(案件入力!$B$2:$B$301,$T125-1))</f>
        <v/>
      </c>
      <c r="C125" s="35">
        <f>IF($T125="","",INDEX(案件入力!$C$2:$C$301,$T125-1))</f>
        <v/>
      </c>
      <c r="D125" s="37">
        <f>IF($T125="","",INDEX(案件入力!$D$2:$D$301,$T125-1))</f>
        <v/>
      </c>
      <c r="E125" s="35">
        <f>IF($T125="","",INDEX(案件入力!$E$2:$E$301,$T125-1))</f>
        <v/>
      </c>
      <c r="F125" s="35">
        <f>IF($T125="","",INDEX(案件入力!$F$2:$F$301,$T125-1))</f>
        <v/>
      </c>
      <c r="G125" s="35">
        <f>IF($T125="","",INDEX(案件入力!$G$2:$G$301,$T125-1))</f>
        <v/>
      </c>
      <c r="H125" s="49">
        <f>IF($T125="","",INDEX(案件入力!$H$2:$H$301,$T125-1))</f>
        <v/>
      </c>
      <c r="I125" s="49">
        <f>IF($T125="","",INDEX(案件入力!$I$2:$I$301,$T125-1))</f>
        <v/>
      </c>
      <c r="J125" s="39">
        <f>IF($T125="","",INDEX(案件入力!$J$2:$J$301,$T125-1))</f>
        <v/>
      </c>
      <c r="K125" s="36">
        <f>IF($T125="","",INDEX(案件入力!$K$2:$K$301,$T125-1))</f>
        <v/>
      </c>
      <c r="L125" s="49">
        <f>IF($T125="","",INDEX(案件入力!$L$2:$L$301,$T125-1))</f>
        <v/>
      </c>
      <c r="M125" s="49">
        <f>IF($T125="","",INDEX(案件入力!$M$2:$M$301,$T125-1))</f>
        <v/>
      </c>
      <c r="N125" s="39">
        <f>IF($T125="","",INDEX(案件入力!$N$2:$N$301,$T125-1))</f>
        <v/>
      </c>
      <c r="O125" s="36">
        <f>IF($T125="","",INDEX(案件入力!$O$2:$O$301,$T125-1))</f>
        <v/>
      </c>
      <c r="P125" s="37">
        <f>IF($T125="","",INDEX(案件入力!$P$2:$P$301,$T125-1))</f>
        <v/>
      </c>
      <c r="Q125" s="35">
        <f>IF($T125="","",INDEX(案件入力!$Q$2:$Q$301,$T125-1))</f>
        <v/>
      </c>
      <c r="R125" s="35">
        <f>IF($T125="","",INDEX(案件入力!$R$2:$R$301,$T125-1))</f>
        <v/>
      </c>
      <c r="S125" s="35">
        <f>IF($T125="","",INDEX(案件入力!$S$2:$S$301,$T125-1))</f>
        <v/>
      </c>
      <c r="T125">
        <f t="array" ref="T125">IFERROR(SMALL(IF((案件入力!$A$2:$A$301&lt;&gt;"")*(案件入力!$R$2:$R$301&lt;&gt;"完了"),ROW(案件入力!$A$2:$A$301)),ROW()-1),"")</f>
        <v/>
      </c>
    </row>
    <row r="126">
      <c r="A126" s="35">
        <f>IF($T126="","",INDEX(案件入力!$A$2:$A$301,$T126-1))</f>
        <v/>
      </c>
      <c r="B126" s="36">
        <f>IF($T126="","",INDEX(案件入力!$B$2:$B$301,$T126-1))</f>
        <v/>
      </c>
      <c r="C126" s="35">
        <f>IF($T126="","",INDEX(案件入力!$C$2:$C$301,$T126-1))</f>
        <v/>
      </c>
      <c r="D126" s="37">
        <f>IF($T126="","",INDEX(案件入力!$D$2:$D$301,$T126-1))</f>
        <v/>
      </c>
      <c r="E126" s="35">
        <f>IF($T126="","",INDEX(案件入力!$E$2:$E$301,$T126-1))</f>
        <v/>
      </c>
      <c r="F126" s="35">
        <f>IF($T126="","",INDEX(案件入力!$F$2:$F$301,$T126-1))</f>
        <v/>
      </c>
      <c r="G126" s="35">
        <f>IF($T126="","",INDEX(案件入力!$G$2:$G$301,$T126-1))</f>
        <v/>
      </c>
      <c r="H126" s="49">
        <f>IF($T126="","",INDEX(案件入力!$H$2:$H$301,$T126-1))</f>
        <v/>
      </c>
      <c r="I126" s="49">
        <f>IF($T126="","",INDEX(案件入力!$I$2:$I$301,$T126-1))</f>
        <v/>
      </c>
      <c r="J126" s="39">
        <f>IF($T126="","",INDEX(案件入力!$J$2:$J$301,$T126-1))</f>
        <v/>
      </c>
      <c r="K126" s="36">
        <f>IF($T126="","",INDEX(案件入力!$K$2:$K$301,$T126-1))</f>
        <v/>
      </c>
      <c r="L126" s="49">
        <f>IF($T126="","",INDEX(案件入力!$L$2:$L$301,$T126-1))</f>
        <v/>
      </c>
      <c r="M126" s="49">
        <f>IF($T126="","",INDEX(案件入力!$M$2:$M$301,$T126-1))</f>
        <v/>
      </c>
      <c r="N126" s="39">
        <f>IF($T126="","",INDEX(案件入力!$N$2:$N$301,$T126-1))</f>
        <v/>
      </c>
      <c r="O126" s="36">
        <f>IF($T126="","",INDEX(案件入力!$O$2:$O$301,$T126-1))</f>
        <v/>
      </c>
      <c r="P126" s="37">
        <f>IF($T126="","",INDEX(案件入力!$P$2:$P$301,$T126-1))</f>
        <v/>
      </c>
      <c r="Q126" s="35">
        <f>IF($T126="","",INDEX(案件入力!$Q$2:$Q$301,$T126-1))</f>
        <v/>
      </c>
      <c r="R126" s="35">
        <f>IF($T126="","",INDEX(案件入力!$R$2:$R$301,$T126-1))</f>
        <v/>
      </c>
      <c r="S126" s="35">
        <f>IF($T126="","",INDEX(案件入力!$S$2:$S$301,$T126-1))</f>
        <v/>
      </c>
      <c r="T126">
        <f t="array" ref="T126">IFERROR(SMALL(IF((案件入力!$A$2:$A$301&lt;&gt;"")*(案件入力!$R$2:$R$301&lt;&gt;"完了"),ROW(案件入力!$A$2:$A$301)),ROW()-1),"")</f>
        <v/>
      </c>
    </row>
    <row r="127">
      <c r="A127" s="35">
        <f>IF($T127="","",INDEX(案件入力!$A$2:$A$301,$T127-1))</f>
        <v/>
      </c>
      <c r="B127" s="36">
        <f>IF($T127="","",INDEX(案件入力!$B$2:$B$301,$T127-1))</f>
        <v/>
      </c>
      <c r="C127" s="35">
        <f>IF($T127="","",INDEX(案件入力!$C$2:$C$301,$T127-1))</f>
        <v/>
      </c>
      <c r="D127" s="37">
        <f>IF($T127="","",INDEX(案件入力!$D$2:$D$301,$T127-1))</f>
        <v/>
      </c>
      <c r="E127" s="35">
        <f>IF($T127="","",INDEX(案件入力!$E$2:$E$301,$T127-1))</f>
        <v/>
      </c>
      <c r="F127" s="35">
        <f>IF($T127="","",INDEX(案件入力!$F$2:$F$301,$T127-1))</f>
        <v/>
      </c>
      <c r="G127" s="35">
        <f>IF($T127="","",INDEX(案件入力!$G$2:$G$301,$T127-1))</f>
        <v/>
      </c>
      <c r="H127" s="49">
        <f>IF($T127="","",INDEX(案件入力!$H$2:$H$301,$T127-1))</f>
        <v/>
      </c>
      <c r="I127" s="49">
        <f>IF($T127="","",INDEX(案件入力!$I$2:$I$301,$T127-1))</f>
        <v/>
      </c>
      <c r="J127" s="39">
        <f>IF($T127="","",INDEX(案件入力!$J$2:$J$301,$T127-1))</f>
        <v/>
      </c>
      <c r="K127" s="36">
        <f>IF($T127="","",INDEX(案件入力!$K$2:$K$301,$T127-1))</f>
        <v/>
      </c>
      <c r="L127" s="49">
        <f>IF($T127="","",INDEX(案件入力!$L$2:$L$301,$T127-1))</f>
        <v/>
      </c>
      <c r="M127" s="49">
        <f>IF($T127="","",INDEX(案件入力!$M$2:$M$301,$T127-1))</f>
        <v/>
      </c>
      <c r="N127" s="39">
        <f>IF($T127="","",INDEX(案件入力!$N$2:$N$301,$T127-1))</f>
        <v/>
      </c>
      <c r="O127" s="36">
        <f>IF($T127="","",INDEX(案件入力!$O$2:$O$301,$T127-1))</f>
        <v/>
      </c>
      <c r="P127" s="37">
        <f>IF($T127="","",INDEX(案件入力!$P$2:$P$301,$T127-1))</f>
        <v/>
      </c>
      <c r="Q127" s="35">
        <f>IF($T127="","",INDEX(案件入力!$Q$2:$Q$301,$T127-1))</f>
        <v/>
      </c>
      <c r="R127" s="35">
        <f>IF($T127="","",INDEX(案件入力!$R$2:$R$301,$T127-1))</f>
        <v/>
      </c>
      <c r="S127" s="35">
        <f>IF($T127="","",INDEX(案件入力!$S$2:$S$301,$T127-1))</f>
        <v/>
      </c>
      <c r="T127">
        <f t="array" ref="T127">IFERROR(SMALL(IF((案件入力!$A$2:$A$301&lt;&gt;"")*(案件入力!$R$2:$R$301&lt;&gt;"完了"),ROW(案件入力!$A$2:$A$301)),ROW()-1),"")</f>
        <v/>
      </c>
    </row>
    <row r="128">
      <c r="A128" s="35">
        <f>IF($T128="","",INDEX(案件入力!$A$2:$A$301,$T128-1))</f>
        <v/>
      </c>
      <c r="B128" s="36">
        <f>IF($T128="","",INDEX(案件入力!$B$2:$B$301,$T128-1))</f>
        <v/>
      </c>
      <c r="C128" s="35">
        <f>IF($T128="","",INDEX(案件入力!$C$2:$C$301,$T128-1))</f>
        <v/>
      </c>
      <c r="D128" s="37">
        <f>IF($T128="","",INDEX(案件入力!$D$2:$D$301,$T128-1))</f>
        <v/>
      </c>
      <c r="E128" s="35">
        <f>IF($T128="","",INDEX(案件入力!$E$2:$E$301,$T128-1))</f>
        <v/>
      </c>
      <c r="F128" s="35">
        <f>IF($T128="","",INDEX(案件入力!$F$2:$F$301,$T128-1))</f>
        <v/>
      </c>
      <c r="G128" s="35">
        <f>IF($T128="","",INDEX(案件入力!$G$2:$G$301,$T128-1))</f>
        <v/>
      </c>
      <c r="H128" s="49">
        <f>IF($T128="","",INDEX(案件入力!$H$2:$H$301,$T128-1))</f>
        <v/>
      </c>
      <c r="I128" s="49">
        <f>IF($T128="","",INDEX(案件入力!$I$2:$I$301,$T128-1))</f>
        <v/>
      </c>
      <c r="J128" s="39">
        <f>IF($T128="","",INDEX(案件入力!$J$2:$J$301,$T128-1))</f>
        <v/>
      </c>
      <c r="K128" s="36">
        <f>IF($T128="","",INDEX(案件入力!$K$2:$K$301,$T128-1))</f>
        <v/>
      </c>
      <c r="L128" s="49">
        <f>IF($T128="","",INDEX(案件入力!$L$2:$L$301,$T128-1))</f>
        <v/>
      </c>
      <c r="M128" s="49">
        <f>IF($T128="","",INDEX(案件入力!$M$2:$M$301,$T128-1))</f>
        <v/>
      </c>
      <c r="N128" s="39">
        <f>IF($T128="","",INDEX(案件入力!$N$2:$N$301,$T128-1))</f>
        <v/>
      </c>
      <c r="O128" s="36">
        <f>IF($T128="","",INDEX(案件入力!$O$2:$O$301,$T128-1))</f>
        <v/>
      </c>
      <c r="P128" s="37">
        <f>IF($T128="","",INDEX(案件入力!$P$2:$P$301,$T128-1))</f>
        <v/>
      </c>
      <c r="Q128" s="35">
        <f>IF($T128="","",INDEX(案件入力!$Q$2:$Q$301,$T128-1))</f>
        <v/>
      </c>
      <c r="R128" s="35">
        <f>IF($T128="","",INDEX(案件入力!$R$2:$R$301,$T128-1))</f>
        <v/>
      </c>
      <c r="S128" s="35">
        <f>IF($T128="","",INDEX(案件入力!$S$2:$S$301,$T128-1))</f>
        <v/>
      </c>
      <c r="T128">
        <f t="array" ref="T128">IFERROR(SMALL(IF((案件入力!$A$2:$A$301&lt;&gt;"")*(案件入力!$R$2:$R$301&lt;&gt;"完了"),ROW(案件入力!$A$2:$A$301)),ROW()-1),"")</f>
        <v/>
      </c>
    </row>
    <row r="129">
      <c r="A129" s="35">
        <f>IF($T129="","",INDEX(案件入力!$A$2:$A$301,$T129-1))</f>
        <v/>
      </c>
      <c r="B129" s="36">
        <f>IF($T129="","",INDEX(案件入力!$B$2:$B$301,$T129-1))</f>
        <v/>
      </c>
      <c r="C129" s="35">
        <f>IF($T129="","",INDEX(案件入力!$C$2:$C$301,$T129-1))</f>
        <v/>
      </c>
      <c r="D129" s="37">
        <f>IF($T129="","",INDEX(案件入力!$D$2:$D$301,$T129-1))</f>
        <v/>
      </c>
      <c r="E129" s="35">
        <f>IF($T129="","",INDEX(案件入力!$E$2:$E$301,$T129-1))</f>
        <v/>
      </c>
      <c r="F129" s="35">
        <f>IF($T129="","",INDEX(案件入力!$F$2:$F$301,$T129-1))</f>
        <v/>
      </c>
      <c r="G129" s="35">
        <f>IF($T129="","",INDEX(案件入力!$G$2:$G$301,$T129-1))</f>
        <v/>
      </c>
      <c r="H129" s="49">
        <f>IF($T129="","",INDEX(案件入力!$H$2:$H$301,$T129-1))</f>
        <v/>
      </c>
      <c r="I129" s="49">
        <f>IF($T129="","",INDEX(案件入力!$I$2:$I$301,$T129-1))</f>
        <v/>
      </c>
      <c r="J129" s="39">
        <f>IF($T129="","",INDEX(案件入力!$J$2:$J$301,$T129-1))</f>
        <v/>
      </c>
      <c r="K129" s="36">
        <f>IF($T129="","",INDEX(案件入力!$K$2:$K$301,$T129-1))</f>
        <v/>
      </c>
      <c r="L129" s="49">
        <f>IF($T129="","",INDEX(案件入力!$L$2:$L$301,$T129-1))</f>
        <v/>
      </c>
      <c r="M129" s="49">
        <f>IF($T129="","",INDEX(案件入力!$M$2:$M$301,$T129-1))</f>
        <v/>
      </c>
      <c r="N129" s="39">
        <f>IF($T129="","",INDEX(案件入力!$N$2:$N$301,$T129-1))</f>
        <v/>
      </c>
      <c r="O129" s="36">
        <f>IF($T129="","",INDEX(案件入力!$O$2:$O$301,$T129-1))</f>
        <v/>
      </c>
      <c r="P129" s="37">
        <f>IF($T129="","",INDEX(案件入力!$P$2:$P$301,$T129-1))</f>
        <v/>
      </c>
      <c r="Q129" s="35">
        <f>IF($T129="","",INDEX(案件入力!$Q$2:$Q$301,$T129-1))</f>
        <v/>
      </c>
      <c r="R129" s="35">
        <f>IF($T129="","",INDEX(案件入力!$R$2:$R$301,$T129-1))</f>
        <v/>
      </c>
      <c r="S129" s="35">
        <f>IF($T129="","",INDEX(案件入力!$S$2:$S$301,$T129-1))</f>
        <v/>
      </c>
      <c r="T129">
        <f t="array" ref="T129">IFERROR(SMALL(IF((案件入力!$A$2:$A$301&lt;&gt;"")*(案件入力!$R$2:$R$301&lt;&gt;"完了"),ROW(案件入力!$A$2:$A$301)),ROW()-1),"")</f>
        <v/>
      </c>
    </row>
    <row r="130">
      <c r="A130" s="35">
        <f>IF($T130="","",INDEX(案件入力!$A$2:$A$301,$T130-1))</f>
        <v/>
      </c>
      <c r="B130" s="36">
        <f>IF($T130="","",INDEX(案件入力!$B$2:$B$301,$T130-1))</f>
        <v/>
      </c>
      <c r="C130" s="35">
        <f>IF($T130="","",INDEX(案件入力!$C$2:$C$301,$T130-1))</f>
        <v/>
      </c>
      <c r="D130" s="37">
        <f>IF($T130="","",INDEX(案件入力!$D$2:$D$301,$T130-1))</f>
        <v/>
      </c>
      <c r="E130" s="35">
        <f>IF($T130="","",INDEX(案件入力!$E$2:$E$301,$T130-1))</f>
        <v/>
      </c>
      <c r="F130" s="35">
        <f>IF($T130="","",INDEX(案件入力!$F$2:$F$301,$T130-1))</f>
        <v/>
      </c>
      <c r="G130" s="35">
        <f>IF($T130="","",INDEX(案件入力!$G$2:$G$301,$T130-1))</f>
        <v/>
      </c>
      <c r="H130" s="49">
        <f>IF($T130="","",INDEX(案件入力!$H$2:$H$301,$T130-1))</f>
        <v/>
      </c>
      <c r="I130" s="49">
        <f>IF($T130="","",INDEX(案件入力!$I$2:$I$301,$T130-1))</f>
        <v/>
      </c>
      <c r="J130" s="39">
        <f>IF($T130="","",INDEX(案件入力!$J$2:$J$301,$T130-1))</f>
        <v/>
      </c>
      <c r="K130" s="36">
        <f>IF($T130="","",INDEX(案件入力!$K$2:$K$301,$T130-1))</f>
        <v/>
      </c>
      <c r="L130" s="49">
        <f>IF($T130="","",INDEX(案件入力!$L$2:$L$301,$T130-1))</f>
        <v/>
      </c>
      <c r="M130" s="49">
        <f>IF($T130="","",INDEX(案件入力!$M$2:$M$301,$T130-1))</f>
        <v/>
      </c>
      <c r="N130" s="39">
        <f>IF($T130="","",INDEX(案件入力!$N$2:$N$301,$T130-1))</f>
        <v/>
      </c>
      <c r="O130" s="36">
        <f>IF($T130="","",INDEX(案件入力!$O$2:$O$301,$T130-1))</f>
        <v/>
      </c>
      <c r="P130" s="37">
        <f>IF($T130="","",INDEX(案件入力!$P$2:$P$301,$T130-1))</f>
        <v/>
      </c>
      <c r="Q130" s="35">
        <f>IF($T130="","",INDEX(案件入力!$Q$2:$Q$301,$T130-1))</f>
        <v/>
      </c>
      <c r="R130" s="35">
        <f>IF($T130="","",INDEX(案件入力!$R$2:$R$301,$T130-1))</f>
        <v/>
      </c>
      <c r="S130" s="35">
        <f>IF($T130="","",INDEX(案件入力!$S$2:$S$301,$T130-1))</f>
        <v/>
      </c>
      <c r="T130">
        <f t="array" ref="T130">IFERROR(SMALL(IF((案件入力!$A$2:$A$301&lt;&gt;"")*(案件入力!$R$2:$R$301&lt;&gt;"完了"),ROW(案件入力!$A$2:$A$301)),ROW()-1),"")</f>
        <v/>
      </c>
    </row>
    <row r="131">
      <c r="A131" s="35">
        <f>IF($T131="","",INDEX(案件入力!$A$2:$A$301,$T131-1))</f>
        <v/>
      </c>
      <c r="B131" s="36">
        <f>IF($T131="","",INDEX(案件入力!$B$2:$B$301,$T131-1))</f>
        <v/>
      </c>
      <c r="C131" s="35">
        <f>IF($T131="","",INDEX(案件入力!$C$2:$C$301,$T131-1))</f>
        <v/>
      </c>
      <c r="D131" s="37">
        <f>IF($T131="","",INDEX(案件入力!$D$2:$D$301,$T131-1))</f>
        <v/>
      </c>
      <c r="E131" s="35">
        <f>IF($T131="","",INDEX(案件入力!$E$2:$E$301,$T131-1))</f>
        <v/>
      </c>
      <c r="F131" s="35">
        <f>IF($T131="","",INDEX(案件入力!$F$2:$F$301,$T131-1))</f>
        <v/>
      </c>
      <c r="G131" s="35">
        <f>IF($T131="","",INDEX(案件入力!$G$2:$G$301,$T131-1))</f>
        <v/>
      </c>
      <c r="H131" s="49">
        <f>IF($T131="","",INDEX(案件入力!$H$2:$H$301,$T131-1))</f>
        <v/>
      </c>
      <c r="I131" s="49">
        <f>IF($T131="","",INDEX(案件入力!$I$2:$I$301,$T131-1))</f>
        <v/>
      </c>
      <c r="J131" s="39">
        <f>IF($T131="","",INDEX(案件入力!$J$2:$J$301,$T131-1))</f>
        <v/>
      </c>
      <c r="K131" s="36">
        <f>IF($T131="","",INDEX(案件入力!$K$2:$K$301,$T131-1))</f>
        <v/>
      </c>
      <c r="L131" s="49">
        <f>IF($T131="","",INDEX(案件入力!$L$2:$L$301,$T131-1))</f>
        <v/>
      </c>
      <c r="M131" s="49">
        <f>IF($T131="","",INDEX(案件入力!$M$2:$M$301,$T131-1))</f>
        <v/>
      </c>
      <c r="N131" s="39">
        <f>IF($T131="","",INDEX(案件入力!$N$2:$N$301,$T131-1))</f>
        <v/>
      </c>
      <c r="O131" s="36">
        <f>IF($T131="","",INDEX(案件入力!$O$2:$O$301,$T131-1))</f>
        <v/>
      </c>
      <c r="P131" s="37">
        <f>IF($T131="","",INDEX(案件入力!$P$2:$P$301,$T131-1))</f>
        <v/>
      </c>
      <c r="Q131" s="35">
        <f>IF($T131="","",INDEX(案件入力!$Q$2:$Q$301,$T131-1))</f>
        <v/>
      </c>
      <c r="R131" s="35">
        <f>IF($T131="","",INDEX(案件入力!$R$2:$R$301,$T131-1))</f>
        <v/>
      </c>
      <c r="S131" s="35">
        <f>IF($T131="","",INDEX(案件入力!$S$2:$S$301,$T131-1))</f>
        <v/>
      </c>
      <c r="T131">
        <f t="array" ref="T131">IFERROR(SMALL(IF((案件入力!$A$2:$A$301&lt;&gt;"")*(案件入力!$R$2:$R$301&lt;&gt;"完了"),ROW(案件入力!$A$2:$A$301)),ROW()-1),"")</f>
        <v/>
      </c>
    </row>
    <row r="132">
      <c r="A132" s="35">
        <f>IF($T132="","",INDEX(案件入力!$A$2:$A$301,$T132-1))</f>
        <v/>
      </c>
      <c r="B132" s="36">
        <f>IF($T132="","",INDEX(案件入力!$B$2:$B$301,$T132-1))</f>
        <v/>
      </c>
      <c r="C132" s="35">
        <f>IF($T132="","",INDEX(案件入力!$C$2:$C$301,$T132-1))</f>
        <v/>
      </c>
      <c r="D132" s="37">
        <f>IF($T132="","",INDEX(案件入力!$D$2:$D$301,$T132-1))</f>
        <v/>
      </c>
      <c r="E132" s="35">
        <f>IF($T132="","",INDEX(案件入力!$E$2:$E$301,$T132-1))</f>
        <v/>
      </c>
      <c r="F132" s="35">
        <f>IF($T132="","",INDEX(案件入力!$F$2:$F$301,$T132-1))</f>
        <v/>
      </c>
      <c r="G132" s="35">
        <f>IF($T132="","",INDEX(案件入力!$G$2:$G$301,$T132-1))</f>
        <v/>
      </c>
      <c r="H132" s="49">
        <f>IF($T132="","",INDEX(案件入力!$H$2:$H$301,$T132-1))</f>
        <v/>
      </c>
      <c r="I132" s="49">
        <f>IF($T132="","",INDEX(案件入力!$I$2:$I$301,$T132-1))</f>
        <v/>
      </c>
      <c r="J132" s="39">
        <f>IF($T132="","",INDEX(案件入力!$J$2:$J$301,$T132-1))</f>
        <v/>
      </c>
      <c r="K132" s="36">
        <f>IF($T132="","",INDEX(案件入力!$K$2:$K$301,$T132-1))</f>
        <v/>
      </c>
      <c r="L132" s="49">
        <f>IF($T132="","",INDEX(案件入力!$L$2:$L$301,$T132-1))</f>
        <v/>
      </c>
      <c r="M132" s="49">
        <f>IF($T132="","",INDEX(案件入力!$M$2:$M$301,$T132-1))</f>
        <v/>
      </c>
      <c r="N132" s="39">
        <f>IF($T132="","",INDEX(案件入力!$N$2:$N$301,$T132-1))</f>
        <v/>
      </c>
      <c r="O132" s="36">
        <f>IF($T132="","",INDEX(案件入力!$O$2:$O$301,$T132-1))</f>
        <v/>
      </c>
      <c r="P132" s="37">
        <f>IF($T132="","",INDEX(案件入力!$P$2:$P$301,$T132-1))</f>
        <v/>
      </c>
      <c r="Q132" s="35">
        <f>IF($T132="","",INDEX(案件入力!$Q$2:$Q$301,$T132-1))</f>
        <v/>
      </c>
      <c r="R132" s="35">
        <f>IF($T132="","",INDEX(案件入力!$R$2:$R$301,$T132-1))</f>
        <v/>
      </c>
      <c r="S132" s="35">
        <f>IF($T132="","",INDEX(案件入力!$S$2:$S$301,$T132-1))</f>
        <v/>
      </c>
      <c r="T132">
        <f t="array" ref="T132">IFERROR(SMALL(IF((案件入力!$A$2:$A$301&lt;&gt;"")*(案件入力!$R$2:$R$301&lt;&gt;"完了"),ROW(案件入力!$A$2:$A$301)),ROW()-1),"")</f>
        <v/>
      </c>
    </row>
    <row r="133">
      <c r="A133" s="35">
        <f>IF($T133="","",INDEX(案件入力!$A$2:$A$301,$T133-1))</f>
        <v/>
      </c>
      <c r="B133" s="36">
        <f>IF($T133="","",INDEX(案件入力!$B$2:$B$301,$T133-1))</f>
        <v/>
      </c>
      <c r="C133" s="35">
        <f>IF($T133="","",INDEX(案件入力!$C$2:$C$301,$T133-1))</f>
        <v/>
      </c>
      <c r="D133" s="37">
        <f>IF($T133="","",INDEX(案件入力!$D$2:$D$301,$T133-1))</f>
        <v/>
      </c>
      <c r="E133" s="35">
        <f>IF($T133="","",INDEX(案件入力!$E$2:$E$301,$T133-1))</f>
        <v/>
      </c>
      <c r="F133" s="35">
        <f>IF($T133="","",INDEX(案件入力!$F$2:$F$301,$T133-1))</f>
        <v/>
      </c>
      <c r="G133" s="35">
        <f>IF($T133="","",INDEX(案件入力!$G$2:$G$301,$T133-1))</f>
        <v/>
      </c>
      <c r="H133" s="49">
        <f>IF($T133="","",INDEX(案件入力!$H$2:$H$301,$T133-1))</f>
        <v/>
      </c>
      <c r="I133" s="49">
        <f>IF($T133="","",INDEX(案件入力!$I$2:$I$301,$T133-1))</f>
        <v/>
      </c>
      <c r="J133" s="39">
        <f>IF($T133="","",INDEX(案件入力!$J$2:$J$301,$T133-1))</f>
        <v/>
      </c>
      <c r="K133" s="36">
        <f>IF($T133="","",INDEX(案件入力!$K$2:$K$301,$T133-1))</f>
        <v/>
      </c>
      <c r="L133" s="49">
        <f>IF($T133="","",INDEX(案件入力!$L$2:$L$301,$T133-1))</f>
        <v/>
      </c>
      <c r="M133" s="49">
        <f>IF($T133="","",INDEX(案件入力!$M$2:$M$301,$T133-1))</f>
        <v/>
      </c>
      <c r="N133" s="39">
        <f>IF($T133="","",INDEX(案件入力!$N$2:$N$301,$T133-1))</f>
        <v/>
      </c>
      <c r="O133" s="36">
        <f>IF($T133="","",INDEX(案件入力!$O$2:$O$301,$T133-1))</f>
        <v/>
      </c>
      <c r="P133" s="37">
        <f>IF($T133="","",INDEX(案件入力!$P$2:$P$301,$T133-1))</f>
        <v/>
      </c>
      <c r="Q133" s="35">
        <f>IF($T133="","",INDEX(案件入力!$Q$2:$Q$301,$T133-1))</f>
        <v/>
      </c>
      <c r="R133" s="35">
        <f>IF($T133="","",INDEX(案件入力!$R$2:$R$301,$T133-1))</f>
        <v/>
      </c>
      <c r="S133" s="35">
        <f>IF($T133="","",INDEX(案件入力!$S$2:$S$301,$T133-1))</f>
        <v/>
      </c>
      <c r="T133">
        <f t="array" ref="T133">IFERROR(SMALL(IF((案件入力!$A$2:$A$301&lt;&gt;"")*(案件入力!$R$2:$R$301&lt;&gt;"完了"),ROW(案件入力!$A$2:$A$301)),ROW()-1),"")</f>
        <v/>
      </c>
    </row>
    <row r="134">
      <c r="A134" s="35">
        <f>IF($T134="","",INDEX(案件入力!$A$2:$A$301,$T134-1))</f>
        <v/>
      </c>
      <c r="B134" s="36">
        <f>IF($T134="","",INDEX(案件入力!$B$2:$B$301,$T134-1))</f>
        <v/>
      </c>
      <c r="C134" s="35">
        <f>IF($T134="","",INDEX(案件入力!$C$2:$C$301,$T134-1))</f>
        <v/>
      </c>
      <c r="D134" s="37">
        <f>IF($T134="","",INDEX(案件入力!$D$2:$D$301,$T134-1))</f>
        <v/>
      </c>
      <c r="E134" s="35">
        <f>IF($T134="","",INDEX(案件入力!$E$2:$E$301,$T134-1))</f>
        <v/>
      </c>
      <c r="F134" s="35">
        <f>IF($T134="","",INDEX(案件入力!$F$2:$F$301,$T134-1))</f>
        <v/>
      </c>
      <c r="G134" s="35">
        <f>IF($T134="","",INDEX(案件入力!$G$2:$G$301,$T134-1))</f>
        <v/>
      </c>
      <c r="H134" s="49">
        <f>IF($T134="","",INDEX(案件入力!$H$2:$H$301,$T134-1))</f>
        <v/>
      </c>
      <c r="I134" s="49">
        <f>IF($T134="","",INDEX(案件入力!$I$2:$I$301,$T134-1))</f>
        <v/>
      </c>
      <c r="J134" s="39">
        <f>IF($T134="","",INDEX(案件入力!$J$2:$J$301,$T134-1))</f>
        <v/>
      </c>
      <c r="K134" s="36">
        <f>IF($T134="","",INDEX(案件入力!$K$2:$K$301,$T134-1))</f>
        <v/>
      </c>
      <c r="L134" s="49">
        <f>IF($T134="","",INDEX(案件入力!$L$2:$L$301,$T134-1))</f>
        <v/>
      </c>
      <c r="M134" s="49">
        <f>IF($T134="","",INDEX(案件入力!$M$2:$M$301,$T134-1))</f>
        <v/>
      </c>
      <c r="N134" s="39">
        <f>IF($T134="","",INDEX(案件入力!$N$2:$N$301,$T134-1))</f>
        <v/>
      </c>
      <c r="O134" s="36">
        <f>IF($T134="","",INDEX(案件入力!$O$2:$O$301,$T134-1))</f>
        <v/>
      </c>
      <c r="P134" s="37">
        <f>IF($T134="","",INDEX(案件入力!$P$2:$P$301,$T134-1))</f>
        <v/>
      </c>
      <c r="Q134" s="35">
        <f>IF($T134="","",INDEX(案件入力!$Q$2:$Q$301,$T134-1))</f>
        <v/>
      </c>
      <c r="R134" s="35">
        <f>IF($T134="","",INDEX(案件入力!$R$2:$R$301,$T134-1))</f>
        <v/>
      </c>
      <c r="S134" s="35">
        <f>IF($T134="","",INDEX(案件入力!$S$2:$S$301,$T134-1))</f>
        <v/>
      </c>
      <c r="T134">
        <f t="array" ref="T134">IFERROR(SMALL(IF((案件入力!$A$2:$A$301&lt;&gt;"")*(案件入力!$R$2:$R$301&lt;&gt;"完了"),ROW(案件入力!$A$2:$A$301)),ROW()-1),"")</f>
        <v/>
      </c>
    </row>
    <row r="135">
      <c r="A135" s="35">
        <f>IF($T135="","",INDEX(案件入力!$A$2:$A$301,$T135-1))</f>
        <v/>
      </c>
      <c r="B135" s="36">
        <f>IF($T135="","",INDEX(案件入力!$B$2:$B$301,$T135-1))</f>
        <v/>
      </c>
      <c r="C135" s="35">
        <f>IF($T135="","",INDEX(案件入力!$C$2:$C$301,$T135-1))</f>
        <v/>
      </c>
      <c r="D135" s="37">
        <f>IF($T135="","",INDEX(案件入力!$D$2:$D$301,$T135-1))</f>
        <v/>
      </c>
      <c r="E135" s="35">
        <f>IF($T135="","",INDEX(案件入力!$E$2:$E$301,$T135-1))</f>
        <v/>
      </c>
      <c r="F135" s="35">
        <f>IF($T135="","",INDEX(案件入力!$F$2:$F$301,$T135-1))</f>
        <v/>
      </c>
      <c r="G135" s="35">
        <f>IF($T135="","",INDEX(案件入力!$G$2:$G$301,$T135-1))</f>
        <v/>
      </c>
      <c r="H135" s="49">
        <f>IF($T135="","",INDEX(案件入力!$H$2:$H$301,$T135-1))</f>
        <v/>
      </c>
      <c r="I135" s="49">
        <f>IF($T135="","",INDEX(案件入力!$I$2:$I$301,$T135-1))</f>
        <v/>
      </c>
      <c r="J135" s="39">
        <f>IF($T135="","",INDEX(案件入力!$J$2:$J$301,$T135-1))</f>
        <v/>
      </c>
      <c r="K135" s="36">
        <f>IF($T135="","",INDEX(案件入力!$K$2:$K$301,$T135-1))</f>
        <v/>
      </c>
      <c r="L135" s="49">
        <f>IF($T135="","",INDEX(案件入力!$L$2:$L$301,$T135-1))</f>
        <v/>
      </c>
      <c r="M135" s="49">
        <f>IF($T135="","",INDEX(案件入力!$M$2:$M$301,$T135-1))</f>
        <v/>
      </c>
      <c r="N135" s="39">
        <f>IF($T135="","",INDEX(案件入力!$N$2:$N$301,$T135-1))</f>
        <v/>
      </c>
      <c r="O135" s="36">
        <f>IF($T135="","",INDEX(案件入力!$O$2:$O$301,$T135-1))</f>
        <v/>
      </c>
      <c r="P135" s="37">
        <f>IF($T135="","",INDEX(案件入力!$P$2:$P$301,$T135-1))</f>
        <v/>
      </c>
      <c r="Q135" s="35">
        <f>IF($T135="","",INDEX(案件入力!$Q$2:$Q$301,$T135-1))</f>
        <v/>
      </c>
      <c r="R135" s="35">
        <f>IF($T135="","",INDEX(案件入力!$R$2:$R$301,$T135-1))</f>
        <v/>
      </c>
      <c r="S135" s="35">
        <f>IF($T135="","",INDEX(案件入力!$S$2:$S$301,$T135-1))</f>
        <v/>
      </c>
      <c r="T135">
        <f t="array" ref="T135">IFERROR(SMALL(IF((案件入力!$A$2:$A$301&lt;&gt;"")*(案件入力!$R$2:$R$301&lt;&gt;"完了"),ROW(案件入力!$A$2:$A$301)),ROW()-1),"")</f>
        <v/>
      </c>
    </row>
    <row r="136">
      <c r="A136" s="35">
        <f>IF($T136="","",INDEX(案件入力!$A$2:$A$301,$T136-1))</f>
        <v/>
      </c>
      <c r="B136" s="36">
        <f>IF($T136="","",INDEX(案件入力!$B$2:$B$301,$T136-1))</f>
        <v/>
      </c>
      <c r="C136" s="35">
        <f>IF($T136="","",INDEX(案件入力!$C$2:$C$301,$T136-1))</f>
        <v/>
      </c>
      <c r="D136" s="37">
        <f>IF($T136="","",INDEX(案件入力!$D$2:$D$301,$T136-1))</f>
        <v/>
      </c>
      <c r="E136" s="35">
        <f>IF($T136="","",INDEX(案件入力!$E$2:$E$301,$T136-1))</f>
        <v/>
      </c>
      <c r="F136" s="35">
        <f>IF($T136="","",INDEX(案件入力!$F$2:$F$301,$T136-1))</f>
        <v/>
      </c>
      <c r="G136" s="35">
        <f>IF($T136="","",INDEX(案件入力!$G$2:$G$301,$T136-1))</f>
        <v/>
      </c>
      <c r="H136" s="49">
        <f>IF($T136="","",INDEX(案件入力!$H$2:$H$301,$T136-1))</f>
        <v/>
      </c>
      <c r="I136" s="49">
        <f>IF($T136="","",INDEX(案件入力!$I$2:$I$301,$T136-1))</f>
        <v/>
      </c>
      <c r="J136" s="39">
        <f>IF($T136="","",INDEX(案件入力!$J$2:$J$301,$T136-1))</f>
        <v/>
      </c>
      <c r="K136" s="36">
        <f>IF($T136="","",INDEX(案件入力!$K$2:$K$301,$T136-1))</f>
        <v/>
      </c>
      <c r="L136" s="49">
        <f>IF($T136="","",INDEX(案件入力!$L$2:$L$301,$T136-1))</f>
        <v/>
      </c>
      <c r="M136" s="49">
        <f>IF($T136="","",INDEX(案件入力!$M$2:$M$301,$T136-1))</f>
        <v/>
      </c>
      <c r="N136" s="39">
        <f>IF($T136="","",INDEX(案件入力!$N$2:$N$301,$T136-1))</f>
        <v/>
      </c>
      <c r="O136" s="36">
        <f>IF($T136="","",INDEX(案件入力!$O$2:$O$301,$T136-1))</f>
        <v/>
      </c>
      <c r="P136" s="37">
        <f>IF($T136="","",INDEX(案件入力!$P$2:$P$301,$T136-1))</f>
        <v/>
      </c>
      <c r="Q136" s="35">
        <f>IF($T136="","",INDEX(案件入力!$Q$2:$Q$301,$T136-1))</f>
        <v/>
      </c>
      <c r="R136" s="35">
        <f>IF($T136="","",INDEX(案件入力!$R$2:$R$301,$T136-1))</f>
        <v/>
      </c>
      <c r="S136" s="35">
        <f>IF($T136="","",INDEX(案件入力!$S$2:$S$301,$T136-1))</f>
        <v/>
      </c>
      <c r="T136">
        <f t="array" ref="T136">IFERROR(SMALL(IF((案件入力!$A$2:$A$301&lt;&gt;"")*(案件入力!$R$2:$R$301&lt;&gt;"完了"),ROW(案件入力!$A$2:$A$301)),ROW()-1),"")</f>
        <v/>
      </c>
    </row>
    <row r="137">
      <c r="A137" s="35">
        <f>IF($T137="","",INDEX(案件入力!$A$2:$A$301,$T137-1))</f>
        <v/>
      </c>
      <c r="B137" s="36">
        <f>IF($T137="","",INDEX(案件入力!$B$2:$B$301,$T137-1))</f>
        <v/>
      </c>
      <c r="C137" s="35">
        <f>IF($T137="","",INDEX(案件入力!$C$2:$C$301,$T137-1))</f>
        <v/>
      </c>
      <c r="D137" s="37">
        <f>IF($T137="","",INDEX(案件入力!$D$2:$D$301,$T137-1))</f>
        <v/>
      </c>
      <c r="E137" s="35">
        <f>IF($T137="","",INDEX(案件入力!$E$2:$E$301,$T137-1))</f>
        <v/>
      </c>
      <c r="F137" s="35">
        <f>IF($T137="","",INDEX(案件入力!$F$2:$F$301,$T137-1))</f>
        <v/>
      </c>
      <c r="G137" s="35">
        <f>IF($T137="","",INDEX(案件入力!$G$2:$G$301,$T137-1))</f>
        <v/>
      </c>
      <c r="H137" s="49">
        <f>IF($T137="","",INDEX(案件入力!$H$2:$H$301,$T137-1))</f>
        <v/>
      </c>
      <c r="I137" s="49">
        <f>IF($T137="","",INDEX(案件入力!$I$2:$I$301,$T137-1))</f>
        <v/>
      </c>
      <c r="J137" s="39">
        <f>IF($T137="","",INDEX(案件入力!$J$2:$J$301,$T137-1))</f>
        <v/>
      </c>
      <c r="K137" s="36">
        <f>IF($T137="","",INDEX(案件入力!$K$2:$K$301,$T137-1))</f>
        <v/>
      </c>
      <c r="L137" s="49">
        <f>IF($T137="","",INDEX(案件入力!$L$2:$L$301,$T137-1))</f>
        <v/>
      </c>
      <c r="M137" s="49">
        <f>IF($T137="","",INDEX(案件入力!$M$2:$M$301,$T137-1))</f>
        <v/>
      </c>
      <c r="N137" s="39">
        <f>IF($T137="","",INDEX(案件入力!$N$2:$N$301,$T137-1))</f>
        <v/>
      </c>
      <c r="O137" s="36">
        <f>IF($T137="","",INDEX(案件入力!$O$2:$O$301,$T137-1))</f>
        <v/>
      </c>
      <c r="P137" s="37">
        <f>IF($T137="","",INDEX(案件入力!$P$2:$P$301,$T137-1))</f>
        <v/>
      </c>
      <c r="Q137" s="35">
        <f>IF($T137="","",INDEX(案件入力!$Q$2:$Q$301,$T137-1))</f>
        <v/>
      </c>
      <c r="R137" s="35">
        <f>IF($T137="","",INDEX(案件入力!$R$2:$R$301,$T137-1))</f>
        <v/>
      </c>
      <c r="S137" s="35">
        <f>IF($T137="","",INDEX(案件入力!$S$2:$S$301,$T137-1))</f>
        <v/>
      </c>
      <c r="T137">
        <f t="array" ref="T137">IFERROR(SMALL(IF((案件入力!$A$2:$A$301&lt;&gt;"")*(案件入力!$R$2:$R$301&lt;&gt;"完了"),ROW(案件入力!$A$2:$A$301)),ROW()-1),"")</f>
        <v/>
      </c>
    </row>
    <row r="138">
      <c r="A138" s="35">
        <f>IF($T138="","",INDEX(案件入力!$A$2:$A$301,$T138-1))</f>
        <v/>
      </c>
      <c r="B138" s="36">
        <f>IF($T138="","",INDEX(案件入力!$B$2:$B$301,$T138-1))</f>
        <v/>
      </c>
      <c r="C138" s="35">
        <f>IF($T138="","",INDEX(案件入力!$C$2:$C$301,$T138-1))</f>
        <v/>
      </c>
      <c r="D138" s="37">
        <f>IF($T138="","",INDEX(案件入力!$D$2:$D$301,$T138-1))</f>
        <v/>
      </c>
      <c r="E138" s="35">
        <f>IF($T138="","",INDEX(案件入力!$E$2:$E$301,$T138-1))</f>
        <v/>
      </c>
      <c r="F138" s="35">
        <f>IF($T138="","",INDEX(案件入力!$F$2:$F$301,$T138-1))</f>
        <v/>
      </c>
      <c r="G138" s="35">
        <f>IF($T138="","",INDEX(案件入力!$G$2:$G$301,$T138-1))</f>
        <v/>
      </c>
      <c r="H138" s="49">
        <f>IF($T138="","",INDEX(案件入力!$H$2:$H$301,$T138-1))</f>
        <v/>
      </c>
      <c r="I138" s="49">
        <f>IF($T138="","",INDEX(案件入力!$I$2:$I$301,$T138-1))</f>
        <v/>
      </c>
      <c r="J138" s="39">
        <f>IF($T138="","",INDEX(案件入力!$J$2:$J$301,$T138-1))</f>
        <v/>
      </c>
      <c r="K138" s="36">
        <f>IF($T138="","",INDEX(案件入力!$K$2:$K$301,$T138-1))</f>
        <v/>
      </c>
      <c r="L138" s="49">
        <f>IF($T138="","",INDEX(案件入力!$L$2:$L$301,$T138-1))</f>
        <v/>
      </c>
      <c r="M138" s="49">
        <f>IF($T138="","",INDEX(案件入力!$M$2:$M$301,$T138-1))</f>
        <v/>
      </c>
      <c r="N138" s="39">
        <f>IF($T138="","",INDEX(案件入力!$N$2:$N$301,$T138-1))</f>
        <v/>
      </c>
      <c r="O138" s="36">
        <f>IF($T138="","",INDEX(案件入力!$O$2:$O$301,$T138-1))</f>
        <v/>
      </c>
      <c r="P138" s="37">
        <f>IF($T138="","",INDEX(案件入力!$P$2:$P$301,$T138-1))</f>
        <v/>
      </c>
      <c r="Q138" s="35">
        <f>IF($T138="","",INDEX(案件入力!$Q$2:$Q$301,$T138-1))</f>
        <v/>
      </c>
      <c r="R138" s="35">
        <f>IF($T138="","",INDEX(案件入力!$R$2:$R$301,$T138-1))</f>
        <v/>
      </c>
      <c r="S138" s="35">
        <f>IF($T138="","",INDEX(案件入力!$S$2:$S$301,$T138-1))</f>
        <v/>
      </c>
      <c r="T138">
        <f t="array" ref="T138">IFERROR(SMALL(IF((案件入力!$A$2:$A$301&lt;&gt;"")*(案件入力!$R$2:$R$301&lt;&gt;"完了"),ROW(案件入力!$A$2:$A$301)),ROW()-1),"")</f>
        <v/>
      </c>
    </row>
    <row r="139">
      <c r="A139" s="35">
        <f>IF($T139="","",INDEX(案件入力!$A$2:$A$301,$T139-1))</f>
        <v/>
      </c>
      <c r="B139" s="36">
        <f>IF($T139="","",INDEX(案件入力!$B$2:$B$301,$T139-1))</f>
        <v/>
      </c>
      <c r="C139" s="35">
        <f>IF($T139="","",INDEX(案件入力!$C$2:$C$301,$T139-1))</f>
        <v/>
      </c>
      <c r="D139" s="37">
        <f>IF($T139="","",INDEX(案件入力!$D$2:$D$301,$T139-1))</f>
        <v/>
      </c>
      <c r="E139" s="35">
        <f>IF($T139="","",INDEX(案件入力!$E$2:$E$301,$T139-1))</f>
        <v/>
      </c>
      <c r="F139" s="35">
        <f>IF($T139="","",INDEX(案件入力!$F$2:$F$301,$T139-1))</f>
        <v/>
      </c>
      <c r="G139" s="35">
        <f>IF($T139="","",INDEX(案件入力!$G$2:$G$301,$T139-1))</f>
        <v/>
      </c>
      <c r="H139" s="49">
        <f>IF($T139="","",INDEX(案件入力!$H$2:$H$301,$T139-1))</f>
        <v/>
      </c>
      <c r="I139" s="49">
        <f>IF($T139="","",INDEX(案件入力!$I$2:$I$301,$T139-1))</f>
        <v/>
      </c>
      <c r="J139" s="39">
        <f>IF($T139="","",INDEX(案件入力!$J$2:$J$301,$T139-1))</f>
        <v/>
      </c>
      <c r="K139" s="36">
        <f>IF($T139="","",INDEX(案件入力!$K$2:$K$301,$T139-1))</f>
        <v/>
      </c>
      <c r="L139" s="49">
        <f>IF($T139="","",INDEX(案件入力!$L$2:$L$301,$T139-1))</f>
        <v/>
      </c>
      <c r="M139" s="49">
        <f>IF($T139="","",INDEX(案件入力!$M$2:$M$301,$T139-1))</f>
        <v/>
      </c>
      <c r="N139" s="39">
        <f>IF($T139="","",INDEX(案件入力!$N$2:$N$301,$T139-1))</f>
        <v/>
      </c>
      <c r="O139" s="36">
        <f>IF($T139="","",INDEX(案件入力!$O$2:$O$301,$T139-1))</f>
        <v/>
      </c>
      <c r="P139" s="37">
        <f>IF($T139="","",INDEX(案件入力!$P$2:$P$301,$T139-1))</f>
        <v/>
      </c>
      <c r="Q139" s="35">
        <f>IF($T139="","",INDEX(案件入力!$Q$2:$Q$301,$T139-1))</f>
        <v/>
      </c>
      <c r="R139" s="35">
        <f>IF($T139="","",INDEX(案件入力!$R$2:$R$301,$T139-1))</f>
        <v/>
      </c>
      <c r="S139" s="35">
        <f>IF($T139="","",INDEX(案件入力!$S$2:$S$301,$T139-1))</f>
        <v/>
      </c>
      <c r="T139">
        <f t="array" ref="T139">IFERROR(SMALL(IF((案件入力!$A$2:$A$301&lt;&gt;"")*(案件入力!$R$2:$R$301&lt;&gt;"完了"),ROW(案件入力!$A$2:$A$301)),ROW()-1),"")</f>
        <v/>
      </c>
    </row>
    <row r="140">
      <c r="A140" s="35">
        <f>IF($T140="","",INDEX(案件入力!$A$2:$A$301,$T140-1))</f>
        <v/>
      </c>
      <c r="B140" s="36">
        <f>IF($T140="","",INDEX(案件入力!$B$2:$B$301,$T140-1))</f>
        <v/>
      </c>
      <c r="C140" s="35">
        <f>IF($T140="","",INDEX(案件入力!$C$2:$C$301,$T140-1))</f>
        <v/>
      </c>
      <c r="D140" s="37">
        <f>IF($T140="","",INDEX(案件入力!$D$2:$D$301,$T140-1))</f>
        <v/>
      </c>
      <c r="E140" s="35">
        <f>IF($T140="","",INDEX(案件入力!$E$2:$E$301,$T140-1))</f>
        <v/>
      </c>
      <c r="F140" s="35">
        <f>IF($T140="","",INDEX(案件入力!$F$2:$F$301,$T140-1))</f>
        <v/>
      </c>
      <c r="G140" s="35">
        <f>IF($T140="","",INDEX(案件入力!$G$2:$G$301,$T140-1))</f>
        <v/>
      </c>
      <c r="H140" s="49">
        <f>IF($T140="","",INDEX(案件入力!$H$2:$H$301,$T140-1))</f>
        <v/>
      </c>
      <c r="I140" s="49">
        <f>IF($T140="","",INDEX(案件入力!$I$2:$I$301,$T140-1))</f>
        <v/>
      </c>
      <c r="J140" s="39">
        <f>IF($T140="","",INDEX(案件入力!$J$2:$J$301,$T140-1))</f>
        <v/>
      </c>
      <c r="K140" s="36">
        <f>IF($T140="","",INDEX(案件入力!$K$2:$K$301,$T140-1))</f>
        <v/>
      </c>
      <c r="L140" s="49">
        <f>IF($T140="","",INDEX(案件入力!$L$2:$L$301,$T140-1))</f>
        <v/>
      </c>
      <c r="M140" s="49">
        <f>IF($T140="","",INDEX(案件入力!$M$2:$M$301,$T140-1))</f>
        <v/>
      </c>
      <c r="N140" s="39">
        <f>IF($T140="","",INDEX(案件入力!$N$2:$N$301,$T140-1))</f>
        <v/>
      </c>
      <c r="O140" s="36">
        <f>IF($T140="","",INDEX(案件入力!$O$2:$O$301,$T140-1))</f>
        <v/>
      </c>
      <c r="P140" s="37">
        <f>IF($T140="","",INDEX(案件入力!$P$2:$P$301,$T140-1))</f>
        <v/>
      </c>
      <c r="Q140" s="35">
        <f>IF($T140="","",INDEX(案件入力!$Q$2:$Q$301,$T140-1))</f>
        <v/>
      </c>
      <c r="R140" s="35">
        <f>IF($T140="","",INDEX(案件入力!$R$2:$R$301,$T140-1))</f>
        <v/>
      </c>
      <c r="S140" s="35">
        <f>IF($T140="","",INDEX(案件入力!$S$2:$S$301,$T140-1))</f>
        <v/>
      </c>
      <c r="T140">
        <f t="array" ref="T140">IFERROR(SMALL(IF((案件入力!$A$2:$A$301&lt;&gt;"")*(案件入力!$R$2:$R$301&lt;&gt;"完了"),ROW(案件入力!$A$2:$A$301)),ROW()-1),"")</f>
        <v/>
      </c>
    </row>
    <row r="141">
      <c r="A141" s="35">
        <f>IF($T141="","",INDEX(案件入力!$A$2:$A$301,$T141-1))</f>
        <v/>
      </c>
      <c r="B141" s="36">
        <f>IF($T141="","",INDEX(案件入力!$B$2:$B$301,$T141-1))</f>
        <v/>
      </c>
      <c r="C141" s="35">
        <f>IF($T141="","",INDEX(案件入力!$C$2:$C$301,$T141-1))</f>
        <v/>
      </c>
      <c r="D141" s="37">
        <f>IF($T141="","",INDEX(案件入力!$D$2:$D$301,$T141-1))</f>
        <v/>
      </c>
      <c r="E141" s="35">
        <f>IF($T141="","",INDEX(案件入力!$E$2:$E$301,$T141-1))</f>
        <v/>
      </c>
      <c r="F141" s="35">
        <f>IF($T141="","",INDEX(案件入力!$F$2:$F$301,$T141-1))</f>
        <v/>
      </c>
      <c r="G141" s="35">
        <f>IF($T141="","",INDEX(案件入力!$G$2:$G$301,$T141-1))</f>
        <v/>
      </c>
      <c r="H141" s="49">
        <f>IF($T141="","",INDEX(案件入力!$H$2:$H$301,$T141-1))</f>
        <v/>
      </c>
      <c r="I141" s="49">
        <f>IF($T141="","",INDEX(案件入力!$I$2:$I$301,$T141-1))</f>
        <v/>
      </c>
      <c r="J141" s="39">
        <f>IF($T141="","",INDEX(案件入力!$J$2:$J$301,$T141-1))</f>
        <v/>
      </c>
      <c r="K141" s="36">
        <f>IF($T141="","",INDEX(案件入力!$K$2:$K$301,$T141-1))</f>
        <v/>
      </c>
      <c r="L141" s="49">
        <f>IF($T141="","",INDEX(案件入力!$L$2:$L$301,$T141-1))</f>
        <v/>
      </c>
      <c r="M141" s="49">
        <f>IF($T141="","",INDEX(案件入力!$M$2:$M$301,$T141-1))</f>
        <v/>
      </c>
      <c r="N141" s="39">
        <f>IF($T141="","",INDEX(案件入力!$N$2:$N$301,$T141-1))</f>
        <v/>
      </c>
      <c r="O141" s="36">
        <f>IF($T141="","",INDEX(案件入力!$O$2:$O$301,$T141-1))</f>
        <v/>
      </c>
      <c r="P141" s="37">
        <f>IF($T141="","",INDEX(案件入力!$P$2:$P$301,$T141-1))</f>
        <v/>
      </c>
      <c r="Q141" s="35">
        <f>IF($T141="","",INDEX(案件入力!$Q$2:$Q$301,$T141-1))</f>
        <v/>
      </c>
      <c r="R141" s="35">
        <f>IF($T141="","",INDEX(案件入力!$R$2:$R$301,$T141-1))</f>
        <v/>
      </c>
      <c r="S141" s="35">
        <f>IF($T141="","",INDEX(案件入力!$S$2:$S$301,$T141-1))</f>
        <v/>
      </c>
      <c r="T141">
        <f t="array" ref="T141">IFERROR(SMALL(IF((案件入力!$A$2:$A$301&lt;&gt;"")*(案件入力!$R$2:$R$301&lt;&gt;"完了"),ROW(案件入力!$A$2:$A$301)),ROW()-1),"")</f>
        <v/>
      </c>
    </row>
    <row r="142">
      <c r="A142" s="35">
        <f>IF($T142="","",INDEX(案件入力!$A$2:$A$301,$T142-1))</f>
        <v/>
      </c>
      <c r="B142" s="36">
        <f>IF($T142="","",INDEX(案件入力!$B$2:$B$301,$T142-1))</f>
        <v/>
      </c>
      <c r="C142" s="35">
        <f>IF($T142="","",INDEX(案件入力!$C$2:$C$301,$T142-1))</f>
        <v/>
      </c>
      <c r="D142" s="37">
        <f>IF($T142="","",INDEX(案件入力!$D$2:$D$301,$T142-1))</f>
        <v/>
      </c>
      <c r="E142" s="35">
        <f>IF($T142="","",INDEX(案件入力!$E$2:$E$301,$T142-1))</f>
        <v/>
      </c>
      <c r="F142" s="35">
        <f>IF($T142="","",INDEX(案件入力!$F$2:$F$301,$T142-1))</f>
        <v/>
      </c>
      <c r="G142" s="35">
        <f>IF($T142="","",INDEX(案件入力!$G$2:$G$301,$T142-1))</f>
        <v/>
      </c>
      <c r="H142" s="49">
        <f>IF($T142="","",INDEX(案件入力!$H$2:$H$301,$T142-1))</f>
        <v/>
      </c>
      <c r="I142" s="49">
        <f>IF($T142="","",INDEX(案件入力!$I$2:$I$301,$T142-1))</f>
        <v/>
      </c>
      <c r="J142" s="39">
        <f>IF($T142="","",INDEX(案件入力!$J$2:$J$301,$T142-1))</f>
        <v/>
      </c>
      <c r="K142" s="36">
        <f>IF($T142="","",INDEX(案件入力!$K$2:$K$301,$T142-1))</f>
        <v/>
      </c>
      <c r="L142" s="49">
        <f>IF($T142="","",INDEX(案件入力!$L$2:$L$301,$T142-1))</f>
        <v/>
      </c>
      <c r="M142" s="49">
        <f>IF($T142="","",INDEX(案件入力!$M$2:$M$301,$T142-1))</f>
        <v/>
      </c>
      <c r="N142" s="39">
        <f>IF($T142="","",INDEX(案件入力!$N$2:$N$301,$T142-1))</f>
        <v/>
      </c>
      <c r="O142" s="36">
        <f>IF($T142="","",INDEX(案件入力!$O$2:$O$301,$T142-1))</f>
        <v/>
      </c>
      <c r="P142" s="37">
        <f>IF($T142="","",INDEX(案件入力!$P$2:$P$301,$T142-1))</f>
        <v/>
      </c>
      <c r="Q142" s="35">
        <f>IF($T142="","",INDEX(案件入力!$Q$2:$Q$301,$T142-1))</f>
        <v/>
      </c>
      <c r="R142" s="35">
        <f>IF($T142="","",INDEX(案件入力!$R$2:$R$301,$T142-1))</f>
        <v/>
      </c>
      <c r="S142" s="35">
        <f>IF($T142="","",INDEX(案件入力!$S$2:$S$301,$T142-1))</f>
        <v/>
      </c>
      <c r="T142">
        <f t="array" ref="T142">IFERROR(SMALL(IF((案件入力!$A$2:$A$301&lt;&gt;"")*(案件入力!$R$2:$R$301&lt;&gt;"完了"),ROW(案件入力!$A$2:$A$301)),ROW()-1),"")</f>
        <v/>
      </c>
    </row>
    <row r="143">
      <c r="A143" s="35">
        <f>IF($T143="","",INDEX(案件入力!$A$2:$A$301,$T143-1))</f>
        <v/>
      </c>
      <c r="B143" s="36">
        <f>IF($T143="","",INDEX(案件入力!$B$2:$B$301,$T143-1))</f>
        <v/>
      </c>
      <c r="C143" s="35">
        <f>IF($T143="","",INDEX(案件入力!$C$2:$C$301,$T143-1))</f>
        <v/>
      </c>
      <c r="D143" s="37">
        <f>IF($T143="","",INDEX(案件入力!$D$2:$D$301,$T143-1))</f>
        <v/>
      </c>
      <c r="E143" s="35">
        <f>IF($T143="","",INDEX(案件入力!$E$2:$E$301,$T143-1))</f>
        <v/>
      </c>
      <c r="F143" s="35">
        <f>IF($T143="","",INDEX(案件入力!$F$2:$F$301,$T143-1))</f>
        <v/>
      </c>
      <c r="G143" s="35">
        <f>IF($T143="","",INDEX(案件入力!$G$2:$G$301,$T143-1))</f>
        <v/>
      </c>
      <c r="H143" s="49">
        <f>IF($T143="","",INDEX(案件入力!$H$2:$H$301,$T143-1))</f>
        <v/>
      </c>
      <c r="I143" s="49">
        <f>IF($T143="","",INDEX(案件入力!$I$2:$I$301,$T143-1))</f>
        <v/>
      </c>
      <c r="J143" s="39">
        <f>IF($T143="","",INDEX(案件入力!$J$2:$J$301,$T143-1))</f>
        <v/>
      </c>
      <c r="K143" s="36">
        <f>IF($T143="","",INDEX(案件入力!$K$2:$K$301,$T143-1))</f>
        <v/>
      </c>
      <c r="L143" s="49">
        <f>IF($T143="","",INDEX(案件入力!$L$2:$L$301,$T143-1))</f>
        <v/>
      </c>
      <c r="M143" s="49">
        <f>IF($T143="","",INDEX(案件入力!$M$2:$M$301,$T143-1))</f>
        <v/>
      </c>
      <c r="N143" s="39">
        <f>IF($T143="","",INDEX(案件入力!$N$2:$N$301,$T143-1))</f>
        <v/>
      </c>
      <c r="O143" s="36">
        <f>IF($T143="","",INDEX(案件入力!$O$2:$O$301,$T143-1))</f>
        <v/>
      </c>
      <c r="P143" s="37">
        <f>IF($T143="","",INDEX(案件入力!$P$2:$P$301,$T143-1))</f>
        <v/>
      </c>
      <c r="Q143" s="35">
        <f>IF($T143="","",INDEX(案件入力!$Q$2:$Q$301,$T143-1))</f>
        <v/>
      </c>
      <c r="R143" s="35">
        <f>IF($T143="","",INDEX(案件入力!$R$2:$R$301,$T143-1))</f>
        <v/>
      </c>
      <c r="S143" s="35">
        <f>IF($T143="","",INDEX(案件入力!$S$2:$S$301,$T143-1))</f>
        <v/>
      </c>
      <c r="T143">
        <f t="array" ref="T143">IFERROR(SMALL(IF((案件入力!$A$2:$A$301&lt;&gt;"")*(案件入力!$R$2:$R$301&lt;&gt;"完了"),ROW(案件入力!$A$2:$A$301)),ROW()-1),"")</f>
        <v/>
      </c>
    </row>
    <row r="144">
      <c r="A144" s="35">
        <f>IF($T144="","",INDEX(案件入力!$A$2:$A$301,$T144-1))</f>
        <v/>
      </c>
      <c r="B144" s="36">
        <f>IF($T144="","",INDEX(案件入力!$B$2:$B$301,$T144-1))</f>
        <v/>
      </c>
      <c r="C144" s="35">
        <f>IF($T144="","",INDEX(案件入力!$C$2:$C$301,$T144-1))</f>
        <v/>
      </c>
      <c r="D144" s="37">
        <f>IF($T144="","",INDEX(案件入力!$D$2:$D$301,$T144-1))</f>
        <v/>
      </c>
      <c r="E144" s="35">
        <f>IF($T144="","",INDEX(案件入力!$E$2:$E$301,$T144-1))</f>
        <v/>
      </c>
      <c r="F144" s="35">
        <f>IF($T144="","",INDEX(案件入力!$F$2:$F$301,$T144-1))</f>
        <v/>
      </c>
      <c r="G144" s="35">
        <f>IF($T144="","",INDEX(案件入力!$G$2:$G$301,$T144-1))</f>
        <v/>
      </c>
      <c r="H144" s="49">
        <f>IF($T144="","",INDEX(案件入力!$H$2:$H$301,$T144-1))</f>
        <v/>
      </c>
      <c r="I144" s="49">
        <f>IF($T144="","",INDEX(案件入力!$I$2:$I$301,$T144-1))</f>
        <v/>
      </c>
      <c r="J144" s="39">
        <f>IF($T144="","",INDEX(案件入力!$J$2:$J$301,$T144-1))</f>
        <v/>
      </c>
      <c r="K144" s="36">
        <f>IF($T144="","",INDEX(案件入力!$K$2:$K$301,$T144-1))</f>
        <v/>
      </c>
      <c r="L144" s="49">
        <f>IF($T144="","",INDEX(案件入力!$L$2:$L$301,$T144-1))</f>
        <v/>
      </c>
      <c r="M144" s="49">
        <f>IF($T144="","",INDEX(案件入力!$M$2:$M$301,$T144-1))</f>
        <v/>
      </c>
      <c r="N144" s="39">
        <f>IF($T144="","",INDEX(案件入力!$N$2:$N$301,$T144-1))</f>
        <v/>
      </c>
      <c r="O144" s="36">
        <f>IF($T144="","",INDEX(案件入力!$O$2:$O$301,$T144-1))</f>
        <v/>
      </c>
      <c r="P144" s="37">
        <f>IF($T144="","",INDEX(案件入力!$P$2:$P$301,$T144-1))</f>
        <v/>
      </c>
      <c r="Q144" s="35">
        <f>IF($T144="","",INDEX(案件入力!$Q$2:$Q$301,$T144-1))</f>
        <v/>
      </c>
      <c r="R144" s="35">
        <f>IF($T144="","",INDEX(案件入力!$R$2:$R$301,$T144-1))</f>
        <v/>
      </c>
      <c r="S144" s="35">
        <f>IF($T144="","",INDEX(案件入力!$S$2:$S$301,$T144-1))</f>
        <v/>
      </c>
      <c r="T144">
        <f t="array" ref="T144">IFERROR(SMALL(IF((案件入力!$A$2:$A$301&lt;&gt;"")*(案件入力!$R$2:$R$301&lt;&gt;"完了"),ROW(案件入力!$A$2:$A$301)),ROW()-1),"")</f>
        <v/>
      </c>
    </row>
    <row r="145">
      <c r="A145" s="35">
        <f>IF($T145="","",INDEX(案件入力!$A$2:$A$301,$T145-1))</f>
        <v/>
      </c>
      <c r="B145" s="36">
        <f>IF($T145="","",INDEX(案件入力!$B$2:$B$301,$T145-1))</f>
        <v/>
      </c>
      <c r="C145" s="35">
        <f>IF($T145="","",INDEX(案件入力!$C$2:$C$301,$T145-1))</f>
        <v/>
      </c>
      <c r="D145" s="37">
        <f>IF($T145="","",INDEX(案件入力!$D$2:$D$301,$T145-1))</f>
        <v/>
      </c>
      <c r="E145" s="35">
        <f>IF($T145="","",INDEX(案件入力!$E$2:$E$301,$T145-1))</f>
        <v/>
      </c>
      <c r="F145" s="35">
        <f>IF($T145="","",INDEX(案件入力!$F$2:$F$301,$T145-1))</f>
        <v/>
      </c>
      <c r="G145" s="35">
        <f>IF($T145="","",INDEX(案件入力!$G$2:$G$301,$T145-1))</f>
        <v/>
      </c>
      <c r="H145" s="49">
        <f>IF($T145="","",INDEX(案件入力!$H$2:$H$301,$T145-1))</f>
        <v/>
      </c>
      <c r="I145" s="49">
        <f>IF($T145="","",INDEX(案件入力!$I$2:$I$301,$T145-1))</f>
        <v/>
      </c>
      <c r="J145" s="39">
        <f>IF($T145="","",INDEX(案件入力!$J$2:$J$301,$T145-1))</f>
        <v/>
      </c>
      <c r="K145" s="36">
        <f>IF($T145="","",INDEX(案件入力!$K$2:$K$301,$T145-1))</f>
        <v/>
      </c>
      <c r="L145" s="49">
        <f>IF($T145="","",INDEX(案件入力!$L$2:$L$301,$T145-1))</f>
        <v/>
      </c>
      <c r="M145" s="49">
        <f>IF($T145="","",INDEX(案件入力!$M$2:$M$301,$T145-1))</f>
        <v/>
      </c>
      <c r="N145" s="39">
        <f>IF($T145="","",INDEX(案件入力!$N$2:$N$301,$T145-1))</f>
        <v/>
      </c>
      <c r="O145" s="36">
        <f>IF($T145="","",INDEX(案件入力!$O$2:$O$301,$T145-1))</f>
        <v/>
      </c>
      <c r="P145" s="37">
        <f>IF($T145="","",INDEX(案件入力!$P$2:$P$301,$T145-1))</f>
        <v/>
      </c>
      <c r="Q145" s="35">
        <f>IF($T145="","",INDEX(案件入力!$Q$2:$Q$301,$T145-1))</f>
        <v/>
      </c>
      <c r="R145" s="35">
        <f>IF($T145="","",INDEX(案件入力!$R$2:$R$301,$T145-1))</f>
        <v/>
      </c>
      <c r="S145" s="35">
        <f>IF($T145="","",INDEX(案件入力!$S$2:$S$301,$T145-1))</f>
        <v/>
      </c>
      <c r="T145">
        <f t="array" ref="T145">IFERROR(SMALL(IF((案件入力!$A$2:$A$301&lt;&gt;"")*(案件入力!$R$2:$R$301&lt;&gt;"完了"),ROW(案件入力!$A$2:$A$301)),ROW()-1),"")</f>
        <v/>
      </c>
    </row>
    <row r="146">
      <c r="A146" s="35">
        <f>IF($T146="","",INDEX(案件入力!$A$2:$A$301,$T146-1))</f>
        <v/>
      </c>
      <c r="B146" s="36">
        <f>IF($T146="","",INDEX(案件入力!$B$2:$B$301,$T146-1))</f>
        <v/>
      </c>
      <c r="C146" s="35">
        <f>IF($T146="","",INDEX(案件入力!$C$2:$C$301,$T146-1))</f>
        <v/>
      </c>
      <c r="D146" s="37">
        <f>IF($T146="","",INDEX(案件入力!$D$2:$D$301,$T146-1))</f>
        <v/>
      </c>
      <c r="E146" s="35">
        <f>IF($T146="","",INDEX(案件入力!$E$2:$E$301,$T146-1))</f>
        <v/>
      </c>
      <c r="F146" s="35">
        <f>IF($T146="","",INDEX(案件入力!$F$2:$F$301,$T146-1))</f>
        <v/>
      </c>
      <c r="G146" s="35">
        <f>IF($T146="","",INDEX(案件入力!$G$2:$G$301,$T146-1))</f>
        <v/>
      </c>
      <c r="H146" s="49">
        <f>IF($T146="","",INDEX(案件入力!$H$2:$H$301,$T146-1))</f>
        <v/>
      </c>
      <c r="I146" s="49">
        <f>IF($T146="","",INDEX(案件入力!$I$2:$I$301,$T146-1))</f>
        <v/>
      </c>
      <c r="J146" s="39">
        <f>IF($T146="","",INDEX(案件入力!$J$2:$J$301,$T146-1))</f>
        <v/>
      </c>
      <c r="K146" s="36">
        <f>IF($T146="","",INDEX(案件入力!$K$2:$K$301,$T146-1))</f>
        <v/>
      </c>
      <c r="L146" s="49">
        <f>IF($T146="","",INDEX(案件入力!$L$2:$L$301,$T146-1))</f>
        <v/>
      </c>
      <c r="M146" s="49">
        <f>IF($T146="","",INDEX(案件入力!$M$2:$M$301,$T146-1))</f>
        <v/>
      </c>
      <c r="N146" s="39">
        <f>IF($T146="","",INDEX(案件入力!$N$2:$N$301,$T146-1))</f>
        <v/>
      </c>
      <c r="O146" s="36">
        <f>IF($T146="","",INDEX(案件入力!$O$2:$O$301,$T146-1))</f>
        <v/>
      </c>
      <c r="P146" s="37">
        <f>IF($T146="","",INDEX(案件入力!$P$2:$P$301,$T146-1))</f>
        <v/>
      </c>
      <c r="Q146" s="35">
        <f>IF($T146="","",INDEX(案件入力!$Q$2:$Q$301,$T146-1))</f>
        <v/>
      </c>
      <c r="R146" s="35">
        <f>IF($T146="","",INDEX(案件入力!$R$2:$R$301,$T146-1))</f>
        <v/>
      </c>
      <c r="S146" s="35">
        <f>IF($T146="","",INDEX(案件入力!$S$2:$S$301,$T146-1))</f>
        <v/>
      </c>
      <c r="T146">
        <f t="array" ref="T146">IFERROR(SMALL(IF((案件入力!$A$2:$A$301&lt;&gt;"")*(案件入力!$R$2:$R$301&lt;&gt;"完了"),ROW(案件入力!$A$2:$A$301)),ROW()-1),"")</f>
        <v/>
      </c>
    </row>
    <row r="147">
      <c r="A147" s="35">
        <f>IF($T147="","",INDEX(案件入力!$A$2:$A$301,$T147-1))</f>
        <v/>
      </c>
      <c r="B147" s="36">
        <f>IF($T147="","",INDEX(案件入力!$B$2:$B$301,$T147-1))</f>
        <v/>
      </c>
      <c r="C147" s="35">
        <f>IF($T147="","",INDEX(案件入力!$C$2:$C$301,$T147-1))</f>
        <v/>
      </c>
      <c r="D147" s="37">
        <f>IF($T147="","",INDEX(案件入力!$D$2:$D$301,$T147-1))</f>
        <v/>
      </c>
      <c r="E147" s="35">
        <f>IF($T147="","",INDEX(案件入力!$E$2:$E$301,$T147-1))</f>
        <v/>
      </c>
      <c r="F147" s="35">
        <f>IF($T147="","",INDEX(案件入力!$F$2:$F$301,$T147-1))</f>
        <v/>
      </c>
      <c r="G147" s="35">
        <f>IF($T147="","",INDEX(案件入力!$G$2:$G$301,$T147-1))</f>
        <v/>
      </c>
      <c r="H147" s="49">
        <f>IF($T147="","",INDEX(案件入力!$H$2:$H$301,$T147-1))</f>
        <v/>
      </c>
      <c r="I147" s="49">
        <f>IF($T147="","",INDEX(案件入力!$I$2:$I$301,$T147-1))</f>
        <v/>
      </c>
      <c r="J147" s="39">
        <f>IF($T147="","",INDEX(案件入力!$J$2:$J$301,$T147-1))</f>
        <v/>
      </c>
      <c r="K147" s="36">
        <f>IF($T147="","",INDEX(案件入力!$K$2:$K$301,$T147-1))</f>
        <v/>
      </c>
      <c r="L147" s="49">
        <f>IF($T147="","",INDEX(案件入力!$L$2:$L$301,$T147-1))</f>
        <v/>
      </c>
      <c r="M147" s="49">
        <f>IF($T147="","",INDEX(案件入力!$M$2:$M$301,$T147-1))</f>
        <v/>
      </c>
      <c r="N147" s="39">
        <f>IF($T147="","",INDEX(案件入力!$N$2:$N$301,$T147-1))</f>
        <v/>
      </c>
      <c r="O147" s="36">
        <f>IF($T147="","",INDEX(案件入力!$O$2:$O$301,$T147-1))</f>
        <v/>
      </c>
      <c r="P147" s="37">
        <f>IF($T147="","",INDEX(案件入力!$P$2:$P$301,$T147-1))</f>
        <v/>
      </c>
      <c r="Q147" s="35">
        <f>IF($T147="","",INDEX(案件入力!$Q$2:$Q$301,$T147-1))</f>
        <v/>
      </c>
      <c r="R147" s="35">
        <f>IF($T147="","",INDEX(案件入力!$R$2:$R$301,$T147-1))</f>
        <v/>
      </c>
      <c r="S147" s="35">
        <f>IF($T147="","",INDEX(案件入力!$S$2:$S$301,$T147-1))</f>
        <v/>
      </c>
      <c r="T147">
        <f t="array" ref="T147">IFERROR(SMALL(IF((案件入力!$A$2:$A$301&lt;&gt;"")*(案件入力!$R$2:$R$301&lt;&gt;"完了"),ROW(案件入力!$A$2:$A$301)),ROW()-1),"")</f>
        <v/>
      </c>
    </row>
    <row r="148">
      <c r="A148" s="35">
        <f>IF($T148="","",INDEX(案件入力!$A$2:$A$301,$T148-1))</f>
        <v/>
      </c>
      <c r="B148" s="36">
        <f>IF($T148="","",INDEX(案件入力!$B$2:$B$301,$T148-1))</f>
        <v/>
      </c>
      <c r="C148" s="35">
        <f>IF($T148="","",INDEX(案件入力!$C$2:$C$301,$T148-1))</f>
        <v/>
      </c>
      <c r="D148" s="37">
        <f>IF($T148="","",INDEX(案件入力!$D$2:$D$301,$T148-1))</f>
        <v/>
      </c>
      <c r="E148" s="35">
        <f>IF($T148="","",INDEX(案件入力!$E$2:$E$301,$T148-1))</f>
        <v/>
      </c>
      <c r="F148" s="35">
        <f>IF($T148="","",INDEX(案件入力!$F$2:$F$301,$T148-1))</f>
        <v/>
      </c>
      <c r="G148" s="35">
        <f>IF($T148="","",INDEX(案件入力!$G$2:$G$301,$T148-1))</f>
        <v/>
      </c>
      <c r="H148" s="49">
        <f>IF($T148="","",INDEX(案件入力!$H$2:$H$301,$T148-1))</f>
        <v/>
      </c>
      <c r="I148" s="49">
        <f>IF($T148="","",INDEX(案件入力!$I$2:$I$301,$T148-1))</f>
        <v/>
      </c>
      <c r="J148" s="39">
        <f>IF($T148="","",INDEX(案件入力!$J$2:$J$301,$T148-1))</f>
        <v/>
      </c>
      <c r="K148" s="36">
        <f>IF($T148="","",INDEX(案件入力!$K$2:$K$301,$T148-1))</f>
        <v/>
      </c>
      <c r="L148" s="49">
        <f>IF($T148="","",INDEX(案件入力!$L$2:$L$301,$T148-1))</f>
        <v/>
      </c>
      <c r="M148" s="49">
        <f>IF($T148="","",INDEX(案件入力!$M$2:$M$301,$T148-1))</f>
        <v/>
      </c>
      <c r="N148" s="39">
        <f>IF($T148="","",INDEX(案件入力!$N$2:$N$301,$T148-1))</f>
        <v/>
      </c>
      <c r="O148" s="36">
        <f>IF($T148="","",INDEX(案件入力!$O$2:$O$301,$T148-1))</f>
        <v/>
      </c>
      <c r="P148" s="37">
        <f>IF($T148="","",INDEX(案件入力!$P$2:$P$301,$T148-1))</f>
        <v/>
      </c>
      <c r="Q148" s="35">
        <f>IF($T148="","",INDEX(案件入力!$Q$2:$Q$301,$T148-1))</f>
        <v/>
      </c>
      <c r="R148" s="35">
        <f>IF($T148="","",INDEX(案件入力!$R$2:$R$301,$T148-1))</f>
        <v/>
      </c>
      <c r="S148" s="35">
        <f>IF($T148="","",INDEX(案件入力!$S$2:$S$301,$T148-1))</f>
        <v/>
      </c>
      <c r="T148">
        <f t="array" ref="T148">IFERROR(SMALL(IF((案件入力!$A$2:$A$301&lt;&gt;"")*(案件入力!$R$2:$R$301&lt;&gt;"完了"),ROW(案件入力!$A$2:$A$301)),ROW()-1),"")</f>
        <v/>
      </c>
    </row>
    <row r="149">
      <c r="A149" s="35">
        <f>IF($T149="","",INDEX(案件入力!$A$2:$A$301,$T149-1))</f>
        <v/>
      </c>
      <c r="B149" s="36">
        <f>IF($T149="","",INDEX(案件入力!$B$2:$B$301,$T149-1))</f>
        <v/>
      </c>
      <c r="C149" s="35">
        <f>IF($T149="","",INDEX(案件入力!$C$2:$C$301,$T149-1))</f>
        <v/>
      </c>
      <c r="D149" s="37">
        <f>IF($T149="","",INDEX(案件入力!$D$2:$D$301,$T149-1))</f>
        <v/>
      </c>
      <c r="E149" s="35">
        <f>IF($T149="","",INDEX(案件入力!$E$2:$E$301,$T149-1))</f>
        <v/>
      </c>
      <c r="F149" s="35">
        <f>IF($T149="","",INDEX(案件入力!$F$2:$F$301,$T149-1))</f>
        <v/>
      </c>
      <c r="G149" s="35">
        <f>IF($T149="","",INDEX(案件入力!$G$2:$G$301,$T149-1))</f>
        <v/>
      </c>
      <c r="H149" s="49">
        <f>IF($T149="","",INDEX(案件入力!$H$2:$H$301,$T149-1))</f>
        <v/>
      </c>
      <c r="I149" s="49">
        <f>IF($T149="","",INDEX(案件入力!$I$2:$I$301,$T149-1))</f>
        <v/>
      </c>
      <c r="J149" s="39">
        <f>IF($T149="","",INDEX(案件入力!$J$2:$J$301,$T149-1))</f>
        <v/>
      </c>
      <c r="K149" s="36">
        <f>IF($T149="","",INDEX(案件入力!$K$2:$K$301,$T149-1))</f>
        <v/>
      </c>
      <c r="L149" s="49">
        <f>IF($T149="","",INDEX(案件入力!$L$2:$L$301,$T149-1))</f>
        <v/>
      </c>
      <c r="M149" s="49">
        <f>IF($T149="","",INDEX(案件入力!$M$2:$M$301,$T149-1))</f>
        <v/>
      </c>
      <c r="N149" s="39">
        <f>IF($T149="","",INDEX(案件入力!$N$2:$N$301,$T149-1))</f>
        <v/>
      </c>
      <c r="O149" s="36">
        <f>IF($T149="","",INDEX(案件入力!$O$2:$O$301,$T149-1))</f>
        <v/>
      </c>
      <c r="P149" s="37">
        <f>IF($T149="","",INDEX(案件入力!$P$2:$P$301,$T149-1))</f>
        <v/>
      </c>
      <c r="Q149" s="35">
        <f>IF($T149="","",INDEX(案件入力!$Q$2:$Q$301,$T149-1))</f>
        <v/>
      </c>
      <c r="R149" s="35">
        <f>IF($T149="","",INDEX(案件入力!$R$2:$R$301,$T149-1))</f>
        <v/>
      </c>
      <c r="S149" s="35">
        <f>IF($T149="","",INDEX(案件入力!$S$2:$S$301,$T149-1))</f>
        <v/>
      </c>
      <c r="T149">
        <f t="array" ref="T149">IFERROR(SMALL(IF((案件入力!$A$2:$A$301&lt;&gt;"")*(案件入力!$R$2:$R$301&lt;&gt;"完了"),ROW(案件入力!$A$2:$A$301)),ROW()-1),"")</f>
        <v/>
      </c>
    </row>
    <row r="150">
      <c r="A150" s="35">
        <f>IF($T150="","",INDEX(案件入力!$A$2:$A$301,$T150-1))</f>
        <v/>
      </c>
      <c r="B150" s="36">
        <f>IF($T150="","",INDEX(案件入力!$B$2:$B$301,$T150-1))</f>
        <v/>
      </c>
      <c r="C150" s="35">
        <f>IF($T150="","",INDEX(案件入力!$C$2:$C$301,$T150-1))</f>
        <v/>
      </c>
      <c r="D150" s="37">
        <f>IF($T150="","",INDEX(案件入力!$D$2:$D$301,$T150-1))</f>
        <v/>
      </c>
      <c r="E150" s="35">
        <f>IF($T150="","",INDEX(案件入力!$E$2:$E$301,$T150-1))</f>
        <v/>
      </c>
      <c r="F150" s="35">
        <f>IF($T150="","",INDEX(案件入力!$F$2:$F$301,$T150-1))</f>
        <v/>
      </c>
      <c r="G150" s="35">
        <f>IF($T150="","",INDEX(案件入力!$G$2:$G$301,$T150-1))</f>
        <v/>
      </c>
      <c r="H150" s="49">
        <f>IF($T150="","",INDEX(案件入力!$H$2:$H$301,$T150-1))</f>
        <v/>
      </c>
      <c r="I150" s="49">
        <f>IF($T150="","",INDEX(案件入力!$I$2:$I$301,$T150-1))</f>
        <v/>
      </c>
      <c r="J150" s="39">
        <f>IF($T150="","",INDEX(案件入力!$J$2:$J$301,$T150-1))</f>
        <v/>
      </c>
      <c r="K150" s="36">
        <f>IF($T150="","",INDEX(案件入力!$K$2:$K$301,$T150-1))</f>
        <v/>
      </c>
      <c r="L150" s="49">
        <f>IF($T150="","",INDEX(案件入力!$L$2:$L$301,$T150-1))</f>
        <v/>
      </c>
      <c r="M150" s="49">
        <f>IF($T150="","",INDEX(案件入力!$M$2:$M$301,$T150-1))</f>
        <v/>
      </c>
      <c r="N150" s="39">
        <f>IF($T150="","",INDEX(案件入力!$N$2:$N$301,$T150-1))</f>
        <v/>
      </c>
      <c r="O150" s="36">
        <f>IF($T150="","",INDEX(案件入力!$O$2:$O$301,$T150-1))</f>
        <v/>
      </c>
      <c r="P150" s="37">
        <f>IF($T150="","",INDEX(案件入力!$P$2:$P$301,$T150-1))</f>
        <v/>
      </c>
      <c r="Q150" s="35">
        <f>IF($T150="","",INDEX(案件入力!$Q$2:$Q$301,$T150-1))</f>
        <v/>
      </c>
      <c r="R150" s="35">
        <f>IF($T150="","",INDEX(案件入力!$R$2:$R$301,$T150-1))</f>
        <v/>
      </c>
      <c r="S150" s="35">
        <f>IF($T150="","",INDEX(案件入力!$S$2:$S$301,$T150-1))</f>
        <v/>
      </c>
      <c r="T150">
        <f t="array" ref="T150">IFERROR(SMALL(IF((案件入力!$A$2:$A$301&lt;&gt;"")*(案件入力!$R$2:$R$301&lt;&gt;"完了"),ROW(案件入力!$A$2:$A$301)),ROW()-1),"")</f>
        <v/>
      </c>
    </row>
    <row r="151">
      <c r="A151" s="35">
        <f>IF($T151="","",INDEX(案件入力!$A$2:$A$301,$T151-1))</f>
        <v/>
      </c>
      <c r="B151" s="36">
        <f>IF($T151="","",INDEX(案件入力!$B$2:$B$301,$T151-1))</f>
        <v/>
      </c>
      <c r="C151" s="35">
        <f>IF($T151="","",INDEX(案件入力!$C$2:$C$301,$T151-1))</f>
        <v/>
      </c>
      <c r="D151" s="37">
        <f>IF($T151="","",INDEX(案件入力!$D$2:$D$301,$T151-1))</f>
        <v/>
      </c>
      <c r="E151" s="35">
        <f>IF($T151="","",INDEX(案件入力!$E$2:$E$301,$T151-1))</f>
        <v/>
      </c>
      <c r="F151" s="35">
        <f>IF($T151="","",INDEX(案件入力!$F$2:$F$301,$T151-1))</f>
        <v/>
      </c>
      <c r="G151" s="35">
        <f>IF($T151="","",INDEX(案件入力!$G$2:$G$301,$T151-1))</f>
        <v/>
      </c>
      <c r="H151" s="49">
        <f>IF($T151="","",INDEX(案件入力!$H$2:$H$301,$T151-1))</f>
        <v/>
      </c>
      <c r="I151" s="49">
        <f>IF($T151="","",INDEX(案件入力!$I$2:$I$301,$T151-1))</f>
        <v/>
      </c>
      <c r="J151" s="39">
        <f>IF($T151="","",INDEX(案件入力!$J$2:$J$301,$T151-1))</f>
        <v/>
      </c>
      <c r="K151" s="36">
        <f>IF($T151="","",INDEX(案件入力!$K$2:$K$301,$T151-1))</f>
        <v/>
      </c>
      <c r="L151" s="49">
        <f>IF($T151="","",INDEX(案件入力!$L$2:$L$301,$T151-1))</f>
        <v/>
      </c>
      <c r="M151" s="49">
        <f>IF($T151="","",INDEX(案件入力!$M$2:$M$301,$T151-1))</f>
        <v/>
      </c>
      <c r="N151" s="39">
        <f>IF($T151="","",INDEX(案件入力!$N$2:$N$301,$T151-1))</f>
        <v/>
      </c>
      <c r="O151" s="36">
        <f>IF($T151="","",INDEX(案件入力!$O$2:$O$301,$T151-1))</f>
        <v/>
      </c>
      <c r="P151" s="37">
        <f>IF($T151="","",INDEX(案件入力!$P$2:$P$301,$T151-1))</f>
        <v/>
      </c>
      <c r="Q151" s="35">
        <f>IF($T151="","",INDEX(案件入力!$Q$2:$Q$301,$T151-1))</f>
        <v/>
      </c>
      <c r="R151" s="35">
        <f>IF($T151="","",INDEX(案件入力!$R$2:$R$301,$T151-1))</f>
        <v/>
      </c>
      <c r="S151" s="35">
        <f>IF($T151="","",INDEX(案件入力!$S$2:$S$301,$T151-1))</f>
        <v/>
      </c>
      <c r="T151">
        <f t="array" ref="T151">IFERROR(SMALL(IF((案件入力!$A$2:$A$301&lt;&gt;"")*(案件入力!$R$2:$R$301&lt;&gt;"完了"),ROW(案件入力!$A$2:$A$301)),ROW()-1),"")</f>
        <v/>
      </c>
    </row>
    <row r="152">
      <c r="A152" s="35">
        <f>IF($T152="","",INDEX(案件入力!$A$2:$A$301,$T152-1))</f>
        <v/>
      </c>
      <c r="B152" s="36">
        <f>IF($T152="","",INDEX(案件入力!$B$2:$B$301,$T152-1))</f>
        <v/>
      </c>
      <c r="C152" s="35">
        <f>IF($T152="","",INDEX(案件入力!$C$2:$C$301,$T152-1))</f>
        <v/>
      </c>
      <c r="D152" s="37">
        <f>IF($T152="","",INDEX(案件入力!$D$2:$D$301,$T152-1))</f>
        <v/>
      </c>
      <c r="E152" s="35">
        <f>IF($T152="","",INDEX(案件入力!$E$2:$E$301,$T152-1))</f>
        <v/>
      </c>
      <c r="F152" s="35">
        <f>IF($T152="","",INDEX(案件入力!$F$2:$F$301,$T152-1))</f>
        <v/>
      </c>
      <c r="G152" s="35">
        <f>IF($T152="","",INDEX(案件入力!$G$2:$G$301,$T152-1))</f>
        <v/>
      </c>
      <c r="H152" s="49">
        <f>IF($T152="","",INDEX(案件入力!$H$2:$H$301,$T152-1))</f>
        <v/>
      </c>
      <c r="I152" s="49">
        <f>IF($T152="","",INDEX(案件入力!$I$2:$I$301,$T152-1))</f>
        <v/>
      </c>
      <c r="J152" s="39">
        <f>IF($T152="","",INDEX(案件入力!$J$2:$J$301,$T152-1))</f>
        <v/>
      </c>
      <c r="K152" s="36">
        <f>IF($T152="","",INDEX(案件入力!$K$2:$K$301,$T152-1))</f>
        <v/>
      </c>
      <c r="L152" s="49">
        <f>IF($T152="","",INDEX(案件入力!$L$2:$L$301,$T152-1))</f>
        <v/>
      </c>
      <c r="M152" s="49">
        <f>IF($T152="","",INDEX(案件入力!$M$2:$M$301,$T152-1))</f>
        <v/>
      </c>
      <c r="N152" s="39">
        <f>IF($T152="","",INDEX(案件入力!$N$2:$N$301,$T152-1))</f>
        <v/>
      </c>
      <c r="O152" s="36">
        <f>IF($T152="","",INDEX(案件入力!$O$2:$O$301,$T152-1))</f>
        <v/>
      </c>
      <c r="P152" s="37">
        <f>IF($T152="","",INDEX(案件入力!$P$2:$P$301,$T152-1))</f>
        <v/>
      </c>
      <c r="Q152" s="35">
        <f>IF($T152="","",INDEX(案件入力!$Q$2:$Q$301,$T152-1))</f>
        <v/>
      </c>
      <c r="R152" s="35">
        <f>IF($T152="","",INDEX(案件入力!$R$2:$R$301,$T152-1))</f>
        <v/>
      </c>
      <c r="S152" s="35">
        <f>IF($T152="","",INDEX(案件入力!$S$2:$S$301,$T152-1))</f>
        <v/>
      </c>
      <c r="T152">
        <f t="array" ref="T152">IFERROR(SMALL(IF((案件入力!$A$2:$A$301&lt;&gt;"")*(案件入力!$R$2:$R$301&lt;&gt;"完了"),ROW(案件入力!$A$2:$A$301)),ROW()-1),"")</f>
        <v/>
      </c>
    </row>
    <row r="153">
      <c r="A153" s="35">
        <f>IF($T153="","",INDEX(案件入力!$A$2:$A$301,$T153-1))</f>
        <v/>
      </c>
      <c r="B153" s="36">
        <f>IF($T153="","",INDEX(案件入力!$B$2:$B$301,$T153-1))</f>
        <v/>
      </c>
      <c r="C153" s="35">
        <f>IF($T153="","",INDEX(案件入力!$C$2:$C$301,$T153-1))</f>
        <v/>
      </c>
      <c r="D153" s="37">
        <f>IF($T153="","",INDEX(案件入力!$D$2:$D$301,$T153-1))</f>
        <v/>
      </c>
      <c r="E153" s="35">
        <f>IF($T153="","",INDEX(案件入力!$E$2:$E$301,$T153-1))</f>
        <v/>
      </c>
      <c r="F153" s="35">
        <f>IF($T153="","",INDEX(案件入力!$F$2:$F$301,$T153-1))</f>
        <v/>
      </c>
      <c r="G153" s="35">
        <f>IF($T153="","",INDEX(案件入力!$G$2:$G$301,$T153-1))</f>
        <v/>
      </c>
      <c r="H153" s="49">
        <f>IF($T153="","",INDEX(案件入力!$H$2:$H$301,$T153-1))</f>
        <v/>
      </c>
      <c r="I153" s="49">
        <f>IF($T153="","",INDEX(案件入力!$I$2:$I$301,$T153-1))</f>
        <v/>
      </c>
      <c r="J153" s="39">
        <f>IF($T153="","",INDEX(案件入力!$J$2:$J$301,$T153-1))</f>
        <v/>
      </c>
      <c r="K153" s="36">
        <f>IF($T153="","",INDEX(案件入力!$K$2:$K$301,$T153-1))</f>
        <v/>
      </c>
      <c r="L153" s="49">
        <f>IF($T153="","",INDEX(案件入力!$L$2:$L$301,$T153-1))</f>
        <v/>
      </c>
      <c r="M153" s="49">
        <f>IF($T153="","",INDEX(案件入力!$M$2:$M$301,$T153-1))</f>
        <v/>
      </c>
      <c r="N153" s="39">
        <f>IF($T153="","",INDEX(案件入力!$N$2:$N$301,$T153-1))</f>
        <v/>
      </c>
      <c r="O153" s="36">
        <f>IF($T153="","",INDEX(案件入力!$O$2:$O$301,$T153-1))</f>
        <v/>
      </c>
      <c r="P153" s="37">
        <f>IF($T153="","",INDEX(案件入力!$P$2:$P$301,$T153-1))</f>
        <v/>
      </c>
      <c r="Q153" s="35">
        <f>IF($T153="","",INDEX(案件入力!$Q$2:$Q$301,$T153-1))</f>
        <v/>
      </c>
      <c r="R153" s="35">
        <f>IF($T153="","",INDEX(案件入力!$R$2:$R$301,$T153-1))</f>
        <v/>
      </c>
      <c r="S153" s="35">
        <f>IF($T153="","",INDEX(案件入力!$S$2:$S$301,$T153-1))</f>
        <v/>
      </c>
      <c r="T153">
        <f t="array" ref="T153">IFERROR(SMALL(IF((案件入力!$A$2:$A$301&lt;&gt;"")*(案件入力!$R$2:$R$301&lt;&gt;"完了"),ROW(案件入力!$A$2:$A$301)),ROW()-1),"")</f>
        <v/>
      </c>
    </row>
    <row r="154">
      <c r="A154" s="35">
        <f>IF($T154="","",INDEX(案件入力!$A$2:$A$301,$T154-1))</f>
        <v/>
      </c>
      <c r="B154" s="36">
        <f>IF($T154="","",INDEX(案件入力!$B$2:$B$301,$T154-1))</f>
        <v/>
      </c>
      <c r="C154" s="35">
        <f>IF($T154="","",INDEX(案件入力!$C$2:$C$301,$T154-1))</f>
        <v/>
      </c>
      <c r="D154" s="37">
        <f>IF($T154="","",INDEX(案件入力!$D$2:$D$301,$T154-1))</f>
        <v/>
      </c>
      <c r="E154" s="35">
        <f>IF($T154="","",INDEX(案件入力!$E$2:$E$301,$T154-1))</f>
        <v/>
      </c>
      <c r="F154" s="35">
        <f>IF($T154="","",INDEX(案件入力!$F$2:$F$301,$T154-1))</f>
        <v/>
      </c>
      <c r="G154" s="35">
        <f>IF($T154="","",INDEX(案件入力!$G$2:$G$301,$T154-1))</f>
        <v/>
      </c>
      <c r="H154" s="49">
        <f>IF($T154="","",INDEX(案件入力!$H$2:$H$301,$T154-1))</f>
        <v/>
      </c>
      <c r="I154" s="49">
        <f>IF($T154="","",INDEX(案件入力!$I$2:$I$301,$T154-1))</f>
        <v/>
      </c>
      <c r="J154" s="39">
        <f>IF($T154="","",INDEX(案件入力!$J$2:$J$301,$T154-1))</f>
        <v/>
      </c>
      <c r="K154" s="36">
        <f>IF($T154="","",INDEX(案件入力!$K$2:$K$301,$T154-1))</f>
        <v/>
      </c>
      <c r="L154" s="49">
        <f>IF($T154="","",INDEX(案件入力!$L$2:$L$301,$T154-1))</f>
        <v/>
      </c>
      <c r="M154" s="49">
        <f>IF($T154="","",INDEX(案件入力!$M$2:$M$301,$T154-1))</f>
        <v/>
      </c>
      <c r="N154" s="39">
        <f>IF($T154="","",INDEX(案件入力!$N$2:$N$301,$T154-1))</f>
        <v/>
      </c>
      <c r="O154" s="36">
        <f>IF($T154="","",INDEX(案件入力!$O$2:$O$301,$T154-1))</f>
        <v/>
      </c>
      <c r="P154" s="37">
        <f>IF($T154="","",INDEX(案件入力!$P$2:$P$301,$T154-1))</f>
        <v/>
      </c>
      <c r="Q154" s="35">
        <f>IF($T154="","",INDEX(案件入力!$Q$2:$Q$301,$T154-1))</f>
        <v/>
      </c>
      <c r="R154" s="35">
        <f>IF($T154="","",INDEX(案件入力!$R$2:$R$301,$T154-1))</f>
        <v/>
      </c>
      <c r="S154" s="35">
        <f>IF($T154="","",INDEX(案件入力!$S$2:$S$301,$T154-1))</f>
        <v/>
      </c>
      <c r="T154">
        <f t="array" ref="T154">IFERROR(SMALL(IF((案件入力!$A$2:$A$301&lt;&gt;"")*(案件入力!$R$2:$R$301&lt;&gt;"完了"),ROW(案件入力!$A$2:$A$301)),ROW()-1),"")</f>
        <v/>
      </c>
    </row>
    <row r="155">
      <c r="A155" s="35">
        <f>IF($T155="","",INDEX(案件入力!$A$2:$A$301,$T155-1))</f>
        <v/>
      </c>
      <c r="B155" s="36">
        <f>IF($T155="","",INDEX(案件入力!$B$2:$B$301,$T155-1))</f>
        <v/>
      </c>
      <c r="C155" s="35">
        <f>IF($T155="","",INDEX(案件入力!$C$2:$C$301,$T155-1))</f>
        <v/>
      </c>
      <c r="D155" s="37">
        <f>IF($T155="","",INDEX(案件入力!$D$2:$D$301,$T155-1))</f>
        <v/>
      </c>
      <c r="E155" s="35">
        <f>IF($T155="","",INDEX(案件入力!$E$2:$E$301,$T155-1))</f>
        <v/>
      </c>
      <c r="F155" s="35">
        <f>IF($T155="","",INDEX(案件入力!$F$2:$F$301,$T155-1))</f>
        <v/>
      </c>
      <c r="G155" s="35">
        <f>IF($T155="","",INDEX(案件入力!$G$2:$G$301,$T155-1))</f>
        <v/>
      </c>
      <c r="H155" s="49">
        <f>IF($T155="","",INDEX(案件入力!$H$2:$H$301,$T155-1))</f>
        <v/>
      </c>
      <c r="I155" s="49">
        <f>IF($T155="","",INDEX(案件入力!$I$2:$I$301,$T155-1))</f>
        <v/>
      </c>
      <c r="J155" s="39">
        <f>IF($T155="","",INDEX(案件入力!$J$2:$J$301,$T155-1))</f>
        <v/>
      </c>
      <c r="K155" s="36">
        <f>IF($T155="","",INDEX(案件入力!$K$2:$K$301,$T155-1))</f>
        <v/>
      </c>
      <c r="L155" s="49">
        <f>IF($T155="","",INDEX(案件入力!$L$2:$L$301,$T155-1))</f>
        <v/>
      </c>
      <c r="M155" s="49">
        <f>IF($T155="","",INDEX(案件入力!$M$2:$M$301,$T155-1))</f>
        <v/>
      </c>
      <c r="N155" s="39">
        <f>IF($T155="","",INDEX(案件入力!$N$2:$N$301,$T155-1))</f>
        <v/>
      </c>
      <c r="O155" s="36">
        <f>IF($T155="","",INDEX(案件入力!$O$2:$O$301,$T155-1))</f>
        <v/>
      </c>
      <c r="P155" s="37">
        <f>IF($T155="","",INDEX(案件入力!$P$2:$P$301,$T155-1))</f>
        <v/>
      </c>
      <c r="Q155" s="35">
        <f>IF($T155="","",INDEX(案件入力!$Q$2:$Q$301,$T155-1))</f>
        <v/>
      </c>
      <c r="R155" s="35">
        <f>IF($T155="","",INDEX(案件入力!$R$2:$R$301,$T155-1))</f>
        <v/>
      </c>
      <c r="S155" s="35">
        <f>IF($T155="","",INDEX(案件入力!$S$2:$S$301,$T155-1))</f>
        <v/>
      </c>
      <c r="T155">
        <f t="array" ref="T155">IFERROR(SMALL(IF((案件入力!$A$2:$A$301&lt;&gt;"")*(案件入力!$R$2:$R$301&lt;&gt;"完了"),ROW(案件入力!$A$2:$A$301)),ROW()-1),"")</f>
        <v/>
      </c>
    </row>
    <row r="156">
      <c r="A156" s="35">
        <f>IF($T156="","",INDEX(案件入力!$A$2:$A$301,$T156-1))</f>
        <v/>
      </c>
      <c r="B156" s="36">
        <f>IF($T156="","",INDEX(案件入力!$B$2:$B$301,$T156-1))</f>
        <v/>
      </c>
      <c r="C156" s="35">
        <f>IF($T156="","",INDEX(案件入力!$C$2:$C$301,$T156-1))</f>
        <v/>
      </c>
      <c r="D156" s="37">
        <f>IF($T156="","",INDEX(案件入力!$D$2:$D$301,$T156-1))</f>
        <v/>
      </c>
      <c r="E156" s="35">
        <f>IF($T156="","",INDEX(案件入力!$E$2:$E$301,$T156-1))</f>
        <v/>
      </c>
      <c r="F156" s="35">
        <f>IF($T156="","",INDEX(案件入力!$F$2:$F$301,$T156-1))</f>
        <v/>
      </c>
      <c r="G156" s="35">
        <f>IF($T156="","",INDEX(案件入力!$G$2:$G$301,$T156-1))</f>
        <v/>
      </c>
      <c r="H156" s="49">
        <f>IF($T156="","",INDEX(案件入力!$H$2:$H$301,$T156-1))</f>
        <v/>
      </c>
      <c r="I156" s="49">
        <f>IF($T156="","",INDEX(案件入力!$I$2:$I$301,$T156-1))</f>
        <v/>
      </c>
      <c r="J156" s="39">
        <f>IF($T156="","",INDEX(案件入力!$J$2:$J$301,$T156-1))</f>
        <v/>
      </c>
      <c r="K156" s="36">
        <f>IF($T156="","",INDEX(案件入力!$K$2:$K$301,$T156-1))</f>
        <v/>
      </c>
      <c r="L156" s="49">
        <f>IF($T156="","",INDEX(案件入力!$L$2:$L$301,$T156-1))</f>
        <v/>
      </c>
      <c r="M156" s="49">
        <f>IF($T156="","",INDEX(案件入力!$M$2:$M$301,$T156-1))</f>
        <v/>
      </c>
      <c r="N156" s="39">
        <f>IF($T156="","",INDEX(案件入力!$N$2:$N$301,$T156-1))</f>
        <v/>
      </c>
      <c r="O156" s="36">
        <f>IF($T156="","",INDEX(案件入力!$O$2:$O$301,$T156-1))</f>
        <v/>
      </c>
      <c r="P156" s="37">
        <f>IF($T156="","",INDEX(案件入力!$P$2:$P$301,$T156-1))</f>
        <v/>
      </c>
      <c r="Q156" s="35">
        <f>IF($T156="","",INDEX(案件入力!$Q$2:$Q$301,$T156-1))</f>
        <v/>
      </c>
      <c r="R156" s="35">
        <f>IF($T156="","",INDEX(案件入力!$R$2:$R$301,$T156-1))</f>
        <v/>
      </c>
      <c r="S156" s="35">
        <f>IF($T156="","",INDEX(案件入力!$S$2:$S$301,$T156-1))</f>
        <v/>
      </c>
      <c r="T156">
        <f t="array" ref="T156">IFERROR(SMALL(IF((案件入力!$A$2:$A$301&lt;&gt;"")*(案件入力!$R$2:$R$301&lt;&gt;"完了"),ROW(案件入力!$A$2:$A$301)),ROW()-1),"")</f>
        <v/>
      </c>
    </row>
    <row r="157">
      <c r="A157" s="35">
        <f>IF($T157="","",INDEX(案件入力!$A$2:$A$301,$T157-1))</f>
        <v/>
      </c>
      <c r="B157" s="36">
        <f>IF($T157="","",INDEX(案件入力!$B$2:$B$301,$T157-1))</f>
        <v/>
      </c>
      <c r="C157" s="35">
        <f>IF($T157="","",INDEX(案件入力!$C$2:$C$301,$T157-1))</f>
        <v/>
      </c>
      <c r="D157" s="37">
        <f>IF($T157="","",INDEX(案件入力!$D$2:$D$301,$T157-1))</f>
        <v/>
      </c>
      <c r="E157" s="35">
        <f>IF($T157="","",INDEX(案件入力!$E$2:$E$301,$T157-1))</f>
        <v/>
      </c>
      <c r="F157" s="35">
        <f>IF($T157="","",INDEX(案件入力!$F$2:$F$301,$T157-1))</f>
        <v/>
      </c>
      <c r="G157" s="35">
        <f>IF($T157="","",INDEX(案件入力!$G$2:$G$301,$T157-1))</f>
        <v/>
      </c>
      <c r="H157" s="49">
        <f>IF($T157="","",INDEX(案件入力!$H$2:$H$301,$T157-1))</f>
        <v/>
      </c>
      <c r="I157" s="49">
        <f>IF($T157="","",INDEX(案件入力!$I$2:$I$301,$T157-1))</f>
        <v/>
      </c>
      <c r="J157" s="39">
        <f>IF($T157="","",INDEX(案件入力!$J$2:$J$301,$T157-1))</f>
        <v/>
      </c>
      <c r="K157" s="36">
        <f>IF($T157="","",INDEX(案件入力!$K$2:$K$301,$T157-1))</f>
        <v/>
      </c>
      <c r="L157" s="49">
        <f>IF($T157="","",INDEX(案件入力!$L$2:$L$301,$T157-1))</f>
        <v/>
      </c>
      <c r="M157" s="49">
        <f>IF($T157="","",INDEX(案件入力!$M$2:$M$301,$T157-1))</f>
        <v/>
      </c>
      <c r="N157" s="39">
        <f>IF($T157="","",INDEX(案件入力!$N$2:$N$301,$T157-1))</f>
        <v/>
      </c>
      <c r="O157" s="36">
        <f>IF($T157="","",INDEX(案件入力!$O$2:$O$301,$T157-1))</f>
        <v/>
      </c>
      <c r="P157" s="37">
        <f>IF($T157="","",INDEX(案件入力!$P$2:$P$301,$T157-1))</f>
        <v/>
      </c>
      <c r="Q157" s="35">
        <f>IF($T157="","",INDEX(案件入力!$Q$2:$Q$301,$T157-1))</f>
        <v/>
      </c>
      <c r="R157" s="35">
        <f>IF($T157="","",INDEX(案件入力!$R$2:$R$301,$T157-1))</f>
        <v/>
      </c>
      <c r="S157" s="35">
        <f>IF($T157="","",INDEX(案件入力!$S$2:$S$301,$T157-1))</f>
        <v/>
      </c>
      <c r="T157">
        <f t="array" ref="T157">IFERROR(SMALL(IF((案件入力!$A$2:$A$301&lt;&gt;"")*(案件入力!$R$2:$R$301&lt;&gt;"完了"),ROW(案件入力!$A$2:$A$301)),ROW()-1),"")</f>
        <v/>
      </c>
    </row>
    <row r="158">
      <c r="A158" s="35">
        <f>IF($T158="","",INDEX(案件入力!$A$2:$A$301,$T158-1))</f>
        <v/>
      </c>
      <c r="B158" s="36">
        <f>IF($T158="","",INDEX(案件入力!$B$2:$B$301,$T158-1))</f>
        <v/>
      </c>
      <c r="C158" s="35">
        <f>IF($T158="","",INDEX(案件入力!$C$2:$C$301,$T158-1))</f>
        <v/>
      </c>
      <c r="D158" s="37">
        <f>IF($T158="","",INDEX(案件入力!$D$2:$D$301,$T158-1))</f>
        <v/>
      </c>
      <c r="E158" s="35">
        <f>IF($T158="","",INDEX(案件入力!$E$2:$E$301,$T158-1))</f>
        <v/>
      </c>
      <c r="F158" s="35">
        <f>IF($T158="","",INDEX(案件入力!$F$2:$F$301,$T158-1))</f>
        <v/>
      </c>
      <c r="G158" s="35">
        <f>IF($T158="","",INDEX(案件入力!$G$2:$G$301,$T158-1))</f>
        <v/>
      </c>
      <c r="H158" s="49">
        <f>IF($T158="","",INDEX(案件入力!$H$2:$H$301,$T158-1))</f>
        <v/>
      </c>
      <c r="I158" s="49">
        <f>IF($T158="","",INDEX(案件入力!$I$2:$I$301,$T158-1))</f>
        <v/>
      </c>
      <c r="J158" s="39">
        <f>IF($T158="","",INDEX(案件入力!$J$2:$J$301,$T158-1))</f>
        <v/>
      </c>
      <c r="K158" s="36">
        <f>IF($T158="","",INDEX(案件入力!$K$2:$K$301,$T158-1))</f>
        <v/>
      </c>
      <c r="L158" s="49">
        <f>IF($T158="","",INDEX(案件入力!$L$2:$L$301,$T158-1))</f>
        <v/>
      </c>
      <c r="M158" s="49">
        <f>IF($T158="","",INDEX(案件入力!$M$2:$M$301,$T158-1))</f>
        <v/>
      </c>
      <c r="N158" s="39">
        <f>IF($T158="","",INDEX(案件入力!$N$2:$N$301,$T158-1))</f>
        <v/>
      </c>
      <c r="O158" s="36">
        <f>IF($T158="","",INDEX(案件入力!$O$2:$O$301,$T158-1))</f>
        <v/>
      </c>
      <c r="P158" s="37">
        <f>IF($T158="","",INDEX(案件入力!$P$2:$P$301,$T158-1))</f>
        <v/>
      </c>
      <c r="Q158" s="35">
        <f>IF($T158="","",INDEX(案件入力!$Q$2:$Q$301,$T158-1))</f>
        <v/>
      </c>
      <c r="R158" s="35">
        <f>IF($T158="","",INDEX(案件入力!$R$2:$R$301,$T158-1))</f>
        <v/>
      </c>
      <c r="S158" s="35">
        <f>IF($T158="","",INDEX(案件入力!$S$2:$S$301,$T158-1))</f>
        <v/>
      </c>
      <c r="T158">
        <f t="array" ref="T158">IFERROR(SMALL(IF((案件入力!$A$2:$A$301&lt;&gt;"")*(案件入力!$R$2:$R$301&lt;&gt;"完了"),ROW(案件入力!$A$2:$A$301)),ROW()-1),"")</f>
        <v/>
      </c>
    </row>
    <row r="159">
      <c r="A159" s="35">
        <f>IF($T159="","",INDEX(案件入力!$A$2:$A$301,$T159-1))</f>
        <v/>
      </c>
      <c r="B159" s="36">
        <f>IF($T159="","",INDEX(案件入力!$B$2:$B$301,$T159-1))</f>
        <v/>
      </c>
      <c r="C159" s="35">
        <f>IF($T159="","",INDEX(案件入力!$C$2:$C$301,$T159-1))</f>
        <v/>
      </c>
      <c r="D159" s="37">
        <f>IF($T159="","",INDEX(案件入力!$D$2:$D$301,$T159-1))</f>
        <v/>
      </c>
      <c r="E159" s="35">
        <f>IF($T159="","",INDEX(案件入力!$E$2:$E$301,$T159-1))</f>
        <v/>
      </c>
      <c r="F159" s="35">
        <f>IF($T159="","",INDEX(案件入力!$F$2:$F$301,$T159-1))</f>
        <v/>
      </c>
      <c r="G159" s="35">
        <f>IF($T159="","",INDEX(案件入力!$G$2:$G$301,$T159-1))</f>
        <v/>
      </c>
      <c r="H159" s="49">
        <f>IF($T159="","",INDEX(案件入力!$H$2:$H$301,$T159-1))</f>
        <v/>
      </c>
      <c r="I159" s="49">
        <f>IF($T159="","",INDEX(案件入力!$I$2:$I$301,$T159-1))</f>
        <v/>
      </c>
      <c r="J159" s="39">
        <f>IF($T159="","",INDEX(案件入力!$J$2:$J$301,$T159-1))</f>
        <v/>
      </c>
      <c r="K159" s="36">
        <f>IF($T159="","",INDEX(案件入力!$K$2:$K$301,$T159-1))</f>
        <v/>
      </c>
      <c r="L159" s="49">
        <f>IF($T159="","",INDEX(案件入力!$L$2:$L$301,$T159-1))</f>
        <v/>
      </c>
      <c r="M159" s="49">
        <f>IF($T159="","",INDEX(案件入力!$M$2:$M$301,$T159-1))</f>
        <v/>
      </c>
      <c r="N159" s="39">
        <f>IF($T159="","",INDEX(案件入力!$N$2:$N$301,$T159-1))</f>
        <v/>
      </c>
      <c r="O159" s="36">
        <f>IF($T159="","",INDEX(案件入力!$O$2:$O$301,$T159-1))</f>
        <v/>
      </c>
      <c r="P159" s="37">
        <f>IF($T159="","",INDEX(案件入力!$P$2:$P$301,$T159-1))</f>
        <v/>
      </c>
      <c r="Q159" s="35">
        <f>IF($T159="","",INDEX(案件入力!$Q$2:$Q$301,$T159-1))</f>
        <v/>
      </c>
      <c r="R159" s="35">
        <f>IF($T159="","",INDEX(案件入力!$R$2:$R$301,$T159-1))</f>
        <v/>
      </c>
      <c r="S159" s="35">
        <f>IF($T159="","",INDEX(案件入力!$S$2:$S$301,$T159-1))</f>
        <v/>
      </c>
      <c r="T159">
        <f t="array" ref="T159">IFERROR(SMALL(IF((案件入力!$A$2:$A$301&lt;&gt;"")*(案件入力!$R$2:$R$301&lt;&gt;"完了"),ROW(案件入力!$A$2:$A$301)),ROW()-1),"")</f>
        <v/>
      </c>
    </row>
    <row r="160">
      <c r="A160" s="35">
        <f>IF($T160="","",INDEX(案件入力!$A$2:$A$301,$T160-1))</f>
        <v/>
      </c>
      <c r="B160" s="36">
        <f>IF($T160="","",INDEX(案件入力!$B$2:$B$301,$T160-1))</f>
        <v/>
      </c>
      <c r="C160" s="35">
        <f>IF($T160="","",INDEX(案件入力!$C$2:$C$301,$T160-1))</f>
        <v/>
      </c>
      <c r="D160" s="37">
        <f>IF($T160="","",INDEX(案件入力!$D$2:$D$301,$T160-1))</f>
        <v/>
      </c>
      <c r="E160" s="35">
        <f>IF($T160="","",INDEX(案件入力!$E$2:$E$301,$T160-1))</f>
        <v/>
      </c>
      <c r="F160" s="35">
        <f>IF($T160="","",INDEX(案件入力!$F$2:$F$301,$T160-1))</f>
        <v/>
      </c>
      <c r="G160" s="35">
        <f>IF($T160="","",INDEX(案件入力!$G$2:$G$301,$T160-1))</f>
        <v/>
      </c>
      <c r="H160" s="49">
        <f>IF($T160="","",INDEX(案件入力!$H$2:$H$301,$T160-1))</f>
        <v/>
      </c>
      <c r="I160" s="49">
        <f>IF($T160="","",INDEX(案件入力!$I$2:$I$301,$T160-1))</f>
        <v/>
      </c>
      <c r="J160" s="39">
        <f>IF($T160="","",INDEX(案件入力!$J$2:$J$301,$T160-1))</f>
        <v/>
      </c>
      <c r="K160" s="36">
        <f>IF($T160="","",INDEX(案件入力!$K$2:$K$301,$T160-1))</f>
        <v/>
      </c>
      <c r="L160" s="49">
        <f>IF($T160="","",INDEX(案件入力!$L$2:$L$301,$T160-1))</f>
        <v/>
      </c>
      <c r="M160" s="49">
        <f>IF($T160="","",INDEX(案件入力!$M$2:$M$301,$T160-1))</f>
        <v/>
      </c>
      <c r="N160" s="39">
        <f>IF($T160="","",INDEX(案件入力!$N$2:$N$301,$T160-1))</f>
        <v/>
      </c>
      <c r="O160" s="36">
        <f>IF($T160="","",INDEX(案件入力!$O$2:$O$301,$T160-1))</f>
        <v/>
      </c>
      <c r="P160" s="37">
        <f>IF($T160="","",INDEX(案件入力!$P$2:$P$301,$T160-1))</f>
        <v/>
      </c>
      <c r="Q160" s="35">
        <f>IF($T160="","",INDEX(案件入力!$Q$2:$Q$301,$T160-1))</f>
        <v/>
      </c>
      <c r="R160" s="35">
        <f>IF($T160="","",INDEX(案件入力!$R$2:$R$301,$T160-1))</f>
        <v/>
      </c>
      <c r="S160" s="35">
        <f>IF($T160="","",INDEX(案件入力!$S$2:$S$301,$T160-1))</f>
        <v/>
      </c>
      <c r="T160">
        <f t="array" ref="T160">IFERROR(SMALL(IF((案件入力!$A$2:$A$301&lt;&gt;"")*(案件入力!$R$2:$R$301&lt;&gt;"完了"),ROW(案件入力!$A$2:$A$301)),ROW()-1),"")</f>
        <v/>
      </c>
    </row>
    <row r="161">
      <c r="A161" s="35">
        <f>IF($T161="","",INDEX(案件入力!$A$2:$A$301,$T161-1))</f>
        <v/>
      </c>
      <c r="B161" s="36">
        <f>IF($T161="","",INDEX(案件入力!$B$2:$B$301,$T161-1))</f>
        <v/>
      </c>
      <c r="C161" s="35">
        <f>IF($T161="","",INDEX(案件入力!$C$2:$C$301,$T161-1))</f>
        <v/>
      </c>
      <c r="D161" s="37">
        <f>IF($T161="","",INDEX(案件入力!$D$2:$D$301,$T161-1))</f>
        <v/>
      </c>
      <c r="E161" s="35">
        <f>IF($T161="","",INDEX(案件入力!$E$2:$E$301,$T161-1))</f>
        <v/>
      </c>
      <c r="F161" s="35">
        <f>IF($T161="","",INDEX(案件入力!$F$2:$F$301,$T161-1))</f>
        <v/>
      </c>
      <c r="G161" s="35">
        <f>IF($T161="","",INDEX(案件入力!$G$2:$G$301,$T161-1))</f>
        <v/>
      </c>
      <c r="H161" s="49">
        <f>IF($T161="","",INDEX(案件入力!$H$2:$H$301,$T161-1))</f>
        <v/>
      </c>
      <c r="I161" s="49">
        <f>IF($T161="","",INDEX(案件入力!$I$2:$I$301,$T161-1))</f>
        <v/>
      </c>
      <c r="J161" s="39">
        <f>IF($T161="","",INDEX(案件入力!$J$2:$J$301,$T161-1))</f>
        <v/>
      </c>
      <c r="K161" s="36">
        <f>IF($T161="","",INDEX(案件入力!$K$2:$K$301,$T161-1))</f>
        <v/>
      </c>
      <c r="L161" s="49">
        <f>IF($T161="","",INDEX(案件入力!$L$2:$L$301,$T161-1))</f>
        <v/>
      </c>
      <c r="M161" s="49">
        <f>IF($T161="","",INDEX(案件入力!$M$2:$M$301,$T161-1))</f>
        <v/>
      </c>
      <c r="N161" s="39">
        <f>IF($T161="","",INDEX(案件入力!$N$2:$N$301,$T161-1))</f>
        <v/>
      </c>
      <c r="O161" s="36">
        <f>IF($T161="","",INDEX(案件入力!$O$2:$O$301,$T161-1))</f>
        <v/>
      </c>
      <c r="P161" s="37">
        <f>IF($T161="","",INDEX(案件入力!$P$2:$P$301,$T161-1))</f>
        <v/>
      </c>
      <c r="Q161" s="35">
        <f>IF($T161="","",INDEX(案件入力!$Q$2:$Q$301,$T161-1))</f>
        <v/>
      </c>
      <c r="R161" s="35">
        <f>IF($T161="","",INDEX(案件入力!$R$2:$R$301,$T161-1))</f>
        <v/>
      </c>
      <c r="S161" s="35">
        <f>IF($T161="","",INDEX(案件入力!$S$2:$S$301,$T161-1))</f>
        <v/>
      </c>
      <c r="T161">
        <f t="array" ref="T161">IFERROR(SMALL(IF((案件入力!$A$2:$A$301&lt;&gt;"")*(案件入力!$R$2:$R$301&lt;&gt;"完了"),ROW(案件入力!$A$2:$A$301)),ROW()-1),"")</f>
        <v/>
      </c>
    </row>
    <row r="162">
      <c r="A162" s="35">
        <f>IF($T162="","",INDEX(案件入力!$A$2:$A$301,$T162-1))</f>
        <v/>
      </c>
      <c r="B162" s="36">
        <f>IF($T162="","",INDEX(案件入力!$B$2:$B$301,$T162-1))</f>
        <v/>
      </c>
      <c r="C162" s="35">
        <f>IF($T162="","",INDEX(案件入力!$C$2:$C$301,$T162-1))</f>
        <v/>
      </c>
      <c r="D162" s="37">
        <f>IF($T162="","",INDEX(案件入力!$D$2:$D$301,$T162-1))</f>
        <v/>
      </c>
      <c r="E162" s="35">
        <f>IF($T162="","",INDEX(案件入力!$E$2:$E$301,$T162-1))</f>
        <v/>
      </c>
      <c r="F162" s="35">
        <f>IF($T162="","",INDEX(案件入力!$F$2:$F$301,$T162-1))</f>
        <v/>
      </c>
      <c r="G162" s="35">
        <f>IF($T162="","",INDEX(案件入力!$G$2:$G$301,$T162-1))</f>
        <v/>
      </c>
      <c r="H162" s="49">
        <f>IF($T162="","",INDEX(案件入力!$H$2:$H$301,$T162-1))</f>
        <v/>
      </c>
      <c r="I162" s="49">
        <f>IF($T162="","",INDEX(案件入力!$I$2:$I$301,$T162-1))</f>
        <v/>
      </c>
      <c r="J162" s="39">
        <f>IF($T162="","",INDEX(案件入力!$J$2:$J$301,$T162-1))</f>
        <v/>
      </c>
      <c r="K162" s="36">
        <f>IF($T162="","",INDEX(案件入力!$K$2:$K$301,$T162-1))</f>
        <v/>
      </c>
      <c r="L162" s="49">
        <f>IF($T162="","",INDEX(案件入力!$L$2:$L$301,$T162-1))</f>
        <v/>
      </c>
      <c r="M162" s="49">
        <f>IF($T162="","",INDEX(案件入力!$M$2:$M$301,$T162-1))</f>
        <v/>
      </c>
      <c r="N162" s="39">
        <f>IF($T162="","",INDEX(案件入力!$N$2:$N$301,$T162-1))</f>
        <v/>
      </c>
      <c r="O162" s="36">
        <f>IF($T162="","",INDEX(案件入力!$O$2:$O$301,$T162-1))</f>
        <v/>
      </c>
      <c r="P162" s="37">
        <f>IF($T162="","",INDEX(案件入力!$P$2:$P$301,$T162-1))</f>
        <v/>
      </c>
      <c r="Q162" s="35">
        <f>IF($T162="","",INDEX(案件入力!$Q$2:$Q$301,$T162-1))</f>
        <v/>
      </c>
      <c r="R162" s="35">
        <f>IF($T162="","",INDEX(案件入力!$R$2:$R$301,$T162-1))</f>
        <v/>
      </c>
      <c r="S162" s="35">
        <f>IF($T162="","",INDEX(案件入力!$S$2:$S$301,$T162-1))</f>
        <v/>
      </c>
      <c r="T162">
        <f t="array" ref="T162">IFERROR(SMALL(IF((案件入力!$A$2:$A$301&lt;&gt;"")*(案件入力!$R$2:$R$301&lt;&gt;"完了"),ROW(案件入力!$A$2:$A$301)),ROW()-1),"")</f>
        <v/>
      </c>
    </row>
    <row r="163">
      <c r="A163" s="35">
        <f>IF($T163="","",INDEX(案件入力!$A$2:$A$301,$T163-1))</f>
        <v/>
      </c>
      <c r="B163" s="36">
        <f>IF($T163="","",INDEX(案件入力!$B$2:$B$301,$T163-1))</f>
        <v/>
      </c>
      <c r="C163" s="35">
        <f>IF($T163="","",INDEX(案件入力!$C$2:$C$301,$T163-1))</f>
        <v/>
      </c>
      <c r="D163" s="37">
        <f>IF($T163="","",INDEX(案件入力!$D$2:$D$301,$T163-1))</f>
        <v/>
      </c>
      <c r="E163" s="35">
        <f>IF($T163="","",INDEX(案件入力!$E$2:$E$301,$T163-1))</f>
        <v/>
      </c>
      <c r="F163" s="35">
        <f>IF($T163="","",INDEX(案件入力!$F$2:$F$301,$T163-1))</f>
        <v/>
      </c>
      <c r="G163" s="35">
        <f>IF($T163="","",INDEX(案件入力!$G$2:$G$301,$T163-1))</f>
        <v/>
      </c>
      <c r="H163" s="49">
        <f>IF($T163="","",INDEX(案件入力!$H$2:$H$301,$T163-1))</f>
        <v/>
      </c>
      <c r="I163" s="49">
        <f>IF($T163="","",INDEX(案件入力!$I$2:$I$301,$T163-1))</f>
        <v/>
      </c>
      <c r="J163" s="39">
        <f>IF($T163="","",INDEX(案件入力!$J$2:$J$301,$T163-1))</f>
        <v/>
      </c>
      <c r="K163" s="36">
        <f>IF($T163="","",INDEX(案件入力!$K$2:$K$301,$T163-1))</f>
        <v/>
      </c>
      <c r="L163" s="49">
        <f>IF($T163="","",INDEX(案件入力!$L$2:$L$301,$T163-1))</f>
        <v/>
      </c>
      <c r="M163" s="49">
        <f>IF($T163="","",INDEX(案件入力!$M$2:$M$301,$T163-1))</f>
        <v/>
      </c>
      <c r="N163" s="39">
        <f>IF($T163="","",INDEX(案件入力!$N$2:$N$301,$T163-1))</f>
        <v/>
      </c>
      <c r="O163" s="36">
        <f>IF($T163="","",INDEX(案件入力!$O$2:$O$301,$T163-1))</f>
        <v/>
      </c>
      <c r="P163" s="37">
        <f>IF($T163="","",INDEX(案件入力!$P$2:$P$301,$T163-1))</f>
        <v/>
      </c>
      <c r="Q163" s="35">
        <f>IF($T163="","",INDEX(案件入力!$Q$2:$Q$301,$T163-1))</f>
        <v/>
      </c>
      <c r="R163" s="35">
        <f>IF($T163="","",INDEX(案件入力!$R$2:$R$301,$T163-1))</f>
        <v/>
      </c>
      <c r="S163" s="35">
        <f>IF($T163="","",INDEX(案件入力!$S$2:$S$301,$T163-1))</f>
        <v/>
      </c>
      <c r="T163">
        <f t="array" ref="T163">IFERROR(SMALL(IF((案件入力!$A$2:$A$301&lt;&gt;"")*(案件入力!$R$2:$R$301&lt;&gt;"完了"),ROW(案件入力!$A$2:$A$301)),ROW()-1),"")</f>
        <v/>
      </c>
    </row>
    <row r="164">
      <c r="A164" s="35">
        <f>IF($T164="","",INDEX(案件入力!$A$2:$A$301,$T164-1))</f>
        <v/>
      </c>
      <c r="B164" s="36">
        <f>IF($T164="","",INDEX(案件入力!$B$2:$B$301,$T164-1))</f>
        <v/>
      </c>
      <c r="C164" s="35">
        <f>IF($T164="","",INDEX(案件入力!$C$2:$C$301,$T164-1))</f>
        <v/>
      </c>
      <c r="D164" s="37">
        <f>IF($T164="","",INDEX(案件入力!$D$2:$D$301,$T164-1))</f>
        <v/>
      </c>
      <c r="E164" s="35">
        <f>IF($T164="","",INDEX(案件入力!$E$2:$E$301,$T164-1))</f>
        <v/>
      </c>
      <c r="F164" s="35">
        <f>IF($T164="","",INDEX(案件入力!$F$2:$F$301,$T164-1))</f>
        <v/>
      </c>
      <c r="G164" s="35">
        <f>IF($T164="","",INDEX(案件入力!$G$2:$G$301,$T164-1))</f>
        <v/>
      </c>
      <c r="H164" s="49">
        <f>IF($T164="","",INDEX(案件入力!$H$2:$H$301,$T164-1))</f>
        <v/>
      </c>
      <c r="I164" s="49">
        <f>IF($T164="","",INDEX(案件入力!$I$2:$I$301,$T164-1))</f>
        <v/>
      </c>
      <c r="J164" s="39">
        <f>IF($T164="","",INDEX(案件入力!$J$2:$J$301,$T164-1))</f>
        <v/>
      </c>
      <c r="K164" s="36">
        <f>IF($T164="","",INDEX(案件入力!$K$2:$K$301,$T164-1))</f>
        <v/>
      </c>
      <c r="L164" s="49">
        <f>IF($T164="","",INDEX(案件入力!$L$2:$L$301,$T164-1))</f>
        <v/>
      </c>
      <c r="M164" s="49">
        <f>IF($T164="","",INDEX(案件入力!$M$2:$M$301,$T164-1))</f>
        <v/>
      </c>
      <c r="N164" s="39">
        <f>IF($T164="","",INDEX(案件入力!$N$2:$N$301,$T164-1))</f>
        <v/>
      </c>
      <c r="O164" s="36">
        <f>IF($T164="","",INDEX(案件入力!$O$2:$O$301,$T164-1))</f>
        <v/>
      </c>
      <c r="P164" s="37">
        <f>IF($T164="","",INDEX(案件入力!$P$2:$P$301,$T164-1))</f>
        <v/>
      </c>
      <c r="Q164" s="35">
        <f>IF($T164="","",INDEX(案件入力!$Q$2:$Q$301,$T164-1))</f>
        <v/>
      </c>
      <c r="R164" s="35">
        <f>IF($T164="","",INDEX(案件入力!$R$2:$R$301,$T164-1))</f>
        <v/>
      </c>
      <c r="S164" s="35">
        <f>IF($T164="","",INDEX(案件入力!$S$2:$S$301,$T164-1))</f>
        <v/>
      </c>
      <c r="T164">
        <f t="array" ref="T164">IFERROR(SMALL(IF((案件入力!$A$2:$A$301&lt;&gt;"")*(案件入力!$R$2:$R$301&lt;&gt;"完了"),ROW(案件入力!$A$2:$A$301)),ROW()-1),"")</f>
        <v/>
      </c>
    </row>
    <row r="165">
      <c r="A165" s="35">
        <f>IF($T165="","",INDEX(案件入力!$A$2:$A$301,$T165-1))</f>
        <v/>
      </c>
      <c r="B165" s="36">
        <f>IF($T165="","",INDEX(案件入力!$B$2:$B$301,$T165-1))</f>
        <v/>
      </c>
      <c r="C165" s="35">
        <f>IF($T165="","",INDEX(案件入力!$C$2:$C$301,$T165-1))</f>
        <v/>
      </c>
      <c r="D165" s="37">
        <f>IF($T165="","",INDEX(案件入力!$D$2:$D$301,$T165-1))</f>
        <v/>
      </c>
      <c r="E165" s="35">
        <f>IF($T165="","",INDEX(案件入力!$E$2:$E$301,$T165-1))</f>
        <v/>
      </c>
      <c r="F165" s="35">
        <f>IF($T165="","",INDEX(案件入力!$F$2:$F$301,$T165-1))</f>
        <v/>
      </c>
      <c r="G165" s="35">
        <f>IF($T165="","",INDEX(案件入力!$G$2:$G$301,$T165-1))</f>
        <v/>
      </c>
      <c r="H165" s="49">
        <f>IF($T165="","",INDEX(案件入力!$H$2:$H$301,$T165-1))</f>
        <v/>
      </c>
      <c r="I165" s="49">
        <f>IF($T165="","",INDEX(案件入力!$I$2:$I$301,$T165-1))</f>
        <v/>
      </c>
      <c r="J165" s="39">
        <f>IF($T165="","",INDEX(案件入力!$J$2:$J$301,$T165-1))</f>
        <v/>
      </c>
      <c r="K165" s="36">
        <f>IF($T165="","",INDEX(案件入力!$K$2:$K$301,$T165-1))</f>
        <v/>
      </c>
      <c r="L165" s="49">
        <f>IF($T165="","",INDEX(案件入力!$L$2:$L$301,$T165-1))</f>
        <v/>
      </c>
      <c r="M165" s="49">
        <f>IF($T165="","",INDEX(案件入力!$M$2:$M$301,$T165-1))</f>
        <v/>
      </c>
      <c r="N165" s="39">
        <f>IF($T165="","",INDEX(案件入力!$N$2:$N$301,$T165-1))</f>
        <v/>
      </c>
      <c r="O165" s="36">
        <f>IF($T165="","",INDEX(案件入力!$O$2:$O$301,$T165-1))</f>
        <v/>
      </c>
      <c r="P165" s="37">
        <f>IF($T165="","",INDEX(案件入力!$P$2:$P$301,$T165-1))</f>
        <v/>
      </c>
      <c r="Q165" s="35">
        <f>IF($T165="","",INDEX(案件入力!$Q$2:$Q$301,$T165-1))</f>
        <v/>
      </c>
      <c r="R165" s="35">
        <f>IF($T165="","",INDEX(案件入力!$R$2:$R$301,$T165-1))</f>
        <v/>
      </c>
      <c r="S165" s="35">
        <f>IF($T165="","",INDEX(案件入力!$S$2:$S$301,$T165-1))</f>
        <v/>
      </c>
      <c r="T165">
        <f t="array" ref="T165">IFERROR(SMALL(IF((案件入力!$A$2:$A$301&lt;&gt;"")*(案件入力!$R$2:$R$301&lt;&gt;"完了"),ROW(案件入力!$A$2:$A$301)),ROW()-1),"")</f>
        <v/>
      </c>
    </row>
    <row r="166">
      <c r="A166" s="35">
        <f>IF($T166="","",INDEX(案件入力!$A$2:$A$301,$T166-1))</f>
        <v/>
      </c>
      <c r="B166" s="36">
        <f>IF($T166="","",INDEX(案件入力!$B$2:$B$301,$T166-1))</f>
        <v/>
      </c>
      <c r="C166" s="35">
        <f>IF($T166="","",INDEX(案件入力!$C$2:$C$301,$T166-1))</f>
        <v/>
      </c>
      <c r="D166" s="37">
        <f>IF($T166="","",INDEX(案件入力!$D$2:$D$301,$T166-1))</f>
        <v/>
      </c>
      <c r="E166" s="35">
        <f>IF($T166="","",INDEX(案件入力!$E$2:$E$301,$T166-1))</f>
        <v/>
      </c>
      <c r="F166" s="35">
        <f>IF($T166="","",INDEX(案件入力!$F$2:$F$301,$T166-1))</f>
        <v/>
      </c>
      <c r="G166" s="35">
        <f>IF($T166="","",INDEX(案件入力!$G$2:$G$301,$T166-1))</f>
        <v/>
      </c>
      <c r="H166" s="49">
        <f>IF($T166="","",INDEX(案件入力!$H$2:$H$301,$T166-1))</f>
        <v/>
      </c>
      <c r="I166" s="49">
        <f>IF($T166="","",INDEX(案件入力!$I$2:$I$301,$T166-1))</f>
        <v/>
      </c>
      <c r="J166" s="39">
        <f>IF($T166="","",INDEX(案件入力!$J$2:$J$301,$T166-1))</f>
        <v/>
      </c>
      <c r="K166" s="36">
        <f>IF($T166="","",INDEX(案件入力!$K$2:$K$301,$T166-1))</f>
        <v/>
      </c>
      <c r="L166" s="49">
        <f>IF($T166="","",INDEX(案件入力!$L$2:$L$301,$T166-1))</f>
        <v/>
      </c>
      <c r="M166" s="49">
        <f>IF($T166="","",INDEX(案件入力!$M$2:$M$301,$T166-1))</f>
        <v/>
      </c>
      <c r="N166" s="39">
        <f>IF($T166="","",INDEX(案件入力!$N$2:$N$301,$T166-1))</f>
        <v/>
      </c>
      <c r="O166" s="36">
        <f>IF($T166="","",INDEX(案件入力!$O$2:$O$301,$T166-1))</f>
        <v/>
      </c>
      <c r="P166" s="37">
        <f>IF($T166="","",INDEX(案件入力!$P$2:$P$301,$T166-1))</f>
        <v/>
      </c>
      <c r="Q166" s="35">
        <f>IF($T166="","",INDEX(案件入力!$Q$2:$Q$301,$T166-1))</f>
        <v/>
      </c>
      <c r="R166" s="35">
        <f>IF($T166="","",INDEX(案件入力!$R$2:$R$301,$T166-1))</f>
        <v/>
      </c>
      <c r="S166" s="35">
        <f>IF($T166="","",INDEX(案件入力!$S$2:$S$301,$T166-1))</f>
        <v/>
      </c>
      <c r="T166">
        <f t="array" ref="T166">IFERROR(SMALL(IF((案件入力!$A$2:$A$301&lt;&gt;"")*(案件入力!$R$2:$R$301&lt;&gt;"完了"),ROW(案件入力!$A$2:$A$301)),ROW()-1),"")</f>
        <v/>
      </c>
    </row>
    <row r="167">
      <c r="A167" s="35">
        <f>IF($T167="","",INDEX(案件入力!$A$2:$A$301,$T167-1))</f>
        <v/>
      </c>
      <c r="B167" s="36">
        <f>IF($T167="","",INDEX(案件入力!$B$2:$B$301,$T167-1))</f>
        <v/>
      </c>
      <c r="C167" s="35">
        <f>IF($T167="","",INDEX(案件入力!$C$2:$C$301,$T167-1))</f>
        <v/>
      </c>
      <c r="D167" s="37">
        <f>IF($T167="","",INDEX(案件入力!$D$2:$D$301,$T167-1))</f>
        <v/>
      </c>
      <c r="E167" s="35">
        <f>IF($T167="","",INDEX(案件入力!$E$2:$E$301,$T167-1))</f>
        <v/>
      </c>
      <c r="F167" s="35">
        <f>IF($T167="","",INDEX(案件入力!$F$2:$F$301,$T167-1))</f>
        <v/>
      </c>
      <c r="G167" s="35">
        <f>IF($T167="","",INDEX(案件入力!$G$2:$G$301,$T167-1))</f>
        <v/>
      </c>
      <c r="H167" s="49">
        <f>IF($T167="","",INDEX(案件入力!$H$2:$H$301,$T167-1))</f>
        <v/>
      </c>
      <c r="I167" s="49">
        <f>IF($T167="","",INDEX(案件入力!$I$2:$I$301,$T167-1))</f>
        <v/>
      </c>
      <c r="J167" s="39">
        <f>IF($T167="","",INDEX(案件入力!$J$2:$J$301,$T167-1))</f>
        <v/>
      </c>
      <c r="K167" s="36">
        <f>IF($T167="","",INDEX(案件入力!$K$2:$K$301,$T167-1))</f>
        <v/>
      </c>
      <c r="L167" s="49">
        <f>IF($T167="","",INDEX(案件入力!$L$2:$L$301,$T167-1))</f>
        <v/>
      </c>
      <c r="M167" s="49">
        <f>IF($T167="","",INDEX(案件入力!$M$2:$M$301,$T167-1))</f>
        <v/>
      </c>
      <c r="N167" s="39">
        <f>IF($T167="","",INDEX(案件入力!$N$2:$N$301,$T167-1))</f>
        <v/>
      </c>
      <c r="O167" s="36">
        <f>IF($T167="","",INDEX(案件入力!$O$2:$O$301,$T167-1))</f>
        <v/>
      </c>
      <c r="P167" s="37">
        <f>IF($T167="","",INDEX(案件入力!$P$2:$P$301,$T167-1))</f>
        <v/>
      </c>
      <c r="Q167" s="35">
        <f>IF($T167="","",INDEX(案件入力!$Q$2:$Q$301,$T167-1))</f>
        <v/>
      </c>
      <c r="R167" s="35">
        <f>IF($T167="","",INDEX(案件入力!$R$2:$R$301,$T167-1))</f>
        <v/>
      </c>
      <c r="S167" s="35">
        <f>IF($T167="","",INDEX(案件入力!$S$2:$S$301,$T167-1))</f>
        <v/>
      </c>
      <c r="T167">
        <f t="array" ref="T167">IFERROR(SMALL(IF((案件入力!$A$2:$A$301&lt;&gt;"")*(案件入力!$R$2:$R$301&lt;&gt;"完了"),ROW(案件入力!$A$2:$A$301)),ROW()-1),"")</f>
        <v/>
      </c>
    </row>
    <row r="168">
      <c r="A168" s="35">
        <f>IF($T168="","",INDEX(案件入力!$A$2:$A$301,$T168-1))</f>
        <v/>
      </c>
      <c r="B168" s="36">
        <f>IF($T168="","",INDEX(案件入力!$B$2:$B$301,$T168-1))</f>
        <v/>
      </c>
      <c r="C168" s="35">
        <f>IF($T168="","",INDEX(案件入力!$C$2:$C$301,$T168-1))</f>
        <v/>
      </c>
      <c r="D168" s="37">
        <f>IF($T168="","",INDEX(案件入力!$D$2:$D$301,$T168-1))</f>
        <v/>
      </c>
      <c r="E168" s="35">
        <f>IF($T168="","",INDEX(案件入力!$E$2:$E$301,$T168-1))</f>
        <v/>
      </c>
      <c r="F168" s="35">
        <f>IF($T168="","",INDEX(案件入力!$F$2:$F$301,$T168-1))</f>
        <v/>
      </c>
      <c r="G168" s="35">
        <f>IF($T168="","",INDEX(案件入力!$G$2:$G$301,$T168-1))</f>
        <v/>
      </c>
      <c r="H168" s="49">
        <f>IF($T168="","",INDEX(案件入力!$H$2:$H$301,$T168-1))</f>
        <v/>
      </c>
      <c r="I168" s="49">
        <f>IF($T168="","",INDEX(案件入力!$I$2:$I$301,$T168-1))</f>
        <v/>
      </c>
      <c r="J168" s="39">
        <f>IF($T168="","",INDEX(案件入力!$J$2:$J$301,$T168-1))</f>
        <v/>
      </c>
      <c r="K168" s="36">
        <f>IF($T168="","",INDEX(案件入力!$K$2:$K$301,$T168-1))</f>
        <v/>
      </c>
      <c r="L168" s="49">
        <f>IF($T168="","",INDEX(案件入力!$L$2:$L$301,$T168-1))</f>
        <v/>
      </c>
      <c r="M168" s="49">
        <f>IF($T168="","",INDEX(案件入力!$M$2:$M$301,$T168-1))</f>
        <v/>
      </c>
      <c r="N168" s="39">
        <f>IF($T168="","",INDEX(案件入力!$N$2:$N$301,$T168-1))</f>
        <v/>
      </c>
      <c r="O168" s="36">
        <f>IF($T168="","",INDEX(案件入力!$O$2:$O$301,$T168-1))</f>
        <v/>
      </c>
      <c r="P168" s="37">
        <f>IF($T168="","",INDEX(案件入力!$P$2:$P$301,$T168-1))</f>
        <v/>
      </c>
      <c r="Q168" s="35">
        <f>IF($T168="","",INDEX(案件入力!$Q$2:$Q$301,$T168-1))</f>
        <v/>
      </c>
      <c r="R168" s="35">
        <f>IF($T168="","",INDEX(案件入力!$R$2:$R$301,$T168-1))</f>
        <v/>
      </c>
      <c r="S168" s="35">
        <f>IF($T168="","",INDEX(案件入力!$S$2:$S$301,$T168-1))</f>
        <v/>
      </c>
      <c r="T168">
        <f t="array" ref="T168">IFERROR(SMALL(IF((案件入力!$A$2:$A$301&lt;&gt;"")*(案件入力!$R$2:$R$301&lt;&gt;"完了"),ROW(案件入力!$A$2:$A$301)),ROW()-1),"")</f>
        <v/>
      </c>
    </row>
    <row r="169">
      <c r="A169" s="35">
        <f>IF($T169="","",INDEX(案件入力!$A$2:$A$301,$T169-1))</f>
        <v/>
      </c>
      <c r="B169" s="36">
        <f>IF($T169="","",INDEX(案件入力!$B$2:$B$301,$T169-1))</f>
        <v/>
      </c>
      <c r="C169" s="35">
        <f>IF($T169="","",INDEX(案件入力!$C$2:$C$301,$T169-1))</f>
        <v/>
      </c>
      <c r="D169" s="37">
        <f>IF($T169="","",INDEX(案件入力!$D$2:$D$301,$T169-1))</f>
        <v/>
      </c>
      <c r="E169" s="35">
        <f>IF($T169="","",INDEX(案件入力!$E$2:$E$301,$T169-1))</f>
        <v/>
      </c>
      <c r="F169" s="35">
        <f>IF($T169="","",INDEX(案件入力!$F$2:$F$301,$T169-1))</f>
        <v/>
      </c>
      <c r="G169" s="35">
        <f>IF($T169="","",INDEX(案件入力!$G$2:$G$301,$T169-1))</f>
        <v/>
      </c>
      <c r="H169" s="49">
        <f>IF($T169="","",INDEX(案件入力!$H$2:$H$301,$T169-1))</f>
        <v/>
      </c>
      <c r="I169" s="49">
        <f>IF($T169="","",INDEX(案件入力!$I$2:$I$301,$T169-1))</f>
        <v/>
      </c>
      <c r="J169" s="39">
        <f>IF($T169="","",INDEX(案件入力!$J$2:$J$301,$T169-1))</f>
        <v/>
      </c>
      <c r="K169" s="36">
        <f>IF($T169="","",INDEX(案件入力!$K$2:$K$301,$T169-1))</f>
        <v/>
      </c>
      <c r="L169" s="49">
        <f>IF($T169="","",INDEX(案件入力!$L$2:$L$301,$T169-1))</f>
        <v/>
      </c>
      <c r="M169" s="49">
        <f>IF($T169="","",INDEX(案件入力!$M$2:$M$301,$T169-1))</f>
        <v/>
      </c>
      <c r="N169" s="39">
        <f>IF($T169="","",INDEX(案件入力!$N$2:$N$301,$T169-1))</f>
        <v/>
      </c>
      <c r="O169" s="36">
        <f>IF($T169="","",INDEX(案件入力!$O$2:$O$301,$T169-1))</f>
        <v/>
      </c>
      <c r="P169" s="37">
        <f>IF($T169="","",INDEX(案件入力!$P$2:$P$301,$T169-1))</f>
        <v/>
      </c>
      <c r="Q169" s="35">
        <f>IF($T169="","",INDEX(案件入力!$Q$2:$Q$301,$T169-1))</f>
        <v/>
      </c>
      <c r="R169" s="35">
        <f>IF($T169="","",INDEX(案件入力!$R$2:$R$301,$T169-1))</f>
        <v/>
      </c>
      <c r="S169" s="35">
        <f>IF($T169="","",INDEX(案件入力!$S$2:$S$301,$T169-1))</f>
        <v/>
      </c>
      <c r="T169">
        <f t="array" ref="T169">IFERROR(SMALL(IF((案件入力!$A$2:$A$301&lt;&gt;"")*(案件入力!$R$2:$R$301&lt;&gt;"完了"),ROW(案件入力!$A$2:$A$301)),ROW()-1),"")</f>
        <v/>
      </c>
    </row>
    <row r="170">
      <c r="A170" s="35">
        <f>IF($T170="","",INDEX(案件入力!$A$2:$A$301,$T170-1))</f>
        <v/>
      </c>
      <c r="B170" s="36">
        <f>IF($T170="","",INDEX(案件入力!$B$2:$B$301,$T170-1))</f>
        <v/>
      </c>
      <c r="C170" s="35">
        <f>IF($T170="","",INDEX(案件入力!$C$2:$C$301,$T170-1))</f>
        <v/>
      </c>
      <c r="D170" s="37">
        <f>IF($T170="","",INDEX(案件入力!$D$2:$D$301,$T170-1))</f>
        <v/>
      </c>
      <c r="E170" s="35">
        <f>IF($T170="","",INDEX(案件入力!$E$2:$E$301,$T170-1))</f>
        <v/>
      </c>
      <c r="F170" s="35">
        <f>IF($T170="","",INDEX(案件入力!$F$2:$F$301,$T170-1))</f>
        <v/>
      </c>
      <c r="G170" s="35">
        <f>IF($T170="","",INDEX(案件入力!$G$2:$G$301,$T170-1))</f>
        <v/>
      </c>
      <c r="H170" s="49">
        <f>IF($T170="","",INDEX(案件入力!$H$2:$H$301,$T170-1))</f>
        <v/>
      </c>
      <c r="I170" s="49">
        <f>IF($T170="","",INDEX(案件入力!$I$2:$I$301,$T170-1))</f>
        <v/>
      </c>
      <c r="J170" s="39">
        <f>IF($T170="","",INDEX(案件入力!$J$2:$J$301,$T170-1))</f>
        <v/>
      </c>
      <c r="K170" s="36">
        <f>IF($T170="","",INDEX(案件入力!$K$2:$K$301,$T170-1))</f>
        <v/>
      </c>
      <c r="L170" s="49">
        <f>IF($T170="","",INDEX(案件入力!$L$2:$L$301,$T170-1))</f>
        <v/>
      </c>
      <c r="M170" s="49">
        <f>IF($T170="","",INDEX(案件入力!$M$2:$M$301,$T170-1))</f>
        <v/>
      </c>
      <c r="N170" s="39">
        <f>IF($T170="","",INDEX(案件入力!$N$2:$N$301,$T170-1))</f>
        <v/>
      </c>
      <c r="O170" s="36">
        <f>IF($T170="","",INDEX(案件入力!$O$2:$O$301,$T170-1))</f>
        <v/>
      </c>
      <c r="P170" s="37">
        <f>IF($T170="","",INDEX(案件入力!$P$2:$P$301,$T170-1))</f>
        <v/>
      </c>
      <c r="Q170" s="35">
        <f>IF($T170="","",INDEX(案件入力!$Q$2:$Q$301,$T170-1))</f>
        <v/>
      </c>
      <c r="R170" s="35">
        <f>IF($T170="","",INDEX(案件入力!$R$2:$R$301,$T170-1))</f>
        <v/>
      </c>
      <c r="S170" s="35">
        <f>IF($T170="","",INDEX(案件入力!$S$2:$S$301,$T170-1))</f>
        <v/>
      </c>
      <c r="T170">
        <f t="array" ref="T170">IFERROR(SMALL(IF((案件入力!$A$2:$A$301&lt;&gt;"")*(案件入力!$R$2:$R$301&lt;&gt;"完了"),ROW(案件入力!$A$2:$A$301)),ROW()-1),"")</f>
        <v/>
      </c>
    </row>
    <row r="171">
      <c r="A171" s="35">
        <f>IF($T171="","",INDEX(案件入力!$A$2:$A$301,$T171-1))</f>
        <v/>
      </c>
      <c r="B171" s="36">
        <f>IF($T171="","",INDEX(案件入力!$B$2:$B$301,$T171-1))</f>
        <v/>
      </c>
      <c r="C171" s="35">
        <f>IF($T171="","",INDEX(案件入力!$C$2:$C$301,$T171-1))</f>
        <v/>
      </c>
      <c r="D171" s="37">
        <f>IF($T171="","",INDEX(案件入力!$D$2:$D$301,$T171-1))</f>
        <v/>
      </c>
      <c r="E171" s="35">
        <f>IF($T171="","",INDEX(案件入力!$E$2:$E$301,$T171-1))</f>
        <v/>
      </c>
      <c r="F171" s="35">
        <f>IF($T171="","",INDEX(案件入力!$F$2:$F$301,$T171-1))</f>
        <v/>
      </c>
      <c r="G171" s="35">
        <f>IF($T171="","",INDEX(案件入力!$G$2:$G$301,$T171-1))</f>
        <v/>
      </c>
      <c r="H171" s="49">
        <f>IF($T171="","",INDEX(案件入力!$H$2:$H$301,$T171-1))</f>
        <v/>
      </c>
      <c r="I171" s="49">
        <f>IF($T171="","",INDEX(案件入力!$I$2:$I$301,$T171-1))</f>
        <v/>
      </c>
      <c r="J171" s="39">
        <f>IF($T171="","",INDEX(案件入力!$J$2:$J$301,$T171-1))</f>
        <v/>
      </c>
      <c r="K171" s="36">
        <f>IF($T171="","",INDEX(案件入力!$K$2:$K$301,$T171-1))</f>
        <v/>
      </c>
      <c r="L171" s="49">
        <f>IF($T171="","",INDEX(案件入力!$L$2:$L$301,$T171-1))</f>
        <v/>
      </c>
      <c r="M171" s="49">
        <f>IF($T171="","",INDEX(案件入力!$M$2:$M$301,$T171-1))</f>
        <v/>
      </c>
      <c r="N171" s="39">
        <f>IF($T171="","",INDEX(案件入力!$N$2:$N$301,$T171-1))</f>
        <v/>
      </c>
      <c r="O171" s="36">
        <f>IF($T171="","",INDEX(案件入力!$O$2:$O$301,$T171-1))</f>
        <v/>
      </c>
      <c r="P171" s="37">
        <f>IF($T171="","",INDEX(案件入力!$P$2:$P$301,$T171-1))</f>
        <v/>
      </c>
      <c r="Q171" s="35">
        <f>IF($T171="","",INDEX(案件入力!$Q$2:$Q$301,$T171-1))</f>
        <v/>
      </c>
      <c r="R171" s="35">
        <f>IF($T171="","",INDEX(案件入力!$R$2:$R$301,$T171-1))</f>
        <v/>
      </c>
      <c r="S171" s="35">
        <f>IF($T171="","",INDEX(案件入力!$S$2:$S$301,$T171-1))</f>
        <v/>
      </c>
      <c r="T171">
        <f t="array" ref="T171">IFERROR(SMALL(IF((案件入力!$A$2:$A$301&lt;&gt;"")*(案件入力!$R$2:$R$301&lt;&gt;"完了"),ROW(案件入力!$A$2:$A$301)),ROW()-1),"")</f>
        <v/>
      </c>
    </row>
    <row r="172">
      <c r="A172" s="35">
        <f>IF($T172="","",INDEX(案件入力!$A$2:$A$301,$T172-1))</f>
        <v/>
      </c>
      <c r="B172" s="36">
        <f>IF($T172="","",INDEX(案件入力!$B$2:$B$301,$T172-1))</f>
        <v/>
      </c>
      <c r="C172" s="35">
        <f>IF($T172="","",INDEX(案件入力!$C$2:$C$301,$T172-1))</f>
        <v/>
      </c>
      <c r="D172" s="37">
        <f>IF($T172="","",INDEX(案件入力!$D$2:$D$301,$T172-1))</f>
        <v/>
      </c>
      <c r="E172" s="35">
        <f>IF($T172="","",INDEX(案件入力!$E$2:$E$301,$T172-1))</f>
        <v/>
      </c>
      <c r="F172" s="35">
        <f>IF($T172="","",INDEX(案件入力!$F$2:$F$301,$T172-1))</f>
        <v/>
      </c>
      <c r="G172" s="35">
        <f>IF($T172="","",INDEX(案件入力!$G$2:$G$301,$T172-1))</f>
        <v/>
      </c>
      <c r="H172" s="49">
        <f>IF($T172="","",INDEX(案件入力!$H$2:$H$301,$T172-1))</f>
        <v/>
      </c>
      <c r="I172" s="49">
        <f>IF($T172="","",INDEX(案件入力!$I$2:$I$301,$T172-1))</f>
        <v/>
      </c>
      <c r="J172" s="39">
        <f>IF($T172="","",INDEX(案件入力!$J$2:$J$301,$T172-1))</f>
        <v/>
      </c>
      <c r="K172" s="36">
        <f>IF($T172="","",INDEX(案件入力!$K$2:$K$301,$T172-1))</f>
        <v/>
      </c>
      <c r="L172" s="49">
        <f>IF($T172="","",INDEX(案件入力!$L$2:$L$301,$T172-1))</f>
        <v/>
      </c>
      <c r="M172" s="49">
        <f>IF($T172="","",INDEX(案件入力!$M$2:$M$301,$T172-1))</f>
        <v/>
      </c>
      <c r="N172" s="39">
        <f>IF($T172="","",INDEX(案件入力!$N$2:$N$301,$T172-1))</f>
        <v/>
      </c>
      <c r="O172" s="36">
        <f>IF($T172="","",INDEX(案件入力!$O$2:$O$301,$T172-1))</f>
        <v/>
      </c>
      <c r="P172" s="37">
        <f>IF($T172="","",INDEX(案件入力!$P$2:$P$301,$T172-1))</f>
        <v/>
      </c>
      <c r="Q172" s="35">
        <f>IF($T172="","",INDEX(案件入力!$Q$2:$Q$301,$T172-1))</f>
        <v/>
      </c>
      <c r="R172" s="35">
        <f>IF($T172="","",INDEX(案件入力!$R$2:$R$301,$T172-1))</f>
        <v/>
      </c>
      <c r="S172" s="35">
        <f>IF($T172="","",INDEX(案件入力!$S$2:$S$301,$T172-1))</f>
        <v/>
      </c>
      <c r="T172">
        <f t="array" ref="T172">IFERROR(SMALL(IF((案件入力!$A$2:$A$301&lt;&gt;"")*(案件入力!$R$2:$R$301&lt;&gt;"完了"),ROW(案件入力!$A$2:$A$301)),ROW()-1),"")</f>
        <v/>
      </c>
    </row>
    <row r="173">
      <c r="A173" s="35">
        <f>IF($T173="","",INDEX(案件入力!$A$2:$A$301,$T173-1))</f>
        <v/>
      </c>
      <c r="B173" s="36">
        <f>IF($T173="","",INDEX(案件入力!$B$2:$B$301,$T173-1))</f>
        <v/>
      </c>
      <c r="C173" s="35">
        <f>IF($T173="","",INDEX(案件入力!$C$2:$C$301,$T173-1))</f>
        <v/>
      </c>
      <c r="D173" s="37">
        <f>IF($T173="","",INDEX(案件入力!$D$2:$D$301,$T173-1))</f>
        <v/>
      </c>
      <c r="E173" s="35">
        <f>IF($T173="","",INDEX(案件入力!$E$2:$E$301,$T173-1))</f>
        <v/>
      </c>
      <c r="F173" s="35">
        <f>IF($T173="","",INDEX(案件入力!$F$2:$F$301,$T173-1))</f>
        <v/>
      </c>
      <c r="G173" s="35">
        <f>IF($T173="","",INDEX(案件入力!$G$2:$G$301,$T173-1))</f>
        <v/>
      </c>
      <c r="H173" s="49">
        <f>IF($T173="","",INDEX(案件入力!$H$2:$H$301,$T173-1))</f>
        <v/>
      </c>
      <c r="I173" s="49">
        <f>IF($T173="","",INDEX(案件入力!$I$2:$I$301,$T173-1))</f>
        <v/>
      </c>
      <c r="J173" s="39">
        <f>IF($T173="","",INDEX(案件入力!$J$2:$J$301,$T173-1))</f>
        <v/>
      </c>
      <c r="K173" s="36">
        <f>IF($T173="","",INDEX(案件入力!$K$2:$K$301,$T173-1))</f>
        <v/>
      </c>
      <c r="L173" s="49">
        <f>IF($T173="","",INDEX(案件入力!$L$2:$L$301,$T173-1))</f>
        <v/>
      </c>
      <c r="M173" s="49">
        <f>IF($T173="","",INDEX(案件入力!$M$2:$M$301,$T173-1))</f>
        <v/>
      </c>
      <c r="N173" s="39">
        <f>IF($T173="","",INDEX(案件入力!$N$2:$N$301,$T173-1))</f>
        <v/>
      </c>
      <c r="O173" s="36">
        <f>IF($T173="","",INDEX(案件入力!$O$2:$O$301,$T173-1))</f>
        <v/>
      </c>
      <c r="P173" s="37">
        <f>IF($T173="","",INDEX(案件入力!$P$2:$P$301,$T173-1))</f>
        <v/>
      </c>
      <c r="Q173" s="35">
        <f>IF($T173="","",INDEX(案件入力!$Q$2:$Q$301,$T173-1))</f>
        <v/>
      </c>
      <c r="R173" s="35">
        <f>IF($T173="","",INDEX(案件入力!$R$2:$R$301,$T173-1))</f>
        <v/>
      </c>
      <c r="S173" s="35">
        <f>IF($T173="","",INDEX(案件入力!$S$2:$S$301,$T173-1))</f>
        <v/>
      </c>
      <c r="T173">
        <f t="array" ref="T173">IFERROR(SMALL(IF((案件入力!$A$2:$A$301&lt;&gt;"")*(案件入力!$R$2:$R$301&lt;&gt;"完了"),ROW(案件入力!$A$2:$A$301)),ROW()-1),"")</f>
        <v/>
      </c>
    </row>
    <row r="174">
      <c r="A174" s="35">
        <f>IF($T174="","",INDEX(案件入力!$A$2:$A$301,$T174-1))</f>
        <v/>
      </c>
      <c r="B174" s="36">
        <f>IF($T174="","",INDEX(案件入力!$B$2:$B$301,$T174-1))</f>
        <v/>
      </c>
      <c r="C174" s="35">
        <f>IF($T174="","",INDEX(案件入力!$C$2:$C$301,$T174-1))</f>
        <v/>
      </c>
      <c r="D174" s="37">
        <f>IF($T174="","",INDEX(案件入力!$D$2:$D$301,$T174-1))</f>
        <v/>
      </c>
      <c r="E174" s="35">
        <f>IF($T174="","",INDEX(案件入力!$E$2:$E$301,$T174-1))</f>
        <v/>
      </c>
      <c r="F174" s="35">
        <f>IF($T174="","",INDEX(案件入力!$F$2:$F$301,$T174-1))</f>
        <v/>
      </c>
      <c r="G174" s="35">
        <f>IF($T174="","",INDEX(案件入力!$G$2:$G$301,$T174-1))</f>
        <v/>
      </c>
      <c r="H174" s="49">
        <f>IF($T174="","",INDEX(案件入力!$H$2:$H$301,$T174-1))</f>
        <v/>
      </c>
      <c r="I174" s="49">
        <f>IF($T174="","",INDEX(案件入力!$I$2:$I$301,$T174-1))</f>
        <v/>
      </c>
      <c r="J174" s="39">
        <f>IF($T174="","",INDEX(案件入力!$J$2:$J$301,$T174-1))</f>
        <v/>
      </c>
      <c r="K174" s="36">
        <f>IF($T174="","",INDEX(案件入力!$K$2:$K$301,$T174-1))</f>
        <v/>
      </c>
      <c r="L174" s="49">
        <f>IF($T174="","",INDEX(案件入力!$L$2:$L$301,$T174-1))</f>
        <v/>
      </c>
      <c r="M174" s="49">
        <f>IF($T174="","",INDEX(案件入力!$M$2:$M$301,$T174-1))</f>
        <v/>
      </c>
      <c r="N174" s="39">
        <f>IF($T174="","",INDEX(案件入力!$N$2:$N$301,$T174-1))</f>
        <v/>
      </c>
      <c r="O174" s="36">
        <f>IF($T174="","",INDEX(案件入力!$O$2:$O$301,$T174-1))</f>
        <v/>
      </c>
      <c r="P174" s="37">
        <f>IF($T174="","",INDEX(案件入力!$P$2:$P$301,$T174-1))</f>
        <v/>
      </c>
      <c r="Q174" s="35">
        <f>IF($T174="","",INDEX(案件入力!$Q$2:$Q$301,$T174-1))</f>
        <v/>
      </c>
      <c r="R174" s="35">
        <f>IF($T174="","",INDEX(案件入力!$R$2:$R$301,$T174-1))</f>
        <v/>
      </c>
      <c r="S174" s="35">
        <f>IF($T174="","",INDEX(案件入力!$S$2:$S$301,$T174-1))</f>
        <v/>
      </c>
      <c r="T174">
        <f t="array" ref="T174">IFERROR(SMALL(IF((案件入力!$A$2:$A$301&lt;&gt;"")*(案件入力!$R$2:$R$301&lt;&gt;"完了"),ROW(案件入力!$A$2:$A$301)),ROW()-1),"")</f>
        <v/>
      </c>
    </row>
    <row r="175">
      <c r="A175" s="35">
        <f>IF($T175="","",INDEX(案件入力!$A$2:$A$301,$T175-1))</f>
        <v/>
      </c>
      <c r="B175" s="36">
        <f>IF($T175="","",INDEX(案件入力!$B$2:$B$301,$T175-1))</f>
        <v/>
      </c>
      <c r="C175" s="35">
        <f>IF($T175="","",INDEX(案件入力!$C$2:$C$301,$T175-1))</f>
        <v/>
      </c>
      <c r="D175" s="37">
        <f>IF($T175="","",INDEX(案件入力!$D$2:$D$301,$T175-1))</f>
        <v/>
      </c>
      <c r="E175" s="35">
        <f>IF($T175="","",INDEX(案件入力!$E$2:$E$301,$T175-1))</f>
        <v/>
      </c>
      <c r="F175" s="35">
        <f>IF($T175="","",INDEX(案件入力!$F$2:$F$301,$T175-1))</f>
        <v/>
      </c>
      <c r="G175" s="35">
        <f>IF($T175="","",INDEX(案件入力!$G$2:$G$301,$T175-1))</f>
        <v/>
      </c>
      <c r="H175" s="49">
        <f>IF($T175="","",INDEX(案件入力!$H$2:$H$301,$T175-1))</f>
        <v/>
      </c>
      <c r="I175" s="49">
        <f>IF($T175="","",INDEX(案件入力!$I$2:$I$301,$T175-1))</f>
        <v/>
      </c>
      <c r="J175" s="39">
        <f>IF($T175="","",INDEX(案件入力!$J$2:$J$301,$T175-1))</f>
        <v/>
      </c>
      <c r="K175" s="36">
        <f>IF($T175="","",INDEX(案件入力!$K$2:$K$301,$T175-1))</f>
        <v/>
      </c>
      <c r="L175" s="49">
        <f>IF($T175="","",INDEX(案件入力!$L$2:$L$301,$T175-1))</f>
        <v/>
      </c>
      <c r="M175" s="49">
        <f>IF($T175="","",INDEX(案件入力!$M$2:$M$301,$T175-1))</f>
        <v/>
      </c>
      <c r="N175" s="39">
        <f>IF($T175="","",INDEX(案件入力!$N$2:$N$301,$T175-1))</f>
        <v/>
      </c>
      <c r="O175" s="36">
        <f>IF($T175="","",INDEX(案件入力!$O$2:$O$301,$T175-1))</f>
        <v/>
      </c>
      <c r="P175" s="37">
        <f>IF($T175="","",INDEX(案件入力!$P$2:$P$301,$T175-1))</f>
        <v/>
      </c>
      <c r="Q175" s="35">
        <f>IF($T175="","",INDEX(案件入力!$Q$2:$Q$301,$T175-1))</f>
        <v/>
      </c>
      <c r="R175" s="35">
        <f>IF($T175="","",INDEX(案件入力!$R$2:$R$301,$T175-1))</f>
        <v/>
      </c>
      <c r="S175" s="35">
        <f>IF($T175="","",INDEX(案件入力!$S$2:$S$301,$T175-1))</f>
        <v/>
      </c>
      <c r="T175">
        <f t="array" ref="T175">IFERROR(SMALL(IF((案件入力!$A$2:$A$301&lt;&gt;"")*(案件入力!$R$2:$R$301&lt;&gt;"完了"),ROW(案件入力!$A$2:$A$301)),ROW()-1),"")</f>
        <v/>
      </c>
    </row>
    <row r="176">
      <c r="A176" s="35">
        <f>IF($T176="","",INDEX(案件入力!$A$2:$A$301,$T176-1))</f>
        <v/>
      </c>
      <c r="B176" s="36">
        <f>IF($T176="","",INDEX(案件入力!$B$2:$B$301,$T176-1))</f>
        <v/>
      </c>
      <c r="C176" s="35">
        <f>IF($T176="","",INDEX(案件入力!$C$2:$C$301,$T176-1))</f>
        <v/>
      </c>
      <c r="D176" s="37">
        <f>IF($T176="","",INDEX(案件入力!$D$2:$D$301,$T176-1))</f>
        <v/>
      </c>
      <c r="E176" s="35">
        <f>IF($T176="","",INDEX(案件入力!$E$2:$E$301,$T176-1))</f>
        <v/>
      </c>
      <c r="F176" s="35">
        <f>IF($T176="","",INDEX(案件入力!$F$2:$F$301,$T176-1))</f>
        <v/>
      </c>
      <c r="G176" s="35">
        <f>IF($T176="","",INDEX(案件入力!$G$2:$G$301,$T176-1))</f>
        <v/>
      </c>
      <c r="H176" s="49">
        <f>IF($T176="","",INDEX(案件入力!$H$2:$H$301,$T176-1))</f>
        <v/>
      </c>
      <c r="I176" s="49">
        <f>IF($T176="","",INDEX(案件入力!$I$2:$I$301,$T176-1))</f>
        <v/>
      </c>
      <c r="J176" s="39">
        <f>IF($T176="","",INDEX(案件入力!$J$2:$J$301,$T176-1))</f>
        <v/>
      </c>
      <c r="K176" s="36">
        <f>IF($T176="","",INDEX(案件入力!$K$2:$K$301,$T176-1))</f>
        <v/>
      </c>
      <c r="L176" s="49">
        <f>IF($T176="","",INDEX(案件入力!$L$2:$L$301,$T176-1))</f>
        <v/>
      </c>
      <c r="M176" s="49">
        <f>IF($T176="","",INDEX(案件入力!$M$2:$M$301,$T176-1))</f>
        <v/>
      </c>
      <c r="N176" s="39">
        <f>IF($T176="","",INDEX(案件入力!$N$2:$N$301,$T176-1))</f>
        <v/>
      </c>
      <c r="O176" s="36">
        <f>IF($T176="","",INDEX(案件入力!$O$2:$O$301,$T176-1))</f>
        <v/>
      </c>
      <c r="P176" s="37">
        <f>IF($T176="","",INDEX(案件入力!$P$2:$P$301,$T176-1))</f>
        <v/>
      </c>
      <c r="Q176" s="35">
        <f>IF($T176="","",INDEX(案件入力!$Q$2:$Q$301,$T176-1))</f>
        <v/>
      </c>
      <c r="R176" s="35">
        <f>IF($T176="","",INDEX(案件入力!$R$2:$R$301,$T176-1))</f>
        <v/>
      </c>
      <c r="S176" s="35">
        <f>IF($T176="","",INDEX(案件入力!$S$2:$S$301,$T176-1))</f>
        <v/>
      </c>
      <c r="T176">
        <f t="array" ref="T176">IFERROR(SMALL(IF((案件入力!$A$2:$A$301&lt;&gt;"")*(案件入力!$R$2:$R$301&lt;&gt;"完了"),ROW(案件入力!$A$2:$A$301)),ROW()-1),"")</f>
        <v/>
      </c>
    </row>
    <row r="177">
      <c r="A177" s="35">
        <f>IF($T177="","",INDEX(案件入力!$A$2:$A$301,$T177-1))</f>
        <v/>
      </c>
      <c r="B177" s="36">
        <f>IF($T177="","",INDEX(案件入力!$B$2:$B$301,$T177-1))</f>
        <v/>
      </c>
      <c r="C177" s="35">
        <f>IF($T177="","",INDEX(案件入力!$C$2:$C$301,$T177-1))</f>
        <v/>
      </c>
      <c r="D177" s="37">
        <f>IF($T177="","",INDEX(案件入力!$D$2:$D$301,$T177-1))</f>
        <v/>
      </c>
      <c r="E177" s="35">
        <f>IF($T177="","",INDEX(案件入力!$E$2:$E$301,$T177-1))</f>
        <v/>
      </c>
      <c r="F177" s="35">
        <f>IF($T177="","",INDEX(案件入力!$F$2:$F$301,$T177-1))</f>
        <v/>
      </c>
      <c r="G177" s="35">
        <f>IF($T177="","",INDEX(案件入力!$G$2:$G$301,$T177-1))</f>
        <v/>
      </c>
      <c r="H177" s="49">
        <f>IF($T177="","",INDEX(案件入力!$H$2:$H$301,$T177-1))</f>
        <v/>
      </c>
      <c r="I177" s="49">
        <f>IF($T177="","",INDEX(案件入力!$I$2:$I$301,$T177-1))</f>
        <v/>
      </c>
      <c r="J177" s="39">
        <f>IF($T177="","",INDEX(案件入力!$J$2:$J$301,$T177-1))</f>
        <v/>
      </c>
      <c r="K177" s="36">
        <f>IF($T177="","",INDEX(案件入力!$K$2:$K$301,$T177-1))</f>
        <v/>
      </c>
      <c r="L177" s="49">
        <f>IF($T177="","",INDEX(案件入力!$L$2:$L$301,$T177-1))</f>
        <v/>
      </c>
      <c r="M177" s="49">
        <f>IF($T177="","",INDEX(案件入力!$M$2:$M$301,$T177-1))</f>
        <v/>
      </c>
      <c r="N177" s="39">
        <f>IF($T177="","",INDEX(案件入力!$N$2:$N$301,$T177-1))</f>
        <v/>
      </c>
      <c r="O177" s="36">
        <f>IF($T177="","",INDEX(案件入力!$O$2:$O$301,$T177-1))</f>
        <v/>
      </c>
      <c r="P177" s="37">
        <f>IF($T177="","",INDEX(案件入力!$P$2:$P$301,$T177-1))</f>
        <v/>
      </c>
      <c r="Q177" s="35">
        <f>IF($T177="","",INDEX(案件入力!$Q$2:$Q$301,$T177-1))</f>
        <v/>
      </c>
      <c r="R177" s="35">
        <f>IF($T177="","",INDEX(案件入力!$R$2:$R$301,$T177-1))</f>
        <v/>
      </c>
      <c r="S177" s="35">
        <f>IF($T177="","",INDEX(案件入力!$S$2:$S$301,$T177-1))</f>
        <v/>
      </c>
      <c r="T177">
        <f t="array" ref="T177">IFERROR(SMALL(IF((案件入力!$A$2:$A$301&lt;&gt;"")*(案件入力!$R$2:$R$301&lt;&gt;"完了"),ROW(案件入力!$A$2:$A$301)),ROW()-1),"")</f>
        <v/>
      </c>
    </row>
    <row r="178">
      <c r="A178" s="35">
        <f>IF($T178="","",INDEX(案件入力!$A$2:$A$301,$T178-1))</f>
        <v/>
      </c>
      <c r="B178" s="36">
        <f>IF($T178="","",INDEX(案件入力!$B$2:$B$301,$T178-1))</f>
        <v/>
      </c>
      <c r="C178" s="35">
        <f>IF($T178="","",INDEX(案件入力!$C$2:$C$301,$T178-1))</f>
        <v/>
      </c>
      <c r="D178" s="37">
        <f>IF($T178="","",INDEX(案件入力!$D$2:$D$301,$T178-1))</f>
        <v/>
      </c>
      <c r="E178" s="35">
        <f>IF($T178="","",INDEX(案件入力!$E$2:$E$301,$T178-1))</f>
        <v/>
      </c>
      <c r="F178" s="35">
        <f>IF($T178="","",INDEX(案件入力!$F$2:$F$301,$T178-1))</f>
        <v/>
      </c>
      <c r="G178" s="35">
        <f>IF($T178="","",INDEX(案件入力!$G$2:$G$301,$T178-1))</f>
        <v/>
      </c>
      <c r="H178" s="49">
        <f>IF($T178="","",INDEX(案件入力!$H$2:$H$301,$T178-1))</f>
        <v/>
      </c>
      <c r="I178" s="49">
        <f>IF($T178="","",INDEX(案件入力!$I$2:$I$301,$T178-1))</f>
        <v/>
      </c>
      <c r="J178" s="39">
        <f>IF($T178="","",INDEX(案件入力!$J$2:$J$301,$T178-1))</f>
        <v/>
      </c>
      <c r="K178" s="36">
        <f>IF($T178="","",INDEX(案件入力!$K$2:$K$301,$T178-1))</f>
        <v/>
      </c>
      <c r="L178" s="49">
        <f>IF($T178="","",INDEX(案件入力!$L$2:$L$301,$T178-1))</f>
        <v/>
      </c>
      <c r="M178" s="49">
        <f>IF($T178="","",INDEX(案件入力!$M$2:$M$301,$T178-1))</f>
        <v/>
      </c>
      <c r="N178" s="39">
        <f>IF($T178="","",INDEX(案件入力!$N$2:$N$301,$T178-1))</f>
        <v/>
      </c>
      <c r="O178" s="36">
        <f>IF($T178="","",INDEX(案件入力!$O$2:$O$301,$T178-1))</f>
        <v/>
      </c>
      <c r="P178" s="37">
        <f>IF($T178="","",INDEX(案件入力!$P$2:$P$301,$T178-1))</f>
        <v/>
      </c>
      <c r="Q178" s="35">
        <f>IF($T178="","",INDEX(案件入力!$Q$2:$Q$301,$T178-1))</f>
        <v/>
      </c>
      <c r="R178" s="35">
        <f>IF($T178="","",INDEX(案件入力!$R$2:$R$301,$T178-1))</f>
        <v/>
      </c>
      <c r="S178" s="35">
        <f>IF($T178="","",INDEX(案件入力!$S$2:$S$301,$T178-1))</f>
        <v/>
      </c>
      <c r="T178">
        <f t="array" ref="T178">IFERROR(SMALL(IF((案件入力!$A$2:$A$301&lt;&gt;"")*(案件入力!$R$2:$R$301&lt;&gt;"完了"),ROW(案件入力!$A$2:$A$301)),ROW()-1),"")</f>
        <v/>
      </c>
    </row>
    <row r="179">
      <c r="A179" s="35">
        <f>IF($T179="","",INDEX(案件入力!$A$2:$A$301,$T179-1))</f>
        <v/>
      </c>
      <c r="B179" s="36">
        <f>IF($T179="","",INDEX(案件入力!$B$2:$B$301,$T179-1))</f>
        <v/>
      </c>
      <c r="C179" s="35">
        <f>IF($T179="","",INDEX(案件入力!$C$2:$C$301,$T179-1))</f>
        <v/>
      </c>
      <c r="D179" s="37">
        <f>IF($T179="","",INDEX(案件入力!$D$2:$D$301,$T179-1))</f>
        <v/>
      </c>
      <c r="E179" s="35">
        <f>IF($T179="","",INDEX(案件入力!$E$2:$E$301,$T179-1))</f>
        <v/>
      </c>
      <c r="F179" s="35">
        <f>IF($T179="","",INDEX(案件入力!$F$2:$F$301,$T179-1))</f>
        <v/>
      </c>
      <c r="G179" s="35">
        <f>IF($T179="","",INDEX(案件入力!$G$2:$G$301,$T179-1))</f>
        <v/>
      </c>
      <c r="H179" s="49">
        <f>IF($T179="","",INDEX(案件入力!$H$2:$H$301,$T179-1))</f>
        <v/>
      </c>
      <c r="I179" s="49">
        <f>IF($T179="","",INDEX(案件入力!$I$2:$I$301,$T179-1))</f>
        <v/>
      </c>
      <c r="J179" s="39">
        <f>IF($T179="","",INDEX(案件入力!$J$2:$J$301,$T179-1))</f>
        <v/>
      </c>
      <c r="K179" s="36">
        <f>IF($T179="","",INDEX(案件入力!$K$2:$K$301,$T179-1))</f>
        <v/>
      </c>
      <c r="L179" s="49">
        <f>IF($T179="","",INDEX(案件入力!$L$2:$L$301,$T179-1))</f>
        <v/>
      </c>
      <c r="M179" s="49">
        <f>IF($T179="","",INDEX(案件入力!$M$2:$M$301,$T179-1))</f>
        <v/>
      </c>
      <c r="N179" s="39">
        <f>IF($T179="","",INDEX(案件入力!$N$2:$N$301,$T179-1))</f>
        <v/>
      </c>
      <c r="O179" s="36">
        <f>IF($T179="","",INDEX(案件入力!$O$2:$O$301,$T179-1))</f>
        <v/>
      </c>
      <c r="P179" s="37">
        <f>IF($T179="","",INDEX(案件入力!$P$2:$P$301,$T179-1))</f>
        <v/>
      </c>
      <c r="Q179" s="35">
        <f>IF($T179="","",INDEX(案件入力!$Q$2:$Q$301,$T179-1))</f>
        <v/>
      </c>
      <c r="R179" s="35">
        <f>IF($T179="","",INDEX(案件入力!$R$2:$R$301,$T179-1))</f>
        <v/>
      </c>
      <c r="S179" s="35">
        <f>IF($T179="","",INDEX(案件入力!$S$2:$S$301,$T179-1))</f>
        <v/>
      </c>
      <c r="T179">
        <f t="array" ref="T179">IFERROR(SMALL(IF((案件入力!$A$2:$A$301&lt;&gt;"")*(案件入力!$R$2:$R$301&lt;&gt;"完了"),ROW(案件入力!$A$2:$A$301)),ROW()-1),"")</f>
        <v/>
      </c>
    </row>
    <row r="180">
      <c r="A180" s="35">
        <f>IF($T180="","",INDEX(案件入力!$A$2:$A$301,$T180-1))</f>
        <v/>
      </c>
      <c r="B180" s="36">
        <f>IF($T180="","",INDEX(案件入力!$B$2:$B$301,$T180-1))</f>
        <v/>
      </c>
      <c r="C180" s="35">
        <f>IF($T180="","",INDEX(案件入力!$C$2:$C$301,$T180-1))</f>
        <v/>
      </c>
      <c r="D180" s="37">
        <f>IF($T180="","",INDEX(案件入力!$D$2:$D$301,$T180-1))</f>
        <v/>
      </c>
      <c r="E180" s="35">
        <f>IF($T180="","",INDEX(案件入力!$E$2:$E$301,$T180-1))</f>
        <v/>
      </c>
      <c r="F180" s="35">
        <f>IF($T180="","",INDEX(案件入力!$F$2:$F$301,$T180-1))</f>
        <v/>
      </c>
      <c r="G180" s="35">
        <f>IF($T180="","",INDEX(案件入力!$G$2:$G$301,$T180-1))</f>
        <v/>
      </c>
      <c r="H180" s="49">
        <f>IF($T180="","",INDEX(案件入力!$H$2:$H$301,$T180-1))</f>
        <v/>
      </c>
      <c r="I180" s="49">
        <f>IF($T180="","",INDEX(案件入力!$I$2:$I$301,$T180-1))</f>
        <v/>
      </c>
      <c r="J180" s="39">
        <f>IF($T180="","",INDEX(案件入力!$J$2:$J$301,$T180-1))</f>
        <v/>
      </c>
      <c r="K180" s="36">
        <f>IF($T180="","",INDEX(案件入力!$K$2:$K$301,$T180-1))</f>
        <v/>
      </c>
      <c r="L180" s="49">
        <f>IF($T180="","",INDEX(案件入力!$L$2:$L$301,$T180-1))</f>
        <v/>
      </c>
      <c r="M180" s="49">
        <f>IF($T180="","",INDEX(案件入力!$M$2:$M$301,$T180-1))</f>
        <v/>
      </c>
      <c r="N180" s="39">
        <f>IF($T180="","",INDEX(案件入力!$N$2:$N$301,$T180-1))</f>
        <v/>
      </c>
      <c r="O180" s="36">
        <f>IF($T180="","",INDEX(案件入力!$O$2:$O$301,$T180-1))</f>
        <v/>
      </c>
      <c r="P180" s="37">
        <f>IF($T180="","",INDEX(案件入力!$P$2:$P$301,$T180-1))</f>
        <v/>
      </c>
      <c r="Q180" s="35">
        <f>IF($T180="","",INDEX(案件入力!$Q$2:$Q$301,$T180-1))</f>
        <v/>
      </c>
      <c r="R180" s="35">
        <f>IF($T180="","",INDEX(案件入力!$R$2:$R$301,$T180-1))</f>
        <v/>
      </c>
      <c r="S180" s="35">
        <f>IF($T180="","",INDEX(案件入力!$S$2:$S$301,$T180-1))</f>
        <v/>
      </c>
      <c r="T180">
        <f t="array" ref="T180">IFERROR(SMALL(IF((案件入力!$A$2:$A$301&lt;&gt;"")*(案件入力!$R$2:$R$301&lt;&gt;"完了"),ROW(案件入力!$A$2:$A$301)),ROW()-1),"")</f>
        <v/>
      </c>
    </row>
    <row r="181">
      <c r="A181" s="35">
        <f>IF($T181="","",INDEX(案件入力!$A$2:$A$301,$T181-1))</f>
        <v/>
      </c>
      <c r="B181" s="36">
        <f>IF($T181="","",INDEX(案件入力!$B$2:$B$301,$T181-1))</f>
        <v/>
      </c>
      <c r="C181" s="35">
        <f>IF($T181="","",INDEX(案件入力!$C$2:$C$301,$T181-1))</f>
        <v/>
      </c>
      <c r="D181" s="37">
        <f>IF($T181="","",INDEX(案件入力!$D$2:$D$301,$T181-1))</f>
        <v/>
      </c>
      <c r="E181" s="35">
        <f>IF($T181="","",INDEX(案件入力!$E$2:$E$301,$T181-1))</f>
        <v/>
      </c>
      <c r="F181" s="35">
        <f>IF($T181="","",INDEX(案件入力!$F$2:$F$301,$T181-1))</f>
        <v/>
      </c>
      <c r="G181" s="35">
        <f>IF($T181="","",INDEX(案件入力!$G$2:$G$301,$T181-1))</f>
        <v/>
      </c>
      <c r="H181" s="49">
        <f>IF($T181="","",INDEX(案件入力!$H$2:$H$301,$T181-1))</f>
        <v/>
      </c>
      <c r="I181" s="49">
        <f>IF($T181="","",INDEX(案件入力!$I$2:$I$301,$T181-1))</f>
        <v/>
      </c>
      <c r="J181" s="39">
        <f>IF($T181="","",INDEX(案件入力!$J$2:$J$301,$T181-1))</f>
        <v/>
      </c>
      <c r="K181" s="36">
        <f>IF($T181="","",INDEX(案件入力!$K$2:$K$301,$T181-1))</f>
        <v/>
      </c>
      <c r="L181" s="49">
        <f>IF($T181="","",INDEX(案件入力!$L$2:$L$301,$T181-1))</f>
        <v/>
      </c>
      <c r="M181" s="49">
        <f>IF($T181="","",INDEX(案件入力!$M$2:$M$301,$T181-1))</f>
        <v/>
      </c>
      <c r="N181" s="39">
        <f>IF($T181="","",INDEX(案件入力!$N$2:$N$301,$T181-1))</f>
        <v/>
      </c>
      <c r="O181" s="36">
        <f>IF($T181="","",INDEX(案件入力!$O$2:$O$301,$T181-1))</f>
        <v/>
      </c>
      <c r="P181" s="37">
        <f>IF($T181="","",INDEX(案件入力!$P$2:$P$301,$T181-1))</f>
        <v/>
      </c>
      <c r="Q181" s="35">
        <f>IF($T181="","",INDEX(案件入力!$Q$2:$Q$301,$T181-1))</f>
        <v/>
      </c>
      <c r="R181" s="35">
        <f>IF($T181="","",INDEX(案件入力!$R$2:$R$301,$T181-1))</f>
        <v/>
      </c>
      <c r="S181" s="35">
        <f>IF($T181="","",INDEX(案件入力!$S$2:$S$301,$T181-1))</f>
        <v/>
      </c>
      <c r="T181">
        <f t="array" ref="T181">IFERROR(SMALL(IF((案件入力!$A$2:$A$301&lt;&gt;"")*(案件入力!$R$2:$R$301&lt;&gt;"完了"),ROW(案件入力!$A$2:$A$301)),ROW()-1),"")</f>
        <v/>
      </c>
    </row>
    <row r="182">
      <c r="A182" s="35">
        <f>IF($T182="","",INDEX(案件入力!$A$2:$A$301,$T182-1))</f>
        <v/>
      </c>
      <c r="B182" s="36">
        <f>IF($T182="","",INDEX(案件入力!$B$2:$B$301,$T182-1))</f>
        <v/>
      </c>
      <c r="C182" s="35">
        <f>IF($T182="","",INDEX(案件入力!$C$2:$C$301,$T182-1))</f>
        <v/>
      </c>
      <c r="D182" s="37">
        <f>IF($T182="","",INDEX(案件入力!$D$2:$D$301,$T182-1))</f>
        <v/>
      </c>
      <c r="E182" s="35">
        <f>IF($T182="","",INDEX(案件入力!$E$2:$E$301,$T182-1))</f>
        <v/>
      </c>
      <c r="F182" s="35">
        <f>IF($T182="","",INDEX(案件入力!$F$2:$F$301,$T182-1))</f>
        <v/>
      </c>
      <c r="G182" s="35">
        <f>IF($T182="","",INDEX(案件入力!$G$2:$G$301,$T182-1))</f>
        <v/>
      </c>
      <c r="H182" s="49">
        <f>IF($T182="","",INDEX(案件入力!$H$2:$H$301,$T182-1))</f>
        <v/>
      </c>
      <c r="I182" s="49">
        <f>IF($T182="","",INDEX(案件入力!$I$2:$I$301,$T182-1))</f>
        <v/>
      </c>
      <c r="J182" s="39">
        <f>IF($T182="","",INDEX(案件入力!$J$2:$J$301,$T182-1))</f>
        <v/>
      </c>
      <c r="K182" s="36">
        <f>IF($T182="","",INDEX(案件入力!$K$2:$K$301,$T182-1))</f>
        <v/>
      </c>
      <c r="L182" s="49">
        <f>IF($T182="","",INDEX(案件入力!$L$2:$L$301,$T182-1))</f>
        <v/>
      </c>
      <c r="M182" s="49">
        <f>IF($T182="","",INDEX(案件入力!$M$2:$M$301,$T182-1))</f>
        <v/>
      </c>
      <c r="N182" s="39">
        <f>IF($T182="","",INDEX(案件入力!$N$2:$N$301,$T182-1))</f>
        <v/>
      </c>
      <c r="O182" s="36">
        <f>IF($T182="","",INDEX(案件入力!$O$2:$O$301,$T182-1))</f>
        <v/>
      </c>
      <c r="P182" s="37">
        <f>IF($T182="","",INDEX(案件入力!$P$2:$P$301,$T182-1))</f>
        <v/>
      </c>
      <c r="Q182" s="35">
        <f>IF($T182="","",INDEX(案件入力!$Q$2:$Q$301,$T182-1))</f>
        <v/>
      </c>
      <c r="R182" s="35">
        <f>IF($T182="","",INDEX(案件入力!$R$2:$R$301,$T182-1))</f>
        <v/>
      </c>
      <c r="S182" s="35">
        <f>IF($T182="","",INDEX(案件入力!$S$2:$S$301,$T182-1))</f>
        <v/>
      </c>
      <c r="T182">
        <f t="array" ref="T182">IFERROR(SMALL(IF((案件入力!$A$2:$A$301&lt;&gt;"")*(案件入力!$R$2:$R$301&lt;&gt;"完了"),ROW(案件入力!$A$2:$A$301)),ROW()-1),"")</f>
        <v/>
      </c>
    </row>
    <row r="183">
      <c r="A183" s="35">
        <f>IF($T183="","",INDEX(案件入力!$A$2:$A$301,$T183-1))</f>
        <v/>
      </c>
      <c r="B183" s="36">
        <f>IF($T183="","",INDEX(案件入力!$B$2:$B$301,$T183-1))</f>
        <v/>
      </c>
      <c r="C183" s="35">
        <f>IF($T183="","",INDEX(案件入力!$C$2:$C$301,$T183-1))</f>
        <v/>
      </c>
      <c r="D183" s="37">
        <f>IF($T183="","",INDEX(案件入力!$D$2:$D$301,$T183-1))</f>
        <v/>
      </c>
      <c r="E183" s="35">
        <f>IF($T183="","",INDEX(案件入力!$E$2:$E$301,$T183-1))</f>
        <v/>
      </c>
      <c r="F183" s="35">
        <f>IF($T183="","",INDEX(案件入力!$F$2:$F$301,$T183-1))</f>
        <v/>
      </c>
      <c r="G183" s="35">
        <f>IF($T183="","",INDEX(案件入力!$G$2:$G$301,$T183-1))</f>
        <v/>
      </c>
      <c r="H183" s="49">
        <f>IF($T183="","",INDEX(案件入力!$H$2:$H$301,$T183-1))</f>
        <v/>
      </c>
      <c r="I183" s="49">
        <f>IF($T183="","",INDEX(案件入力!$I$2:$I$301,$T183-1))</f>
        <v/>
      </c>
      <c r="J183" s="39">
        <f>IF($T183="","",INDEX(案件入力!$J$2:$J$301,$T183-1))</f>
        <v/>
      </c>
      <c r="K183" s="36">
        <f>IF($T183="","",INDEX(案件入力!$K$2:$K$301,$T183-1))</f>
        <v/>
      </c>
      <c r="L183" s="49">
        <f>IF($T183="","",INDEX(案件入力!$L$2:$L$301,$T183-1))</f>
        <v/>
      </c>
      <c r="M183" s="49">
        <f>IF($T183="","",INDEX(案件入力!$M$2:$M$301,$T183-1))</f>
        <v/>
      </c>
      <c r="N183" s="39">
        <f>IF($T183="","",INDEX(案件入力!$N$2:$N$301,$T183-1))</f>
        <v/>
      </c>
      <c r="O183" s="36">
        <f>IF($T183="","",INDEX(案件入力!$O$2:$O$301,$T183-1))</f>
        <v/>
      </c>
      <c r="P183" s="37">
        <f>IF($T183="","",INDEX(案件入力!$P$2:$P$301,$T183-1))</f>
        <v/>
      </c>
      <c r="Q183" s="35">
        <f>IF($T183="","",INDEX(案件入力!$Q$2:$Q$301,$T183-1))</f>
        <v/>
      </c>
      <c r="R183" s="35">
        <f>IF($T183="","",INDEX(案件入力!$R$2:$R$301,$T183-1))</f>
        <v/>
      </c>
      <c r="S183" s="35">
        <f>IF($T183="","",INDEX(案件入力!$S$2:$S$301,$T183-1))</f>
        <v/>
      </c>
      <c r="T183">
        <f t="array" ref="T183">IFERROR(SMALL(IF((案件入力!$A$2:$A$301&lt;&gt;"")*(案件入力!$R$2:$R$301&lt;&gt;"完了"),ROW(案件入力!$A$2:$A$301)),ROW()-1),"")</f>
        <v/>
      </c>
    </row>
    <row r="184">
      <c r="A184" s="35">
        <f>IF($T184="","",INDEX(案件入力!$A$2:$A$301,$T184-1))</f>
        <v/>
      </c>
      <c r="B184" s="36">
        <f>IF($T184="","",INDEX(案件入力!$B$2:$B$301,$T184-1))</f>
        <v/>
      </c>
      <c r="C184" s="35">
        <f>IF($T184="","",INDEX(案件入力!$C$2:$C$301,$T184-1))</f>
        <v/>
      </c>
      <c r="D184" s="37">
        <f>IF($T184="","",INDEX(案件入力!$D$2:$D$301,$T184-1))</f>
        <v/>
      </c>
      <c r="E184" s="35">
        <f>IF($T184="","",INDEX(案件入力!$E$2:$E$301,$T184-1))</f>
        <v/>
      </c>
      <c r="F184" s="35">
        <f>IF($T184="","",INDEX(案件入力!$F$2:$F$301,$T184-1))</f>
        <v/>
      </c>
      <c r="G184" s="35">
        <f>IF($T184="","",INDEX(案件入力!$G$2:$G$301,$T184-1))</f>
        <v/>
      </c>
      <c r="H184" s="49">
        <f>IF($T184="","",INDEX(案件入力!$H$2:$H$301,$T184-1))</f>
        <v/>
      </c>
      <c r="I184" s="49">
        <f>IF($T184="","",INDEX(案件入力!$I$2:$I$301,$T184-1))</f>
        <v/>
      </c>
      <c r="J184" s="39">
        <f>IF($T184="","",INDEX(案件入力!$J$2:$J$301,$T184-1))</f>
        <v/>
      </c>
      <c r="K184" s="36">
        <f>IF($T184="","",INDEX(案件入力!$K$2:$K$301,$T184-1))</f>
        <v/>
      </c>
      <c r="L184" s="49">
        <f>IF($T184="","",INDEX(案件入力!$L$2:$L$301,$T184-1))</f>
        <v/>
      </c>
      <c r="M184" s="49">
        <f>IF($T184="","",INDEX(案件入力!$M$2:$M$301,$T184-1))</f>
        <v/>
      </c>
      <c r="N184" s="39">
        <f>IF($T184="","",INDEX(案件入力!$N$2:$N$301,$T184-1))</f>
        <v/>
      </c>
      <c r="O184" s="36">
        <f>IF($T184="","",INDEX(案件入力!$O$2:$O$301,$T184-1))</f>
        <v/>
      </c>
      <c r="P184" s="37">
        <f>IF($T184="","",INDEX(案件入力!$P$2:$P$301,$T184-1))</f>
        <v/>
      </c>
      <c r="Q184" s="35">
        <f>IF($T184="","",INDEX(案件入力!$Q$2:$Q$301,$T184-1))</f>
        <v/>
      </c>
      <c r="R184" s="35">
        <f>IF($T184="","",INDEX(案件入力!$R$2:$R$301,$T184-1))</f>
        <v/>
      </c>
      <c r="S184" s="35">
        <f>IF($T184="","",INDEX(案件入力!$S$2:$S$301,$T184-1))</f>
        <v/>
      </c>
      <c r="T184">
        <f t="array" ref="T184">IFERROR(SMALL(IF((案件入力!$A$2:$A$301&lt;&gt;"")*(案件入力!$R$2:$R$301&lt;&gt;"完了"),ROW(案件入力!$A$2:$A$301)),ROW()-1),"")</f>
        <v/>
      </c>
    </row>
    <row r="185">
      <c r="A185" s="35">
        <f>IF($T185="","",INDEX(案件入力!$A$2:$A$301,$T185-1))</f>
        <v/>
      </c>
      <c r="B185" s="36">
        <f>IF($T185="","",INDEX(案件入力!$B$2:$B$301,$T185-1))</f>
        <v/>
      </c>
      <c r="C185" s="35">
        <f>IF($T185="","",INDEX(案件入力!$C$2:$C$301,$T185-1))</f>
        <v/>
      </c>
      <c r="D185" s="37">
        <f>IF($T185="","",INDEX(案件入力!$D$2:$D$301,$T185-1))</f>
        <v/>
      </c>
      <c r="E185" s="35">
        <f>IF($T185="","",INDEX(案件入力!$E$2:$E$301,$T185-1))</f>
        <v/>
      </c>
      <c r="F185" s="35">
        <f>IF($T185="","",INDEX(案件入力!$F$2:$F$301,$T185-1))</f>
        <v/>
      </c>
      <c r="G185" s="35">
        <f>IF($T185="","",INDEX(案件入力!$G$2:$G$301,$T185-1))</f>
        <v/>
      </c>
      <c r="H185" s="49">
        <f>IF($T185="","",INDEX(案件入力!$H$2:$H$301,$T185-1))</f>
        <v/>
      </c>
      <c r="I185" s="49">
        <f>IF($T185="","",INDEX(案件入力!$I$2:$I$301,$T185-1))</f>
        <v/>
      </c>
      <c r="J185" s="39">
        <f>IF($T185="","",INDEX(案件入力!$J$2:$J$301,$T185-1))</f>
        <v/>
      </c>
      <c r="K185" s="36">
        <f>IF($T185="","",INDEX(案件入力!$K$2:$K$301,$T185-1))</f>
        <v/>
      </c>
      <c r="L185" s="49">
        <f>IF($T185="","",INDEX(案件入力!$L$2:$L$301,$T185-1))</f>
        <v/>
      </c>
      <c r="M185" s="49">
        <f>IF($T185="","",INDEX(案件入力!$M$2:$M$301,$T185-1))</f>
        <v/>
      </c>
      <c r="N185" s="39">
        <f>IF($T185="","",INDEX(案件入力!$N$2:$N$301,$T185-1))</f>
        <v/>
      </c>
      <c r="O185" s="36">
        <f>IF($T185="","",INDEX(案件入力!$O$2:$O$301,$T185-1))</f>
        <v/>
      </c>
      <c r="P185" s="37">
        <f>IF($T185="","",INDEX(案件入力!$P$2:$P$301,$T185-1))</f>
        <v/>
      </c>
      <c r="Q185" s="35">
        <f>IF($T185="","",INDEX(案件入力!$Q$2:$Q$301,$T185-1))</f>
        <v/>
      </c>
      <c r="R185" s="35">
        <f>IF($T185="","",INDEX(案件入力!$R$2:$R$301,$T185-1))</f>
        <v/>
      </c>
      <c r="S185" s="35">
        <f>IF($T185="","",INDEX(案件入力!$S$2:$S$301,$T185-1))</f>
        <v/>
      </c>
      <c r="T185">
        <f t="array" ref="T185">IFERROR(SMALL(IF((案件入力!$A$2:$A$301&lt;&gt;"")*(案件入力!$R$2:$R$301&lt;&gt;"完了"),ROW(案件入力!$A$2:$A$301)),ROW()-1),"")</f>
        <v/>
      </c>
    </row>
    <row r="186">
      <c r="A186" s="35">
        <f>IF($T186="","",INDEX(案件入力!$A$2:$A$301,$T186-1))</f>
        <v/>
      </c>
      <c r="B186" s="36">
        <f>IF($T186="","",INDEX(案件入力!$B$2:$B$301,$T186-1))</f>
        <v/>
      </c>
      <c r="C186" s="35">
        <f>IF($T186="","",INDEX(案件入力!$C$2:$C$301,$T186-1))</f>
        <v/>
      </c>
      <c r="D186" s="37">
        <f>IF($T186="","",INDEX(案件入力!$D$2:$D$301,$T186-1))</f>
        <v/>
      </c>
      <c r="E186" s="35">
        <f>IF($T186="","",INDEX(案件入力!$E$2:$E$301,$T186-1))</f>
        <v/>
      </c>
      <c r="F186" s="35">
        <f>IF($T186="","",INDEX(案件入力!$F$2:$F$301,$T186-1))</f>
        <v/>
      </c>
      <c r="G186" s="35">
        <f>IF($T186="","",INDEX(案件入力!$G$2:$G$301,$T186-1))</f>
        <v/>
      </c>
      <c r="H186" s="49">
        <f>IF($T186="","",INDEX(案件入力!$H$2:$H$301,$T186-1))</f>
        <v/>
      </c>
      <c r="I186" s="49">
        <f>IF($T186="","",INDEX(案件入力!$I$2:$I$301,$T186-1))</f>
        <v/>
      </c>
      <c r="J186" s="39">
        <f>IF($T186="","",INDEX(案件入力!$J$2:$J$301,$T186-1))</f>
        <v/>
      </c>
      <c r="K186" s="36">
        <f>IF($T186="","",INDEX(案件入力!$K$2:$K$301,$T186-1))</f>
        <v/>
      </c>
      <c r="L186" s="49">
        <f>IF($T186="","",INDEX(案件入力!$L$2:$L$301,$T186-1))</f>
        <v/>
      </c>
      <c r="M186" s="49">
        <f>IF($T186="","",INDEX(案件入力!$M$2:$M$301,$T186-1))</f>
        <v/>
      </c>
      <c r="N186" s="39">
        <f>IF($T186="","",INDEX(案件入力!$N$2:$N$301,$T186-1))</f>
        <v/>
      </c>
      <c r="O186" s="36">
        <f>IF($T186="","",INDEX(案件入力!$O$2:$O$301,$T186-1))</f>
        <v/>
      </c>
      <c r="P186" s="37">
        <f>IF($T186="","",INDEX(案件入力!$P$2:$P$301,$T186-1))</f>
        <v/>
      </c>
      <c r="Q186" s="35">
        <f>IF($T186="","",INDEX(案件入力!$Q$2:$Q$301,$T186-1))</f>
        <v/>
      </c>
      <c r="R186" s="35">
        <f>IF($T186="","",INDEX(案件入力!$R$2:$R$301,$T186-1))</f>
        <v/>
      </c>
      <c r="S186" s="35">
        <f>IF($T186="","",INDEX(案件入力!$S$2:$S$301,$T186-1))</f>
        <v/>
      </c>
      <c r="T186">
        <f t="array" ref="T186">IFERROR(SMALL(IF((案件入力!$A$2:$A$301&lt;&gt;"")*(案件入力!$R$2:$R$301&lt;&gt;"完了"),ROW(案件入力!$A$2:$A$301)),ROW()-1),"")</f>
        <v/>
      </c>
    </row>
    <row r="187">
      <c r="A187" s="35">
        <f>IF($T187="","",INDEX(案件入力!$A$2:$A$301,$T187-1))</f>
        <v/>
      </c>
      <c r="B187" s="36">
        <f>IF($T187="","",INDEX(案件入力!$B$2:$B$301,$T187-1))</f>
        <v/>
      </c>
      <c r="C187" s="35">
        <f>IF($T187="","",INDEX(案件入力!$C$2:$C$301,$T187-1))</f>
        <v/>
      </c>
      <c r="D187" s="37">
        <f>IF($T187="","",INDEX(案件入力!$D$2:$D$301,$T187-1))</f>
        <v/>
      </c>
      <c r="E187" s="35">
        <f>IF($T187="","",INDEX(案件入力!$E$2:$E$301,$T187-1))</f>
        <v/>
      </c>
      <c r="F187" s="35">
        <f>IF($T187="","",INDEX(案件入力!$F$2:$F$301,$T187-1))</f>
        <v/>
      </c>
      <c r="G187" s="35">
        <f>IF($T187="","",INDEX(案件入力!$G$2:$G$301,$T187-1))</f>
        <v/>
      </c>
      <c r="H187" s="49">
        <f>IF($T187="","",INDEX(案件入力!$H$2:$H$301,$T187-1))</f>
        <v/>
      </c>
      <c r="I187" s="49">
        <f>IF($T187="","",INDEX(案件入力!$I$2:$I$301,$T187-1))</f>
        <v/>
      </c>
      <c r="J187" s="39">
        <f>IF($T187="","",INDEX(案件入力!$J$2:$J$301,$T187-1))</f>
        <v/>
      </c>
      <c r="K187" s="36">
        <f>IF($T187="","",INDEX(案件入力!$K$2:$K$301,$T187-1))</f>
        <v/>
      </c>
      <c r="L187" s="49">
        <f>IF($T187="","",INDEX(案件入力!$L$2:$L$301,$T187-1))</f>
        <v/>
      </c>
      <c r="M187" s="49">
        <f>IF($T187="","",INDEX(案件入力!$M$2:$M$301,$T187-1))</f>
        <v/>
      </c>
      <c r="N187" s="39">
        <f>IF($T187="","",INDEX(案件入力!$N$2:$N$301,$T187-1))</f>
        <v/>
      </c>
      <c r="O187" s="36">
        <f>IF($T187="","",INDEX(案件入力!$O$2:$O$301,$T187-1))</f>
        <v/>
      </c>
      <c r="P187" s="37">
        <f>IF($T187="","",INDEX(案件入力!$P$2:$P$301,$T187-1))</f>
        <v/>
      </c>
      <c r="Q187" s="35">
        <f>IF($T187="","",INDEX(案件入力!$Q$2:$Q$301,$T187-1))</f>
        <v/>
      </c>
      <c r="R187" s="35">
        <f>IF($T187="","",INDEX(案件入力!$R$2:$R$301,$T187-1))</f>
        <v/>
      </c>
      <c r="S187" s="35">
        <f>IF($T187="","",INDEX(案件入力!$S$2:$S$301,$T187-1))</f>
        <v/>
      </c>
      <c r="T187">
        <f t="array" ref="T187">IFERROR(SMALL(IF((案件入力!$A$2:$A$301&lt;&gt;"")*(案件入力!$R$2:$R$301&lt;&gt;"完了"),ROW(案件入力!$A$2:$A$301)),ROW()-1),"")</f>
        <v/>
      </c>
    </row>
    <row r="188">
      <c r="A188" s="35">
        <f>IF($T188="","",INDEX(案件入力!$A$2:$A$301,$T188-1))</f>
        <v/>
      </c>
      <c r="B188" s="36">
        <f>IF($T188="","",INDEX(案件入力!$B$2:$B$301,$T188-1))</f>
        <v/>
      </c>
      <c r="C188" s="35">
        <f>IF($T188="","",INDEX(案件入力!$C$2:$C$301,$T188-1))</f>
        <v/>
      </c>
      <c r="D188" s="37">
        <f>IF($T188="","",INDEX(案件入力!$D$2:$D$301,$T188-1))</f>
        <v/>
      </c>
      <c r="E188" s="35">
        <f>IF($T188="","",INDEX(案件入力!$E$2:$E$301,$T188-1))</f>
        <v/>
      </c>
      <c r="F188" s="35">
        <f>IF($T188="","",INDEX(案件入力!$F$2:$F$301,$T188-1))</f>
        <v/>
      </c>
      <c r="G188" s="35">
        <f>IF($T188="","",INDEX(案件入力!$G$2:$G$301,$T188-1))</f>
        <v/>
      </c>
      <c r="H188" s="49">
        <f>IF($T188="","",INDEX(案件入力!$H$2:$H$301,$T188-1))</f>
        <v/>
      </c>
      <c r="I188" s="49">
        <f>IF($T188="","",INDEX(案件入力!$I$2:$I$301,$T188-1))</f>
        <v/>
      </c>
      <c r="J188" s="39">
        <f>IF($T188="","",INDEX(案件入力!$J$2:$J$301,$T188-1))</f>
        <v/>
      </c>
      <c r="K188" s="36">
        <f>IF($T188="","",INDEX(案件入力!$K$2:$K$301,$T188-1))</f>
        <v/>
      </c>
      <c r="L188" s="49">
        <f>IF($T188="","",INDEX(案件入力!$L$2:$L$301,$T188-1))</f>
        <v/>
      </c>
      <c r="M188" s="49">
        <f>IF($T188="","",INDEX(案件入力!$M$2:$M$301,$T188-1))</f>
        <v/>
      </c>
      <c r="N188" s="39">
        <f>IF($T188="","",INDEX(案件入力!$N$2:$N$301,$T188-1))</f>
        <v/>
      </c>
      <c r="O188" s="36">
        <f>IF($T188="","",INDEX(案件入力!$O$2:$O$301,$T188-1))</f>
        <v/>
      </c>
      <c r="P188" s="37">
        <f>IF($T188="","",INDEX(案件入力!$P$2:$P$301,$T188-1))</f>
        <v/>
      </c>
      <c r="Q188" s="35">
        <f>IF($T188="","",INDEX(案件入力!$Q$2:$Q$301,$T188-1))</f>
        <v/>
      </c>
      <c r="R188" s="35">
        <f>IF($T188="","",INDEX(案件入力!$R$2:$R$301,$T188-1))</f>
        <v/>
      </c>
      <c r="S188" s="35">
        <f>IF($T188="","",INDEX(案件入力!$S$2:$S$301,$T188-1))</f>
        <v/>
      </c>
      <c r="T188">
        <f t="array" ref="T188">IFERROR(SMALL(IF((案件入力!$A$2:$A$301&lt;&gt;"")*(案件入力!$R$2:$R$301&lt;&gt;"完了"),ROW(案件入力!$A$2:$A$301)),ROW()-1),"")</f>
        <v/>
      </c>
    </row>
    <row r="189">
      <c r="A189" s="35">
        <f>IF($T189="","",INDEX(案件入力!$A$2:$A$301,$T189-1))</f>
        <v/>
      </c>
      <c r="B189" s="36">
        <f>IF($T189="","",INDEX(案件入力!$B$2:$B$301,$T189-1))</f>
        <v/>
      </c>
      <c r="C189" s="35">
        <f>IF($T189="","",INDEX(案件入力!$C$2:$C$301,$T189-1))</f>
        <v/>
      </c>
      <c r="D189" s="37">
        <f>IF($T189="","",INDEX(案件入力!$D$2:$D$301,$T189-1))</f>
        <v/>
      </c>
      <c r="E189" s="35">
        <f>IF($T189="","",INDEX(案件入力!$E$2:$E$301,$T189-1))</f>
        <v/>
      </c>
      <c r="F189" s="35">
        <f>IF($T189="","",INDEX(案件入力!$F$2:$F$301,$T189-1))</f>
        <v/>
      </c>
      <c r="G189" s="35">
        <f>IF($T189="","",INDEX(案件入力!$G$2:$G$301,$T189-1))</f>
        <v/>
      </c>
      <c r="H189" s="49">
        <f>IF($T189="","",INDEX(案件入力!$H$2:$H$301,$T189-1))</f>
        <v/>
      </c>
      <c r="I189" s="49">
        <f>IF($T189="","",INDEX(案件入力!$I$2:$I$301,$T189-1))</f>
        <v/>
      </c>
      <c r="J189" s="39">
        <f>IF($T189="","",INDEX(案件入力!$J$2:$J$301,$T189-1))</f>
        <v/>
      </c>
      <c r="K189" s="36">
        <f>IF($T189="","",INDEX(案件入力!$K$2:$K$301,$T189-1))</f>
        <v/>
      </c>
      <c r="L189" s="49">
        <f>IF($T189="","",INDEX(案件入力!$L$2:$L$301,$T189-1))</f>
        <v/>
      </c>
      <c r="M189" s="49">
        <f>IF($T189="","",INDEX(案件入力!$M$2:$M$301,$T189-1))</f>
        <v/>
      </c>
      <c r="N189" s="39">
        <f>IF($T189="","",INDEX(案件入力!$N$2:$N$301,$T189-1))</f>
        <v/>
      </c>
      <c r="O189" s="36">
        <f>IF($T189="","",INDEX(案件入力!$O$2:$O$301,$T189-1))</f>
        <v/>
      </c>
      <c r="P189" s="37">
        <f>IF($T189="","",INDEX(案件入力!$P$2:$P$301,$T189-1))</f>
        <v/>
      </c>
      <c r="Q189" s="35">
        <f>IF($T189="","",INDEX(案件入力!$Q$2:$Q$301,$T189-1))</f>
        <v/>
      </c>
      <c r="R189" s="35">
        <f>IF($T189="","",INDEX(案件入力!$R$2:$R$301,$T189-1))</f>
        <v/>
      </c>
      <c r="S189" s="35">
        <f>IF($T189="","",INDEX(案件入力!$S$2:$S$301,$T189-1))</f>
        <v/>
      </c>
      <c r="T189">
        <f t="array" ref="T189">IFERROR(SMALL(IF((案件入力!$A$2:$A$301&lt;&gt;"")*(案件入力!$R$2:$R$301&lt;&gt;"完了"),ROW(案件入力!$A$2:$A$301)),ROW()-1),"")</f>
        <v/>
      </c>
    </row>
    <row r="190">
      <c r="A190" s="35">
        <f>IF($T190="","",INDEX(案件入力!$A$2:$A$301,$T190-1))</f>
        <v/>
      </c>
      <c r="B190" s="36">
        <f>IF($T190="","",INDEX(案件入力!$B$2:$B$301,$T190-1))</f>
        <v/>
      </c>
      <c r="C190" s="35">
        <f>IF($T190="","",INDEX(案件入力!$C$2:$C$301,$T190-1))</f>
        <v/>
      </c>
      <c r="D190" s="37">
        <f>IF($T190="","",INDEX(案件入力!$D$2:$D$301,$T190-1))</f>
        <v/>
      </c>
      <c r="E190" s="35">
        <f>IF($T190="","",INDEX(案件入力!$E$2:$E$301,$T190-1))</f>
        <v/>
      </c>
      <c r="F190" s="35">
        <f>IF($T190="","",INDEX(案件入力!$F$2:$F$301,$T190-1))</f>
        <v/>
      </c>
      <c r="G190" s="35">
        <f>IF($T190="","",INDEX(案件入力!$G$2:$G$301,$T190-1))</f>
        <v/>
      </c>
      <c r="H190" s="49">
        <f>IF($T190="","",INDEX(案件入力!$H$2:$H$301,$T190-1))</f>
        <v/>
      </c>
      <c r="I190" s="49">
        <f>IF($T190="","",INDEX(案件入力!$I$2:$I$301,$T190-1))</f>
        <v/>
      </c>
      <c r="J190" s="39">
        <f>IF($T190="","",INDEX(案件入力!$J$2:$J$301,$T190-1))</f>
        <v/>
      </c>
      <c r="K190" s="36">
        <f>IF($T190="","",INDEX(案件入力!$K$2:$K$301,$T190-1))</f>
        <v/>
      </c>
      <c r="L190" s="49">
        <f>IF($T190="","",INDEX(案件入力!$L$2:$L$301,$T190-1))</f>
        <v/>
      </c>
      <c r="M190" s="49">
        <f>IF($T190="","",INDEX(案件入力!$M$2:$M$301,$T190-1))</f>
        <v/>
      </c>
      <c r="N190" s="39">
        <f>IF($T190="","",INDEX(案件入力!$N$2:$N$301,$T190-1))</f>
        <v/>
      </c>
      <c r="O190" s="36">
        <f>IF($T190="","",INDEX(案件入力!$O$2:$O$301,$T190-1))</f>
        <v/>
      </c>
      <c r="P190" s="37">
        <f>IF($T190="","",INDEX(案件入力!$P$2:$P$301,$T190-1))</f>
        <v/>
      </c>
      <c r="Q190" s="35">
        <f>IF($T190="","",INDEX(案件入力!$Q$2:$Q$301,$T190-1))</f>
        <v/>
      </c>
      <c r="R190" s="35">
        <f>IF($T190="","",INDEX(案件入力!$R$2:$R$301,$T190-1))</f>
        <v/>
      </c>
      <c r="S190" s="35">
        <f>IF($T190="","",INDEX(案件入力!$S$2:$S$301,$T190-1))</f>
        <v/>
      </c>
      <c r="T190">
        <f t="array" ref="T190">IFERROR(SMALL(IF((案件入力!$A$2:$A$301&lt;&gt;"")*(案件入力!$R$2:$R$301&lt;&gt;"完了"),ROW(案件入力!$A$2:$A$301)),ROW()-1),"")</f>
        <v/>
      </c>
    </row>
    <row r="191">
      <c r="A191" s="35">
        <f>IF($T191="","",INDEX(案件入力!$A$2:$A$301,$T191-1))</f>
        <v/>
      </c>
      <c r="B191" s="36">
        <f>IF($T191="","",INDEX(案件入力!$B$2:$B$301,$T191-1))</f>
        <v/>
      </c>
      <c r="C191" s="35">
        <f>IF($T191="","",INDEX(案件入力!$C$2:$C$301,$T191-1))</f>
        <v/>
      </c>
      <c r="D191" s="37">
        <f>IF($T191="","",INDEX(案件入力!$D$2:$D$301,$T191-1))</f>
        <v/>
      </c>
      <c r="E191" s="35">
        <f>IF($T191="","",INDEX(案件入力!$E$2:$E$301,$T191-1))</f>
        <v/>
      </c>
      <c r="F191" s="35">
        <f>IF($T191="","",INDEX(案件入力!$F$2:$F$301,$T191-1))</f>
        <v/>
      </c>
      <c r="G191" s="35">
        <f>IF($T191="","",INDEX(案件入力!$G$2:$G$301,$T191-1))</f>
        <v/>
      </c>
      <c r="H191" s="49">
        <f>IF($T191="","",INDEX(案件入力!$H$2:$H$301,$T191-1))</f>
        <v/>
      </c>
      <c r="I191" s="49">
        <f>IF($T191="","",INDEX(案件入力!$I$2:$I$301,$T191-1))</f>
        <v/>
      </c>
      <c r="J191" s="39">
        <f>IF($T191="","",INDEX(案件入力!$J$2:$J$301,$T191-1))</f>
        <v/>
      </c>
      <c r="K191" s="36">
        <f>IF($T191="","",INDEX(案件入力!$K$2:$K$301,$T191-1))</f>
        <v/>
      </c>
      <c r="L191" s="49">
        <f>IF($T191="","",INDEX(案件入力!$L$2:$L$301,$T191-1))</f>
        <v/>
      </c>
      <c r="M191" s="49">
        <f>IF($T191="","",INDEX(案件入力!$M$2:$M$301,$T191-1))</f>
        <v/>
      </c>
      <c r="N191" s="39">
        <f>IF($T191="","",INDEX(案件入力!$N$2:$N$301,$T191-1))</f>
        <v/>
      </c>
      <c r="O191" s="36">
        <f>IF($T191="","",INDEX(案件入力!$O$2:$O$301,$T191-1))</f>
        <v/>
      </c>
      <c r="P191" s="37">
        <f>IF($T191="","",INDEX(案件入力!$P$2:$P$301,$T191-1))</f>
        <v/>
      </c>
      <c r="Q191" s="35">
        <f>IF($T191="","",INDEX(案件入力!$Q$2:$Q$301,$T191-1))</f>
        <v/>
      </c>
      <c r="R191" s="35">
        <f>IF($T191="","",INDEX(案件入力!$R$2:$R$301,$T191-1))</f>
        <v/>
      </c>
      <c r="S191" s="35">
        <f>IF($T191="","",INDEX(案件入力!$S$2:$S$301,$T191-1))</f>
        <v/>
      </c>
      <c r="T191">
        <f t="array" ref="T191">IFERROR(SMALL(IF((案件入力!$A$2:$A$301&lt;&gt;"")*(案件入力!$R$2:$R$301&lt;&gt;"完了"),ROW(案件入力!$A$2:$A$301)),ROW()-1),"")</f>
        <v/>
      </c>
    </row>
    <row r="192">
      <c r="A192" s="35">
        <f>IF($T192="","",INDEX(案件入力!$A$2:$A$301,$T192-1))</f>
        <v/>
      </c>
      <c r="B192" s="36">
        <f>IF($T192="","",INDEX(案件入力!$B$2:$B$301,$T192-1))</f>
        <v/>
      </c>
      <c r="C192" s="35">
        <f>IF($T192="","",INDEX(案件入力!$C$2:$C$301,$T192-1))</f>
        <v/>
      </c>
      <c r="D192" s="37">
        <f>IF($T192="","",INDEX(案件入力!$D$2:$D$301,$T192-1))</f>
        <v/>
      </c>
      <c r="E192" s="35">
        <f>IF($T192="","",INDEX(案件入力!$E$2:$E$301,$T192-1))</f>
        <v/>
      </c>
      <c r="F192" s="35">
        <f>IF($T192="","",INDEX(案件入力!$F$2:$F$301,$T192-1))</f>
        <v/>
      </c>
      <c r="G192" s="35">
        <f>IF($T192="","",INDEX(案件入力!$G$2:$G$301,$T192-1))</f>
        <v/>
      </c>
      <c r="H192" s="49">
        <f>IF($T192="","",INDEX(案件入力!$H$2:$H$301,$T192-1))</f>
        <v/>
      </c>
      <c r="I192" s="49">
        <f>IF($T192="","",INDEX(案件入力!$I$2:$I$301,$T192-1))</f>
        <v/>
      </c>
      <c r="J192" s="39">
        <f>IF($T192="","",INDEX(案件入力!$J$2:$J$301,$T192-1))</f>
        <v/>
      </c>
      <c r="K192" s="36">
        <f>IF($T192="","",INDEX(案件入力!$K$2:$K$301,$T192-1))</f>
        <v/>
      </c>
      <c r="L192" s="49">
        <f>IF($T192="","",INDEX(案件入力!$L$2:$L$301,$T192-1))</f>
        <v/>
      </c>
      <c r="M192" s="49">
        <f>IF($T192="","",INDEX(案件入力!$M$2:$M$301,$T192-1))</f>
        <v/>
      </c>
      <c r="N192" s="39">
        <f>IF($T192="","",INDEX(案件入力!$N$2:$N$301,$T192-1))</f>
        <v/>
      </c>
      <c r="O192" s="36">
        <f>IF($T192="","",INDEX(案件入力!$O$2:$O$301,$T192-1))</f>
        <v/>
      </c>
      <c r="P192" s="37">
        <f>IF($T192="","",INDEX(案件入力!$P$2:$P$301,$T192-1))</f>
        <v/>
      </c>
      <c r="Q192" s="35">
        <f>IF($T192="","",INDEX(案件入力!$Q$2:$Q$301,$T192-1))</f>
        <v/>
      </c>
      <c r="R192" s="35">
        <f>IF($T192="","",INDEX(案件入力!$R$2:$R$301,$T192-1))</f>
        <v/>
      </c>
      <c r="S192" s="35">
        <f>IF($T192="","",INDEX(案件入力!$S$2:$S$301,$T192-1))</f>
        <v/>
      </c>
      <c r="T192">
        <f t="array" ref="T192">IFERROR(SMALL(IF((案件入力!$A$2:$A$301&lt;&gt;"")*(案件入力!$R$2:$R$301&lt;&gt;"完了"),ROW(案件入力!$A$2:$A$301)),ROW()-1),"")</f>
        <v/>
      </c>
    </row>
    <row r="193">
      <c r="A193" s="35">
        <f>IF($T193="","",INDEX(案件入力!$A$2:$A$301,$T193-1))</f>
        <v/>
      </c>
      <c r="B193" s="36">
        <f>IF($T193="","",INDEX(案件入力!$B$2:$B$301,$T193-1))</f>
        <v/>
      </c>
      <c r="C193" s="35">
        <f>IF($T193="","",INDEX(案件入力!$C$2:$C$301,$T193-1))</f>
        <v/>
      </c>
      <c r="D193" s="37">
        <f>IF($T193="","",INDEX(案件入力!$D$2:$D$301,$T193-1))</f>
        <v/>
      </c>
      <c r="E193" s="35">
        <f>IF($T193="","",INDEX(案件入力!$E$2:$E$301,$T193-1))</f>
        <v/>
      </c>
      <c r="F193" s="35">
        <f>IF($T193="","",INDEX(案件入力!$F$2:$F$301,$T193-1))</f>
        <v/>
      </c>
      <c r="G193" s="35">
        <f>IF($T193="","",INDEX(案件入力!$G$2:$G$301,$T193-1))</f>
        <v/>
      </c>
      <c r="H193" s="49">
        <f>IF($T193="","",INDEX(案件入力!$H$2:$H$301,$T193-1))</f>
        <v/>
      </c>
      <c r="I193" s="49">
        <f>IF($T193="","",INDEX(案件入力!$I$2:$I$301,$T193-1))</f>
        <v/>
      </c>
      <c r="J193" s="39">
        <f>IF($T193="","",INDEX(案件入力!$J$2:$J$301,$T193-1))</f>
        <v/>
      </c>
      <c r="K193" s="36">
        <f>IF($T193="","",INDEX(案件入力!$K$2:$K$301,$T193-1))</f>
        <v/>
      </c>
      <c r="L193" s="49">
        <f>IF($T193="","",INDEX(案件入力!$L$2:$L$301,$T193-1))</f>
        <v/>
      </c>
      <c r="M193" s="49">
        <f>IF($T193="","",INDEX(案件入力!$M$2:$M$301,$T193-1))</f>
        <v/>
      </c>
      <c r="N193" s="39">
        <f>IF($T193="","",INDEX(案件入力!$N$2:$N$301,$T193-1))</f>
        <v/>
      </c>
      <c r="O193" s="36">
        <f>IF($T193="","",INDEX(案件入力!$O$2:$O$301,$T193-1))</f>
        <v/>
      </c>
      <c r="P193" s="37">
        <f>IF($T193="","",INDEX(案件入力!$P$2:$P$301,$T193-1))</f>
        <v/>
      </c>
      <c r="Q193" s="35">
        <f>IF($T193="","",INDEX(案件入力!$Q$2:$Q$301,$T193-1))</f>
        <v/>
      </c>
      <c r="R193" s="35">
        <f>IF($T193="","",INDEX(案件入力!$R$2:$R$301,$T193-1))</f>
        <v/>
      </c>
      <c r="S193" s="35">
        <f>IF($T193="","",INDEX(案件入力!$S$2:$S$301,$T193-1))</f>
        <v/>
      </c>
      <c r="T193">
        <f t="array" ref="T193">IFERROR(SMALL(IF((案件入力!$A$2:$A$301&lt;&gt;"")*(案件入力!$R$2:$R$301&lt;&gt;"完了"),ROW(案件入力!$A$2:$A$301)),ROW()-1),"")</f>
        <v/>
      </c>
    </row>
    <row r="194">
      <c r="A194" s="35">
        <f>IF($T194="","",INDEX(案件入力!$A$2:$A$301,$T194-1))</f>
        <v/>
      </c>
      <c r="B194" s="36">
        <f>IF($T194="","",INDEX(案件入力!$B$2:$B$301,$T194-1))</f>
        <v/>
      </c>
      <c r="C194" s="35">
        <f>IF($T194="","",INDEX(案件入力!$C$2:$C$301,$T194-1))</f>
        <v/>
      </c>
      <c r="D194" s="37">
        <f>IF($T194="","",INDEX(案件入力!$D$2:$D$301,$T194-1))</f>
        <v/>
      </c>
      <c r="E194" s="35">
        <f>IF($T194="","",INDEX(案件入力!$E$2:$E$301,$T194-1))</f>
        <v/>
      </c>
      <c r="F194" s="35">
        <f>IF($T194="","",INDEX(案件入力!$F$2:$F$301,$T194-1))</f>
        <v/>
      </c>
      <c r="G194" s="35">
        <f>IF($T194="","",INDEX(案件入力!$G$2:$G$301,$T194-1))</f>
        <v/>
      </c>
      <c r="H194" s="49">
        <f>IF($T194="","",INDEX(案件入力!$H$2:$H$301,$T194-1))</f>
        <v/>
      </c>
      <c r="I194" s="49">
        <f>IF($T194="","",INDEX(案件入力!$I$2:$I$301,$T194-1))</f>
        <v/>
      </c>
      <c r="J194" s="39">
        <f>IF($T194="","",INDEX(案件入力!$J$2:$J$301,$T194-1))</f>
        <v/>
      </c>
      <c r="K194" s="36">
        <f>IF($T194="","",INDEX(案件入力!$K$2:$K$301,$T194-1))</f>
        <v/>
      </c>
      <c r="L194" s="49">
        <f>IF($T194="","",INDEX(案件入力!$L$2:$L$301,$T194-1))</f>
        <v/>
      </c>
      <c r="M194" s="49">
        <f>IF($T194="","",INDEX(案件入力!$M$2:$M$301,$T194-1))</f>
        <v/>
      </c>
      <c r="N194" s="39">
        <f>IF($T194="","",INDEX(案件入力!$N$2:$N$301,$T194-1))</f>
        <v/>
      </c>
      <c r="O194" s="36">
        <f>IF($T194="","",INDEX(案件入力!$O$2:$O$301,$T194-1))</f>
        <v/>
      </c>
      <c r="P194" s="37">
        <f>IF($T194="","",INDEX(案件入力!$P$2:$P$301,$T194-1))</f>
        <v/>
      </c>
      <c r="Q194" s="35">
        <f>IF($T194="","",INDEX(案件入力!$Q$2:$Q$301,$T194-1))</f>
        <v/>
      </c>
      <c r="R194" s="35">
        <f>IF($T194="","",INDEX(案件入力!$R$2:$R$301,$T194-1))</f>
        <v/>
      </c>
      <c r="S194" s="35">
        <f>IF($T194="","",INDEX(案件入力!$S$2:$S$301,$T194-1))</f>
        <v/>
      </c>
      <c r="T194">
        <f t="array" ref="T194">IFERROR(SMALL(IF((案件入力!$A$2:$A$301&lt;&gt;"")*(案件入力!$R$2:$R$301&lt;&gt;"完了"),ROW(案件入力!$A$2:$A$301)),ROW()-1),"")</f>
        <v/>
      </c>
    </row>
    <row r="195">
      <c r="A195" s="35">
        <f>IF($T195="","",INDEX(案件入力!$A$2:$A$301,$T195-1))</f>
        <v/>
      </c>
      <c r="B195" s="36">
        <f>IF($T195="","",INDEX(案件入力!$B$2:$B$301,$T195-1))</f>
        <v/>
      </c>
      <c r="C195" s="35">
        <f>IF($T195="","",INDEX(案件入力!$C$2:$C$301,$T195-1))</f>
        <v/>
      </c>
      <c r="D195" s="37">
        <f>IF($T195="","",INDEX(案件入力!$D$2:$D$301,$T195-1))</f>
        <v/>
      </c>
      <c r="E195" s="35">
        <f>IF($T195="","",INDEX(案件入力!$E$2:$E$301,$T195-1))</f>
        <v/>
      </c>
      <c r="F195" s="35">
        <f>IF($T195="","",INDEX(案件入力!$F$2:$F$301,$T195-1))</f>
        <v/>
      </c>
      <c r="G195" s="35">
        <f>IF($T195="","",INDEX(案件入力!$G$2:$G$301,$T195-1))</f>
        <v/>
      </c>
      <c r="H195" s="49">
        <f>IF($T195="","",INDEX(案件入力!$H$2:$H$301,$T195-1))</f>
        <v/>
      </c>
      <c r="I195" s="49">
        <f>IF($T195="","",INDEX(案件入力!$I$2:$I$301,$T195-1))</f>
        <v/>
      </c>
      <c r="J195" s="39">
        <f>IF($T195="","",INDEX(案件入力!$J$2:$J$301,$T195-1))</f>
        <v/>
      </c>
      <c r="K195" s="36">
        <f>IF($T195="","",INDEX(案件入力!$K$2:$K$301,$T195-1))</f>
        <v/>
      </c>
      <c r="L195" s="49">
        <f>IF($T195="","",INDEX(案件入力!$L$2:$L$301,$T195-1))</f>
        <v/>
      </c>
      <c r="M195" s="49">
        <f>IF($T195="","",INDEX(案件入力!$M$2:$M$301,$T195-1))</f>
        <v/>
      </c>
      <c r="N195" s="39">
        <f>IF($T195="","",INDEX(案件入力!$N$2:$N$301,$T195-1))</f>
        <v/>
      </c>
      <c r="O195" s="36">
        <f>IF($T195="","",INDEX(案件入力!$O$2:$O$301,$T195-1))</f>
        <v/>
      </c>
      <c r="P195" s="37">
        <f>IF($T195="","",INDEX(案件入力!$P$2:$P$301,$T195-1))</f>
        <v/>
      </c>
      <c r="Q195" s="35">
        <f>IF($T195="","",INDEX(案件入力!$Q$2:$Q$301,$T195-1))</f>
        <v/>
      </c>
      <c r="R195" s="35">
        <f>IF($T195="","",INDEX(案件入力!$R$2:$R$301,$T195-1))</f>
        <v/>
      </c>
      <c r="S195" s="35">
        <f>IF($T195="","",INDEX(案件入力!$S$2:$S$301,$T195-1))</f>
        <v/>
      </c>
      <c r="T195">
        <f t="array" ref="T195">IFERROR(SMALL(IF((案件入力!$A$2:$A$301&lt;&gt;"")*(案件入力!$R$2:$R$301&lt;&gt;"完了"),ROW(案件入力!$A$2:$A$301)),ROW()-1),"")</f>
        <v/>
      </c>
    </row>
    <row r="196">
      <c r="A196" s="35">
        <f>IF($T196="","",INDEX(案件入力!$A$2:$A$301,$T196-1))</f>
        <v/>
      </c>
      <c r="B196" s="36">
        <f>IF($T196="","",INDEX(案件入力!$B$2:$B$301,$T196-1))</f>
        <v/>
      </c>
      <c r="C196" s="35">
        <f>IF($T196="","",INDEX(案件入力!$C$2:$C$301,$T196-1))</f>
        <v/>
      </c>
      <c r="D196" s="37">
        <f>IF($T196="","",INDEX(案件入力!$D$2:$D$301,$T196-1))</f>
        <v/>
      </c>
      <c r="E196" s="35">
        <f>IF($T196="","",INDEX(案件入力!$E$2:$E$301,$T196-1))</f>
        <v/>
      </c>
      <c r="F196" s="35">
        <f>IF($T196="","",INDEX(案件入力!$F$2:$F$301,$T196-1))</f>
        <v/>
      </c>
      <c r="G196" s="35">
        <f>IF($T196="","",INDEX(案件入力!$G$2:$G$301,$T196-1))</f>
        <v/>
      </c>
      <c r="H196" s="49">
        <f>IF($T196="","",INDEX(案件入力!$H$2:$H$301,$T196-1))</f>
        <v/>
      </c>
      <c r="I196" s="49">
        <f>IF($T196="","",INDEX(案件入力!$I$2:$I$301,$T196-1))</f>
        <v/>
      </c>
      <c r="J196" s="39">
        <f>IF($T196="","",INDEX(案件入力!$J$2:$J$301,$T196-1))</f>
        <v/>
      </c>
      <c r="K196" s="36">
        <f>IF($T196="","",INDEX(案件入力!$K$2:$K$301,$T196-1))</f>
        <v/>
      </c>
      <c r="L196" s="49">
        <f>IF($T196="","",INDEX(案件入力!$L$2:$L$301,$T196-1))</f>
        <v/>
      </c>
      <c r="M196" s="49">
        <f>IF($T196="","",INDEX(案件入力!$M$2:$M$301,$T196-1))</f>
        <v/>
      </c>
      <c r="N196" s="39">
        <f>IF($T196="","",INDEX(案件入力!$N$2:$N$301,$T196-1))</f>
        <v/>
      </c>
      <c r="O196" s="36">
        <f>IF($T196="","",INDEX(案件入力!$O$2:$O$301,$T196-1))</f>
        <v/>
      </c>
      <c r="P196" s="37">
        <f>IF($T196="","",INDEX(案件入力!$P$2:$P$301,$T196-1))</f>
        <v/>
      </c>
      <c r="Q196" s="35">
        <f>IF($T196="","",INDEX(案件入力!$Q$2:$Q$301,$T196-1))</f>
        <v/>
      </c>
      <c r="R196" s="35">
        <f>IF($T196="","",INDEX(案件入力!$R$2:$R$301,$T196-1))</f>
        <v/>
      </c>
      <c r="S196" s="35">
        <f>IF($T196="","",INDEX(案件入力!$S$2:$S$301,$T196-1))</f>
        <v/>
      </c>
      <c r="T196">
        <f t="array" ref="T196">IFERROR(SMALL(IF((案件入力!$A$2:$A$301&lt;&gt;"")*(案件入力!$R$2:$R$301&lt;&gt;"完了"),ROW(案件入力!$A$2:$A$301)),ROW()-1),"")</f>
        <v/>
      </c>
    </row>
    <row r="197">
      <c r="A197" s="35">
        <f>IF($T197="","",INDEX(案件入力!$A$2:$A$301,$T197-1))</f>
        <v/>
      </c>
      <c r="B197" s="36">
        <f>IF($T197="","",INDEX(案件入力!$B$2:$B$301,$T197-1))</f>
        <v/>
      </c>
      <c r="C197" s="35">
        <f>IF($T197="","",INDEX(案件入力!$C$2:$C$301,$T197-1))</f>
        <v/>
      </c>
      <c r="D197" s="37">
        <f>IF($T197="","",INDEX(案件入力!$D$2:$D$301,$T197-1))</f>
        <v/>
      </c>
      <c r="E197" s="35">
        <f>IF($T197="","",INDEX(案件入力!$E$2:$E$301,$T197-1))</f>
        <v/>
      </c>
      <c r="F197" s="35">
        <f>IF($T197="","",INDEX(案件入力!$F$2:$F$301,$T197-1))</f>
        <v/>
      </c>
      <c r="G197" s="35">
        <f>IF($T197="","",INDEX(案件入力!$G$2:$G$301,$T197-1))</f>
        <v/>
      </c>
      <c r="H197" s="49">
        <f>IF($T197="","",INDEX(案件入力!$H$2:$H$301,$T197-1))</f>
        <v/>
      </c>
      <c r="I197" s="49">
        <f>IF($T197="","",INDEX(案件入力!$I$2:$I$301,$T197-1))</f>
        <v/>
      </c>
      <c r="J197" s="39">
        <f>IF($T197="","",INDEX(案件入力!$J$2:$J$301,$T197-1))</f>
        <v/>
      </c>
      <c r="K197" s="36">
        <f>IF($T197="","",INDEX(案件入力!$K$2:$K$301,$T197-1))</f>
        <v/>
      </c>
      <c r="L197" s="49">
        <f>IF($T197="","",INDEX(案件入力!$L$2:$L$301,$T197-1))</f>
        <v/>
      </c>
      <c r="M197" s="49">
        <f>IF($T197="","",INDEX(案件入力!$M$2:$M$301,$T197-1))</f>
        <v/>
      </c>
      <c r="N197" s="39">
        <f>IF($T197="","",INDEX(案件入力!$N$2:$N$301,$T197-1))</f>
        <v/>
      </c>
      <c r="O197" s="36">
        <f>IF($T197="","",INDEX(案件入力!$O$2:$O$301,$T197-1))</f>
        <v/>
      </c>
      <c r="P197" s="37">
        <f>IF($T197="","",INDEX(案件入力!$P$2:$P$301,$T197-1))</f>
        <v/>
      </c>
      <c r="Q197" s="35">
        <f>IF($T197="","",INDEX(案件入力!$Q$2:$Q$301,$T197-1))</f>
        <v/>
      </c>
      <c r="R197" s="35">
        <f>IF($T197="","",INDEX(案件入力!$R$2:$R$301,$T197-1))</f>
        <v/>
      </c>
      <c r="S197" s="35">
        <f>IF($T197="","",INDEX(案件入力!$S$2:$S$301,$T197-1))</f>
        <v/>
      </c>
      <c r="T197">
        <f t="array" ref="T197">IFERROR(SMALL(IF((案件入力!$A$2:$A$301&lt;&gt;"")*(案件入力!$R$2:$R$301&lt;&gt;"完了"),ROW(案件入力!$A$2:$A$301)),ROW()-1),"")</f>
        <v/>
      </c>
    </row>
    <row r="198">
      <c r="A198" s="35">
        <f>IF($T198="","",INDEX(案件入力!$A$2:$A$301,$T198-1))</f>
        <v/>
      </c>
      <c r="B198" s="36">
        <f>IF($T198="","",INDEX(案件入力!$B$2:$B$301,$T198-1))</f>
        <v/>
      </c>
      <c r="C198" s="35">
        <f>IF($T198="","",INDEX(案件入力!$C$2:$C$301,$T198-1))</f>
        <v/>
      </c>
      <c r="D198" s="37">
        <f>IF($T198="","",INDEX(案件入力!$D$2:$D$301,$T198-1))</f>
        <v/>
      </c>
      <c r="E198" s="35">
        <f>IF($T198="","",INDEX(案件入力!$E$2:$E$301,$T198-1))</f>
        <v/>
      </c>
      <c r="F198" s="35">
        <f>IF($T198="","",INDEX(案件入力!$F$2:$F$301,$T198-1))</f>
        <v/>
      </c>
      <c r="G198" s="35">
        <f>IF($T198="","",INDEX(案件入力!$G$2:$G$301,$T198-1))</f>
        <v/>
      </c>
      <c r="H198" s="49">
        <f>IF($T198="","",INDEX(案件入力!$H$2:$H$301,$T198-1))</f>
        <v/>
      </c>
      <c r="I198" s="49">
        <f>IF($T198="","",INDEX(案件入力!$I$2:$I$301,$T198-1))</f>
        <v/>
      </c>
      <c r="J198" s="39">
        <f>IF($T198="","",INDEX(案件入力!$J$2:$J$301,$T198-1))</f>
        <v/>
      </c>
      <c r="K198" s="36">
        <f>IF($T198="","",INDEX(案件入力!$K$2:$K$301,$T198-1))</f>
        <v/>
      </c>
      <c r="L198" s="49">
        <f>IF($T198="","",INDEX(案件入力!$L$2:$L$301,$T198-1))</f>
        <v/>
      </c>
      <c r="M198" s="49">
        <f>IF($T198="","",INDEX(案件入力!$M$2:$M$301,$T198-1))</f>
        <v/>
      </c>
      <c r="N198" s="39">
        <f>IF($T198="","",INDEX(案件入力!$N$2:$N$301,$T198-1))</f>
        <v/>
      </c>
      <c r="O198" s="36">
        <f>IF($T198="","",INDEX(案件入力!$O$2:$O$301,$T198-1))</f>
        <v/>
      </c>
      <c r="P198" s="37">
        <f>IF($T198="","",INDEX(案件入力!$P$2:$P$301,$T198-1))</f>
        <v/>
      </c>
      <c r="Q198" s="35">
        <f>IF($T198="","",INDEX(案件入力!$Q$2:$Q$301,$T198-1))</f>
        <v/>
      </c>
      <c r="R198" s="35">
        <f>IF($T198="","",INDEX(案件入力!$R$2:$R$301,$T198-1))</f>
        <v/>
      </c>
      <c r="S198" s="35">
        <f>IF($T198="","",INDEX(案件入力!$S$2:$S$301,$T198-1))</f>
        <v/>
      </c>
      <c r="T198">
        <f t="array" ref="T198">IFERROR(SMALL(IF((案件入力!$A$2:$A$301&lt;&gt;"")*(案件入力!$R$2:$R$301&lt;&gt;"完了"),ROW(案件入力!$A$2:$A$301)),ROW()-1),"")</f>
        <v/>
      </c>
    </row>
    <row r="199">
      <c r="A199" s="35">
        <f>IF($T199="","",INDEX(案件入力!$A$2:$A$301,$T199-1))</f>
        <v/>
      </c>
      <c r="B199" s="36">
        <f>IF($T199="","",INDEX(案件入力!$B$2:$B$301,$T199-1))</f>
        <v/>
      </c>
      <c r="C199" s="35">
        <f>IF($T199="","",INDEX(案件入力!$C$2:$C$301,$T199-1))</f>
        <v/>
      </c>
      <c r="D199" s="37">
        <f>IF($T199="","",INDEX(案件入力!$D$2:$D$301,$T199-1))</f>
        <v/>
      </c>
      <c r="E199" s="35">
        <f>IF($T199="","",INDEX(案件入力!$E$2:$E$301,$T199-1))</f>
        <v/>
      </c>
      <c r="F199" s="35">
        <f>IF($T199="","",INDEX(案件入力!$F$2:$F$301,$T199-1))</f>
        <v/>
      </c>
      <c r="G199" s="35">
        <f>IF($T199="","",INDEX(案件入力!$G$2:$G$301,$T199-1))</f>
        <v/>
      </c>
      <c r="H199" s="49">
        <f>IF($T199="","",INDEX(案件入力!$H$2:$H$301,$T199-1))</f>
        <v/>
      </c>
      <c r="I199" s="49">
        <f>IF($T199="","",INDEX(案件入力!$I$2:$I$301,$T199-1))</f>
        <v/>
      </c>
      <c r="J199" s="39">
        <f>IF($T199="","",INDEX(案件入力!$J$2:$J$301,$T199-1))</f>
        <v/>
      </c>
      <c r="K199" s="36">
        <f>IF($T199="","",INDEX(案件入力!$K$2:$K$301,$T199-1))</f>
        <v/>
      </c>
      <c r="L199" s="49">
        <f>IF($T199="","",INDEX(案件入力!$L$2:$L$301,$T199-1))</f>
        <v/>
      </c>
      <c r="M199" s="49">
        <f>IF($T199="","",INDEX(案件入力!$M$2:$M$301,$T199-1))</f>
        <v/>
      </c>
      <c r="N199" s="39">
        <f>IF($T199="","",INDEX(案件入力!$N$2:$N$301,$T199-1))</f>
        <v/>
      </c>
      <c r="O199" s="36">
        <f>IF($T199="","",INDEX(案件入力!$O$2:$O$301,$T199-1))</f>
        <v/>
      </c>
      <c r="P199" s="37">
        <f>IF($T199="","",INDEX(案件入力!$P$2:$P$301,$T199-1))</f>
        <v/>
      </c>
      <c r="Q199" s="35">
        <f>IF($T199="","",INDEX(案件入力!$Q$2:$Q$301,$T199-1))</f>
        <v/>
      </c>
      <c r="R199" s="35">
        <f>IF($T199="","",INDEX(案件入力!$R$2:$R$301,$T199-1))</f>
        <v/>
      </c>
      <c r="S199" s="35">
        <f>IF($T199="","",INDEX(案件入力!$S$2:$S$301,$T199-1))</f>
        <v/>
      </c>
      <c r="T199">
        <f t="array" ref="T199">IFERROR(SMALL(IF((案件入力!$A$2:$A$301&lt;&gt;"")*(案件入力!$R$2:$R$301&lt;&gt;"完了"),ROW(案件入力!$A$2:$A$301)),ROW()-1),"")</f>
        <v/>
      </c>
    </row>
    <row r="200">
      <c r="A200" s="35">
        <f>IF($T200="","",INDEX(案件入力!$A$2:$A$301,$T200-1))</f>
        <v/>
      </c>
      <c r="B200" s="36">
        <f>IF($T200="","",INDEX(案件入力!$B$2:$B$301,$T200-1))</f>
        <v/>
      </c>
      <c r="C200" s="35">
        <f>IF($T200="","",INDEX(案件入力!$C$2:$C$301,$T200-1))</f>
        <v/>
      </c>
      <c r="D200" s="37">
        <f>IF($T200="","",INDEX(案件入力!$D$2:$D$301,$T200-1))</f>
        <v/>
      </c>
      <c r="E200" s="35">
        <f>IF($T200="","",INDEX(案件入力!$E$2:$E$301,$T200-1))</f>
        <v/>
      </c>
      <c r="F200" s="35">
        <f>IF($T200="","",INDEX(案件入力!$F$2:$F$301,$T200-1))</f>
        <v/>
      </c>
      <c r="G200" s="35">
        <f>IF($T200="","",INDEX(案件入力!$G$2:$G$301,$T200-1))</f>
        <v/>
      </c>
      <c r="H200" s="49">
        <f>IF($T200="","",INDEX(案件入力!$H$2:$H$301,$T200-1))</f>
        <v/>
      </c>
      <c r="I200" s="49">
        <f>IF($T200="","",INDEX(案件入力!$I$2:$I$301,$T200-1))</f>
        <v/>
      </c>
      <c r="J200" s="39">
        <f>IF($T200="","",INDEX(案件入力!$J$2:$J$301,$T200-1))</f>
        <v/>
      </c>
      <c r="K200" s="36">
        <f>IF($T200="","",INDEX(案件入力!$K$2:$K$301,$T200-1))</f>
        <v/>
      </c>
      <c r="L200" s="49">
        <f>IF($T200="","",INDEX(案件入力!$L$2:$L$301,$T200-1))</f>
        <v/>
      </c>
      <c r="M200" s="49">
        <f>IF($T200="","",INDEX(案件入力!$M$2:$M$301,$T200-1))</f>
        <v/>
      </c>
      <c r="N200" s="39">
        <f>IF($T200="","",INDEX(案件入力!$N$2:$N$301,$T200-1))</f>
        <v/>
      </c>
      <c r="O200" s="36">
        <f>IF($T200="","",INDEX(案件入力!$O$2:$O$301,$T200-1))</f>
        <v/>
      </c>
      <c r="P200" s="37">
        <f>IF($T200="","",INDEX(案件入力!$P$2:$P$301,$T200-1))</f>
        <v/>
      </c>
      <c r="Q200" s="35">
        <f>IF($T200="","",INDEX(案件入力!$Q$2:$Q$301,$T200-1))</f>
        <v/>
      </c>
      <c r="R200" s="35">
        <f>IF($T200="","",INDEX(案件入力!$R$2:$R$301,$T200-1))</f>
        <v/>
      </c>
      <c r="S200" s="35">
        <f>IF($T200="","",INDEX(案件入力!$S$2:$S$301,$T200-1))</f>
        <v/>
      </c>
      <c r="T200">
        <f t="array" ref="T200">IFERROR(SMALL(IF((案件入力!$A$2:$A$301&lt;&gt;"")*(案件入力!$R$2:$R$301&lt;&gt;"完了"),ROW(案件入力!$A$2:$A$301)),ROW()-1),"")</f>
        <v/>
      </c>
    </row>
    <row r="201">
      <c r="A201" s="35">
        <f>IF($T201="","",INDEX(案件入力!$A$2:$A$301,$T201-1))</f>
        <v/>
      </c>
      <c r="B201" s="36">
        <f>IF($T201="","",INDEX(案件入力!$B$2:$B$301,$T201-1))</f>
        <v/>
      </c>
      <c r="C201" s="35">
        <f>IF($T201="","",INDEX(案件入力!$C$2:$C$301,$T201-1))</f>
        <v/>
      </c>
      <c r="D201" s="37">
        <f>IF($T201="","",INDEX(案件入力!$D$2:$D$301,$T201-1))</f>
        <v/>
      </c>
      <c r="E201" s="35">
        <f>IF($T201="","",INDEX(案件入力!$E$2:$E$301,$T201-1))</f>
        <v/>
      </c>
      <c r="F201" s="35">
        <f>IF($T201="","",INDEX(案件入力!$F$2:$F$301,$T201-1))</f>
        <v/>
      </c>
      <c r="G201" s="35">
        <f>IF($T201="","",INDEX(案件入力!$G$2:$G$301,$T201-1))</f>
        <v/>
      </c>
      <c r="H201" s="49">
        <f>IF($T201="","",INDEX(案件入力!$H$2:$H$301,$T201-1))</f>
        <v/>
      </c>
      <c r="I201" s="49">
        <f>IF($T201="","",INDEX(案件入力!$I$2:$I$301,$T201-1))</f>
        <v/>
      </c>
      <c r="J201" s="39">
        <f>IF($T201="","",INDEX(案件入力!$J$2:$J$301,$T201-1))</f>
        <v/>
      </c>
      <c r="K201" s="36">
        <f>IF($T201="","",INDEX(案件入力!$K$2:$K$301,$T201-1))</f>
        <v/>
      </c>
      <c r="L201" s="49">
        <f>IF($T201="","",INDEX(案件入力!$L$2:$L$301,$T201-1))</f>
        <v/>
      </c>
      <c r="M201" s="49">
        <f>IF($T201="","",INDEX(案件入力!$M$2:$M$301,$T201-1))</f>
        <v/>
      </c>
      <c r="N201" s="39">
        <f>IF($T201="","",INDEX(案件入力!$N$2:$N$301,$T201-1))</f>
        <v/>
      </c>
      <c r="O201" s="36">
        <f>IF($T201="","",INDEX(案件入力!$O$2:$O$301,$T201-1))</f>
        <v/>
      </c>
      <c r="P201" s="37">
        <f>IF($T201="","",INDEX(案件入力!$P$2:$P$301,$T201-1))</f>
        <v/>
      </c>
      <c r="Q201" s="35">
        <f>IF($T201="","",INDEX(案件入力!$Q$2:$Q$301,$T201-1))</f>
        <v/>
      </c>
      <c r="R201" s="35">
        <f>IF($T201="","",INDEX(案件入力!$R$2:$R$301,$T201-1))</f>
        <v/>
      </c>
      <c r="S201" s="35">
        <f>IF($T201="","",INDEX(案件入力!$S$2:$S$301,$T201-1))</f>
        <v/>
      </c>
      <c r="T201">
        <f t="array" ref="T201">IFERROR(SMALL(IF((案件入力!$A$2:$A$301&lt;&gt;"")*(案件入力!$R$2:$R$301&lt;&gt;"完了"),ROW(案件入力!$A$2:$A$301)),ROW()-1),"")</f>
        <v/>
      </c>
    </row>
    <row r="202">
      <c r="A202" s="35">
        <f>IF($T202="","",INDEX(案件入力!$A$2:$A$301,$T202-1))</f>
        <v/>
      </c>
      <c r="B202" s="36">
        <f>IF($T202="","",INDEX(案件入力!$B$2:$B$301,$T202-1))</f>
        <v/>
      </c>
      <c r="C202" s="35">
        <f>IF($T202="","",INDEX(案件入力!$C$2:$C$301,$T202-1))</f>
        <v/>
      </c>
      <c r="D202" s="37">
        <f>IF($T202="","",INDEX(案件入力!$D$2:$D$301,$T202-1))</f>
        <v/>
      </c>
      <c r="E202" s="35">
        <f>IF($T202="","",INDEX(案件入力!$E$2:$E$301,$T202-1))</f>
        <v/>
      </c>
      <c r="F202" s="35">
        <f>IF($T202="","",INDEX(案件入力!$F$2:$F$301,$T202-1))</f>
        <v/>
      </c>
      <c r="G202" s="35">
        <f>IF($T202="","",INDEX(案件入力!$G$2:$G$301,$T202-1))</f>
        <v/>
      </c>
      <c r="H202" s="49">
        <f>IF($T202="","",INDEX(案件入力!$H$2:$H$301,$T202-1))</f>
        <v/>
      </c>
      <c r="I202" s="49">
        <f>IF($T202="","",INDEX(案件入力!$I$2:$I$301,$T202-1))</f>
        <v/>
      </c>
      <c r="J202" s="39">
        <f>IF($T202="","",INDEX(案件入力!$J$2:$J$301,$T202-1))</f>
        <v/>
      </c>
      <c r="K202" s="36">
        <f>IF($T202="","",INDEX(案件入力!$K$2:$K$301,$T202-1))</f>
        <v/>
      </c>
      <c r="L202" s="49">
        <f>IF($T202="","",INDEX(案件入力!$L$2:$L$301,$T202-1))</f>
        <v/>
      </c>
      <c r="M202" s="49">
        <f>IF($T202="","",INDEX(案件入力!$M$2:$M$301,$T202-1))</f>
        <v/>
      </c>
      <c r="N202" s="39">
        <f>IF($T202="","",INDEX(案件入力!$N$2:$N$301,$T202-1))</f>
        <v/>
      </c>
      <c r="O202" s="36">
        <f>IF($T202="","",INDEX(案件入力!$O$2:$O$301,$T202-1))</f>
        <v/>
      </c>
      <c r="P202" s="37">
        <f>IF($T202="","",INDEX(案件入力!$P$2:$P$301,$T202-1))</f>
        <v/>
      </c>
      <c r="Q202" s="35">
        <f>IF($T202="","",INDEX(案件入力!$Q$2:$Q$301,$T202-1))</f>
        <v/>
      </c>
      <c r="R202" s="35">
        <f>IF($T202="","",INDEX(案件入力!$R$2:$R$301,$T202-1))</f>
        <v/>
      </c>
      <c r="S202" s="35">
        <f>IF($T202="","",INDEX(案件入力!$S$2:$S$301,$T202-1))</f>
        <v/>
      </c>
      <c r="T202">
        <f t="array" ref="T202">IFERROR(SMALL(IF((案件入力!$A$2:$A$301&lt;&gt;"")*(案件入力!$R$2:$R$301&lt;&gt;"完了"),ROW(案件入力!$A$2:$A$301)),ROW()-1),"")</f>
        <v/>
      </c>
    </row>
    <row r="203">
      <c r="A203" s="35">
        <f>IF($T203="","",INDEX(案件入力!$A$2:$A$301,$T203-1))</f>
        <v/>
      </c>
      <c r="B203" s="36">
        <f>IF($T203="","",INDEX(案件入力!$B$2:$B$301,$T203-1))</f>
        <v/>
      </c>
      <c r="C203" s="35">
        <f>IF($T203="","",INDEX(案件入力!$C$2:$C$301,$T203-1))</f>
        <v/>
      </c>
      <c r="D203" s="37">
        <f>IF($T203="","",INDEX(案件入力!$D$2:$D$301,$T203-1))</f>
        <v/>
      </c>
      <c r="E203" s="35">
        <f>IF($T203="","",INDEX(案件入力!$E$2:$E$301,$T203-1))</f>
        <v/>
      </c>
      <c r="F203" s="35">
        <f>IF($T203="","",INDEX(案件入力!$F$2:$F$301,$T203-1))</f>
        <v/>
      </c>
      <c r="G203" s="35">
        <f>IF($T203="","",INDEX(案件入力!$G$2:$G$301,$T203-1))</f>
        <v/>
      </c>
      <c r="H203" s="49">
        <f>IF($T203="","",INDEX(案件入力!$H$2:$H$301,$T203-1))</f>
        <v/>
      </c>
      <c r="I203" s="49">
        <f>IF($T203="","",INDEX(案件入力!$I$2:$I$301,$T203-1))</f>
        <v/>
      </c>
      <c r="J203" s="39">
        <f>IF($T203="","",INDEX(案件入力!$J$2:$J$301,$T203-1))</f>
        <v/>
      </c>
      <c r="K203" s="36">
        <f>IF($T203="","",INDEX(案件入力!$K$2:$K$301,$T203-1))</f>
        <v/>
      </c>
      <c r="L203" s="49">
        <f>IF($T203="","",INDEX(案件入力!$L$2:$L$301,$T203-1))</f>
        <v/>
      </c>
      <c r="M203" s="49">
        <f>IF($T203="","",INDEX(案件入力!$M$2:$M$301,$T203-1))</f>
        <v/>
      </c>
      <c r="N203" s="39">
        <f>IF($T203="","",INDEX(案件入力!$N$2:$N$301,$T203-1))</f>
        <v/>
      </c>
      <c r="O203" s="36">
        <f>IF($T203="","",INDEX(案件入力!$O$2:$O$301,$T203-1))</f>
        <v/>
      </c>
      <c r="P203" s="37">
        <f>IF($T203="","",INDEX(案件入力!$P$2:$P$301,$T203-1))</f>
        <v/>
      </c>
      <c r="Q203" s="35">
        <f>IF($T203="","",INDEX(案件入力!$Q$2:$Q$301,$T203-1))</f>
        <v/>
      </c>
      <c r="R203" s="35">
        <f>IF($T203="","",INDEX(案件入力!$R$2:$R$301,$T203-1))</f>
        <v/>
      </c>
      <c r="S203" s="35">
        <f>IF($T203="","",INDEX(案件入力!$S$2:$S$301,$T203-1))</f>
        <v/>
      </c>
      <c r="T203">
        <f t="array" ref="T203">IFERROR(SMALL(IF((案件入力!$A$2:$A$301&lt;&gt;"")*(案件入力!$R$2:$R$301&lt;&gt;"完了"),ROW(案件入力!$A$2:$A$301)),ROW()-1),"")</f>
        <v/>
      </c>
    </row>
    <row r="204">
      <c r="A204" s="35">
        <f>IF($T204="","",INDEX(案件入力!$A$2:$A$301,$T204-1))</f>
        <v/>
      </c>
      <c r="B204" s="36">
        <f>IF($T204="","",INDEX(案件入力!$B$2:$B$301,$T204-1))</f>
        <v/>
      </c>
      <c r="C204" s="35">
        <f>IF($T204="","",INDEX(案件入力!$C$2:$C$301,$T204-1))</f>
        <v/>
      </c>
      <c r="D204" s="37">
        <f>IF($T204="","",INDEX(案件入力!$D$2:$D$301,$T204-1))</f>
        <v/>
      </c>
      <c r="E204" s="35">
        <f>IF($T204="","",INDEX(案件入力!$E$2:$E$301,$T204-1))</f>
        <v/>
      </c>
      <c r="F204" s="35">
        <f>IF($T204="","",INDEX(案件入力!$F$2:$F$301,$T204-1))</f>
        <v/>
      </c>
      <c r="G204" s="35">
        <f>IF($T204="","",INDEX(案件入力!$G$2:$G$301,$T204-1))</f>
        <v/>
      </c>
      <c r="H204" s="49">
        <f>IF($T204="","",INDEX(案件入力!$H$2:$H$301,$T204-1))</f>
        <v/>
      </c>
      <c r="I204" s="49">
        <f>IF($T204="","",INDEX(案件入力!$I$2:$I$301,$T204-1))</f>
        <v/>
      </c>
      <c r="J204" s="39">
        <f>IF($T204="","",INDEX(案件入力!$J$2:$J$301,$T204-1))</f>
        <v/>
      </c>
      <c r="K204" s="36">
        <f>IF($T204="","",INDEX(案件入力!$K$2:$K$301,$T204-1))</f>
        <v/>
      </c>
      <c r="L204" s="49">
        <f>IF($T204="","",INDEX(案件入力!$L$2:$L$301,$T204-1))</f>
        <v/>
      </c>
      <c r="M204" s="49">
        <f>IF($T204="","",INDEX(案件入力!$M$2:$M$301,$T204-1))</f>
        <v/>
      </c>
      <c r="N204" s="39">
        <f>IF($T204="","",INDEX(案件入力!$N$2:$N$301,$T204-1))</f>
        <v/>
      </c>
      <c r="O204" s="36">
        <f>IF($T204="","",INDEX(案件入力!$O$2:$O$301,$T204-1))</f>
        <v/>
      </c>
      <c r="P204" s="37">
        <f>IF($T204="","",INDEX(案件入力!$P$2:$P$301,$T204-1))</f>
        <v/>
      </c>
      <c r="Q204" s="35">
        <f>IF($T204="","",INDEX(案件入力!$Q$2:$Q$301,$T204-1))</f>
        <v/>
      </c>
      <c r="R204" s="35">
        <f>IF($T204="","",INDEX(案件入力!$R$2:$R$301,$T204-1))</f>
        <v/>
      </c>
      <c r="S204" s="35">
        <f>IF($T204="","",INDEX(案件入力!$S$2:$S$301,$T204-1))</f>
        <v/>
      </c>
      <c r="T204">
        <f t="array" ref="T204">IFERROR(SMALL(IF((案件入力!$A$2:$A$301&lt;&gt;"")*(案件入力!$R$2:$R$301&lt;&gt;"完了"),ROW(案件入力!$A$2:$A$301)),ROW()-1),"")</f>
        <v/>
      </c>
    </row>
    <row r="205">
      <c r="A205" s="35">
        <f>IF($T205="","",INDEX(案件入力!$A$2:$A$301,$T205-1))</f>
        <v/>
      </c>
      <c r="B205" s="36">
        <f>IF($T205="","",INDEX(案件入力!$B$2:$B$301,$T205-1))</f>
        <v/>
      </c>
      <c r="C205" s="35">
        <f>IF($T205="","",INDEX(案件入力!$C$2:$C$301,$T205-1))</f>
        <v/>
      </c>
      <c r="D205" s="37">
        <f>IF($T205="","",INDEX(案件入力!$D$2:$D$301,$T205-1))</f>
        <v/>
      </c>
      <c r="E205" s="35">
        <f>IF($T205="","",INDEX(案件入力!$E$2:$E$301,$T205-1))</f>
        <v/>
      </c>
      <c r="F205" s="35">
        <f>IF($T205="","",INDEX(案件入力!$F$2:$F$301,$T205-1))</f>
        <v/>
      </c>
      <c r="G205" s="35">
        <f>IF($T205="","",INDEX(案件入力!$G$2:$G$301,$T205-1))</f>
        <v/>
      </c>
      <c r="H205" s="49">
        <f>IF($T205="","",INDEX(案件入力!$H$2:$H$301,$T205-1))</f>
        <v/>
      </c>
      <c r="I205" s="49">
        <f>IF($T205="","",INDEX(案件入力!$I$2:$I$301,$T205-1))</f>
        <v/>
      </c>
      <c r="J205" s="39">
        <f>IF($T205="","",INDEX(案件入力!$J$2:$J$301,$T205-1))</f>
        <v/>
      </c>
      <c r="K205" s="36">
        <f>IF($T205="","",INDEX(案件入力!$K$2:$K$301,$T205-1))</f>
        <v/>
      </c>
      <c r="L205" s="49">
        <f>IF($T205="","",INDEX(案件入力!$L$2:$L$301,$T205-1))</f>
        <v/>
      </c>
      <c r="M205" s="49">
        <f>IF($T205="","",INDEX(案件入力!$M$2:$M$301,$T205-1))</f>
        <v/>
      </c>
      <c r="N205" s="39">
        <f>IF($T205="","",INDEX(案件入力!$N$2:$N$301,$T205-1))</f>
        <v/>
      </c>
      <c r="O205" s="36">
        <f>IF($T205="","",INDEX(案件入力!$O$2:$O$301,$T205-1))</f>
        <v/>
      </c>
      <c r="P205" s="37">
        <f>IF($T205="","",INDEX(案件入力!$P$2:$P$301,$T205-1))</f>
        <v/>
      </c>
      <c r="Q205" s="35">
        <f>IF($T205="","",INDEX(案件入力!$Q$2:$Q$301,$T205-1))</f>
        <v/>
      </c>
      <c r="R205" s="35">
        <f>IF($T205="","",INDEX(案件入力!$R$2:$R$301,$T205-1))</f>
        <v/>
      </c>
      <c r="S205" s="35">
        <f>IF($T205="","",INDEX(案件入力!$S$2:$S$301,$T205-1))</f>
        <v/>
      </c>
      <c r="T205">
        <f t="array" ref="T205">IFERROR(SMALL(IF((案件入力!$A$2:$A$301&lt;&gt;"")*(案件入力!$R$2:$R$301&lt;&gt;"完了"),ROW(案件入力!$A$2:$A$301)),ROW()-1),"")</f>
        <v/>
      </c>
    </row>
    <row r="206">
      <c r="A206" s="35">
        <f>IF($T206="","",INDEX(案件入力!$A$2:$A$301,$T206-1))</f>
        <v/>
      </c>
      <c r="B206" s="36">
        <f>IF($T206="","",INDEX(案件入力!$B$2:$B$301,$T206-1))</f>
        <v/>
      </c>
      <c r="C206" s="35">
        <f>IF($T206="","",INDEX(案件入力!$C$2:$C$301,$T206-1))</f>
        <v/>
      </c>
      <c r="D206" s="37">
        <f>IF($T206="","",INDEX(案件入力!$D$2:$D$301,$T206-1))</f>
        <v/>
      </c>
      <c r="E206" s="35">
        <f>IF($T206="","",INDEX(案件入力!$E$2:$E$301,$T206-1))</f>
        <v/>
      </c>
      <c r="F206" s="35">
        <f>IF($T206="","",INDEX(案件入力!$F$2:$F$301,$T206-1))</f>
        <v/>
      </c>
      <c r="G206" s="35">
        <f>IF($T206="","",INDEX(案件入力!$G$2:$G$301,$T206-1))</f>
        <v/>
      </c>
      <c r="H206" s="49">
        <f>IF($T206="","",INDEX(案件入力!$H$2:$H$301,$T206-1))</f>
        <v/>
      </c>
      <c r="I206" s="49">
        <f>IF($T206="","",INDEX(案件入力!$I$2:$I$301,$T206-1))</f>
        <v/>
      </c>
      <c r="J206" s="39">
        <f>IF($T206="","",INDEX(案件入力!$J$2:$J$301,$T206-1))</f>
        <v/>
      </c>
      <c r="K206" s="36">
        <f>IF($T206="","",INDEX(案件入力!$K$2:$K$301,$T206-1))</f>
        <v/>
      </c>
      <c r="L206" s="49">
        <f>IF($T206="","",INDEX(案件入力!$L$2:$L$301,$T206-1))</f>
        <v/>
      </c>
      <c r="M206" s="49">
        <f>IF($T206="","",INDEX(案件入力!$M$2:$M$301,$T206-1))</f>
        <v/>
      </c>
      <c r="N206" s="39">
        <f>IF($T206="","",INDEX(案件入力!$N$2:$N$301,$T206-1))</f>
        <v/>
      </c>
      <c r="O206" s="36">
        <f>IF($T206="","",INDEX(案件入力!$O$2:$O$301,$T206-1))</f>
        <v/>
      </c>
      <c r="P206" s="37">
        <f>IF($T206="","",INDEX(案件入力!$P$2:$P$301,$T206-1))</f>
        <v/>
      </c>
      <c r="Q206" s="35">
        <f>IF($T206="","",INDEX(案件入力!$Q$2:$Q$301,$T206-1))</f>
        <v/>
      </c>
      <c r="R206" s="35">
        <f>IF($T206="","",INDEX(案件入力!$R$2:$R$301,$T206-1))</f>
        <v/>
      </c>
      <c r="S206" s="35">
        <f>IF($T206="","",INDEX(案件入力!$S$2:$S$301,$T206-1))</f>
        <v/>
      </c>
      <c r="T206">
        <f t="array" ref="T206">IFERROR(SMALL(IF((案件入力!$A$2:$A$301&lt;&gt;"")*(案件入力!$R$2:$R$301&lt;&gt;"完了"),ROW(案件入力!$A$2:$A$301)),ROW()-1),"")</f>
        <v/>
      </c>
    </row>
    <row r="207">
      <c r="A207" s="35">
        <f>IF($T207="","",INDEX(案件入力!$A$2:$A$301,$T207-1))</f>
        <v/>
      </c>
      <c r="B207" s="36">
        <f>IF($T207="","",INDEX(案件入力!$B$2:$B$301,$T207-1))</f>
        <v/>
      </c>
      <c r="C207" s="35">
        <f>IF($T207="","",INDEX(案件入力!$C$2:$C$301,$T207-1))</f>
        <v/>
      </c>
      <c r="D207" s="37">
        <f>IF($T207="","",INDEX(案件入力!$D$2:$D$301,$T207-1))</f>
        <v/>
      </c>
      <c r="E207" s="35">
        <f>IF($T207="","",INDEX(案件入力!$E$2:$E$301,$T207-1))</f>
        <v/>
      </c>
      <c r="F207" s="35">
        <f>IF($T207="","",INDEX(案件入力!$F$2:$F$301,$T207-1))</f>
        <v/>
      </c>
      <c r="G207" s="35">
        <f>IF($T207="","",INDEX(案件入力!$G$2:$G$301,$T207-1))</f>
        <v/>
      </c>
      <c r="H207" s="49">
        <f>IF($T207="","",INDEX(案件入力!$H$2:$H$301,$T207-1))</f>
        <v/>
      </c>
      <c r="I207" s="49">
        <f>IF($T207="","",INDEX(案件入力!$I$2:$I$301,$T207-1))</f>
        <v/>
      </c>
      <c r="J207" s="39">
        <f>IF($T207="","",INDEX(案件入力!$J$2:$J$301,$T207-1))</f>
        <v/>
      </c>
      <c r="K207" s="36">
        <f>IF($T207="","",INDEX(案件入力!$K$2:$K$301,$T207-1))</f>
        <v/>
      </c>
      <c r="L207" s="49">
        <f>IF($T207="","",INDEX(案件入力!$L$2:$L$301,$T207-1))</f>
        <v/>
      </c>
      <c r="M207" s="49">
        <f>IF($T207="","",INDEX(案件入力!$M$2:$M$301,$T207-1))</f>
        <v/>
      </c>
      <c r="N207" s="39">
        <f>IF($T207="","",INDEX(案件入力!$N$2:$N$301,$T207-1))</f>
        <v/>
      </c>
      <c r="O207" s="36">
        <f>IF($T207="","",INDEX(案件入力!$O$2:$O$301,$T207-1))</f>
        <v/>
      </c>
      <c r="P207" s="37">
        <f>IF($T207="","",INDEX(案件入力!$P$2:$P$301,$T207-1))</f>
        <v/>
      </c>
      <c r="Q207" s="35">
        <f>IF($T207="","",INDEX(案件入力!$Q$2:$Q$301,$T207-1))</f>
        <v/>
      </c>
      <c r="R207" s="35">
        <f>IF($T207="","",INDEX(案件入力!$R$2:$R$301,$T207-1))</f>
        <v/>
      </c>
      <c r="S207" s="35">
        <f>IF($T207="","",INDEX(案件入力!$S$2:$S$301,$T207-1))</f>
        <v/>
      </c>
      <c r="T207">
        <f t="array" ref="T207">IFERROR(SMALL(IF((案件入力!$A$2:$A$301&lt;&gt;"")*(案件入力!$R$2:$R$301&lt;&gt;"完了"),ROW(案件入力!$A$2:$A$301)),ROW()-1),"")</f>
        <v/>
      </c>
    </row>
    <row r="208">
      <c r="A208" s="35">
        <f>IF($T208="","",INDEX(案件入力!$A$2:$A$301,$T208-1))</f>
        <v/>
      </c>
      <c r="B208" s="36">
        <f>IF($T208="","",INDEX(案件入力!$B$2:$B$301,$T208-1))</f>
        <v/>
      </c>
      <c r="C208" s="35">
        <f>IF($T208="","",INDEX(案件入力!$C$2:$C$301,$T208-1))</f>
        <v/>
      </c>
      <c r="D208" s="37">
        <f>IF($T208="","",INDEX(案件入力!$D$2:$D$301,$T208-1))</f>
        <v/>
      </c>
      <c r="E208" s="35">
        <f>IF($T208="","",INDEX(案件入力!$E$2:$E$301,$T208-1))</f>
        <v/>
      </c>
      <c r="F208" s="35">
        <f>IF($T208="","",INDEX(案件入力!$F$2:$F$301,$T208-1))</f>
        <v/>
      </c>
      <c r="G208" s="35">
        <f>IF($T208="","",INDEX(案件入力!$G$2:$G$301,$T208-1))</f>
        <v/>
      </c>
      <c r="H208" s="49">
        <f>IF($T208="","",INDEX(案件入力!$H$2:$H$301,$T208-1))</f>
        <v/>
      </c>
      <c r="I208" s="49">
        <f>IF($T208="","",INDEX(案件入力!$I$2:$I$301,$T208-1))</f>
        <v/>
      </c>
      <c r="J208" s="39">
        <f>IF($T208="","",INDEX(案件入力!$J$2:$J$301,$T208-1))</f>
        <v/>
      </c>
      <c r="K208" s="36">
        <f>IF($T208="","",INDEX(案件入力!$K$2:$K$301,$T208-1))</f>
        <v/>
      </c>
      <c r="L208" s="49">
        <f>IF($T208="","",INDEX(案件入力!$L$2:$L$301,$T208-1))</f>
        <v/>
      </c>
      <c r="M208" s="49">
        <f>IF($T208="","",INDEX(案件入力!$M$2:$M$301,$T208-1))</f>
        <v/>
      </c>
      <c r="N208" s="39">
        <f>IF($T208="","",INDEX(案件入力!$N$2:$N$301,$T208-1))</f>
        <v/>
      </c>
      <c r="O208" s="36">
        <f>IF($T208="","",INDEX(案件入力!$O$2:$O$301,$T208-1))</f>
        <v/>
      </c>
      <c r="P208" s="37">
        <f>IF($T208="","",INDEX(案件入力!$P$2:$P$301,$T208-1))</f>
        <v/>
      </c>
      <c r="Q208" s="35">
        <f>IF($T208="","",INDEX(案件入力!$Q$2:$Q$301,$T208-1))</f>
        <v/>
      </c>
      <c r="R208" s="35">
        <f>IF($T208="","",INDEX(案件入力!$R$2:$R$301,$T208-1))</f>
        <v/>
      </c>
      <c r="S208" s="35">
        <f>IF($T208="","",INDEX(案件入力!$S$2:$S$301,$T208-1))</f>
        <v/>
      </c>
      <c r="T208">
        <f t="array" ref="T208">IFERROR(SMALL(IF((案件入力!$A$2:$A$301&lt;&gt;"")*(案件入力!$R$2:$R$301&lt;&gt;"完了"),ROW(案件入力!$A$2:$A$301)),ROW()-1),"")</f>
        <v/>
      </c>
    </row>
    <row r="209">
      <c r="A209" s="35">
        <f>IF($T209="","",INDEX(案件入力!$A$2:$A$301,$T209-1))</f>
        <v/>
      </c>
      <c r="B209" s="36">
        <f>IF($T209="","",INDEX(案件入力!$B$2:$B$301,$T209-1))</f>
        <v/>
      </c>
      <c r="C209" s="35">
        <f>IF($T209="","",INDEX(案件入力!$C$2:$C$301,$T209-1))</f>
        <v/>
      </c>
      <c r="D209" s="37">
        <f>IF($T209="","",INDEX(案件入力!$D$2:$D$301,$T209-1))</f>
        <v/>
      </c>
      <c r="E209" s="35">
        <f>IF($T209="","",INDEX(案件入力!$E$2:$E$301,$T209-1))</f>
        <v/>
      </c>
      <c r="F209" s="35">
        <f>IF($T209="","",INDEX(案件入力!$F$2:$F$301,$T209-1))</f>
        <v/>
      </c>
      <c r="G209" s="35">
        <f>IF($T209="","",INDEX(案件入力!$G$2:$G$301,$T209-1))</f>
        <v/>
      </c>
      <c r="H209" s="49">
        <f>IF($T209="","",INDEX(案件入力!$H$2:$H$301,$T209-1))</f>
        <v/>
      </c>
      <c r="I209" s="49">
        <f>IF($T209="","",INDEX(案件入力!$I$2:$I$301,$T209-1))</f>
        <v/>
      </c>
      <c r="J209" s="39">
        <f>IF($T209="","",INDEX(案件入力!$J$2:$J$301,$T209-1))</f>
        <v/>
      </c>
      <c r="K209" s="36">
        <f>IF($T209="","",INDEX(案件入力!$K$2:$K$301,$T209-1))</f>
        <v/>
      </c>
      <c r="L209" s="49">
        <f>IF($T209="","",INDEX(案件入力!$L$2:$L$301,$T209-1))</f>
        <v/>
      </c>
      <c r="M209" s="49">
        <f>IF($T209="","",INDEX(案件入力!$M$2:$M$301,$T209-1))</f>
        <v/>
      </c>
      <c r="N209" s="39">
        <f>IF($T209="","",INDEX(案件入力!$N$2:$N$301,$T209-1))</f>
        <v/>
      </c>
      <c r="O209" s="36">
        <f>IF($T209="","",INDEX(案件入力!$O$2:$O$301,$T209-1))</f>
        <v/>
      </c>
      <c r="P209" s="37">
        <f>IF($T209="","",INDEX(案件入力!$P$2:$P$301,$T209-1))</f>
        <v/>
      </c>
      <c r="Q209" s="35">
        <f>IF($T209="","",INDEX(案件入力!$Q$2:$Q$301,$T209-1))</f>
        <v/>
      </c>
      <c r="R209" s="35">
        <f>IF($T209="","",INDEX(案件入力!$R$2:$R$301,$T209-1))</f>
        <v/>
      </c>
      <c r="S209" s="35">
        <f>IF($T209="","",INDEX(案件入力!$S$2:$S$301,$T209-1))</f>
        <v/>
      </c>
      <c r="T209">
        <f t="array" ref="T209">IFERROR(SMALL(IF((案件入力!$A$2:$A$301&lt;&gt;"")*(案件入力!$R$2:$R$301&lt;&gt;"完了"),ROW(案件入力!$A$2:$A$301)),ROW()-1),"")</f>
        <v/>
      </c>
    </row>
    <row r="210">
      <c r="A210" s="35">
        <f>IF($T210="","",INDEX(案件入力!$A$2:$A$301,$T210-1))</f>
        <v/>
      </c>
      <c r="B210" s="36">
        <f>IF($T210="","",INDEX(案件入力!$B$2:$B$301,$T210-1))</f>
        <v/>
      </c>
      <c r="C210" s="35">
        <f>IF($T210="","",INDEX(案件入力!$C$2:$C$301,$T210-1))</f>
        <v/>
      </c>
      <c r="D210" s="37">
        <f>IF($T210="","",INDEX(案件入力!$D$2:$D$301,$T210-1))</f>
        <v/>
      </c>
      <c r="E210" s="35">
        <f>IF($T210="","",INDEX(案件入力!$E$2:$E$301,$T210-1))</f>
        <v/>
      </c>
      <c r="F210" s="35">
        <f>IF($T210="","",INDEX(案件入力!$F$2:$F$301,$T210-1))</f>
        <v/>
      </c>
      <c r="G210" s="35">
        <f>IF($T210="","",INDEX(案件入力!$G$2:$G$301,$T210-1))</f>
        <v/>
      </c>
      <c r="H210" s="49">
        <f>IF($T210="","",INDEX(案件入力!$H$2:$H$301,$T210-1))</f>
        <v/>
      </c>
      <c r="I210" s="49">
        <f>IF($T210="","",INDEX(案件入力!$I$2:$I$301,$T210-1))</f>
        <v/>
      </c>
      <c r="J210" s="39">
        <f>IF($T210="","",INDEX(案件入力!$J$2:$J$301,$T210-1))</f>
        <v/>
      </c>
      <c r="K210" s="36">
        <f>IF($T210="","",INDEX(案件入力!$K$2:$K$301,$T210-1))</f>
        <v/>
      </c>
      <c r="L210" s="49">
        <f>IF($T210="","",INDEX(案件入力!$L$2:$L$301,$T210-1))</f>
        <v/>
      </c>
      <c r="M210" s="49">
        <f>IF($T210="","",INDEX(案件入力!$M$2:$M$301,$T210-1))</f>
        <v/>
      </c>
      <c r="N210" s="39">
        <f>IF($T210="","",INDEX(案件入力!$N$2:$N$301,$T210-1))</f>
        <v/>
      </c>
      <c r="O210" s="36">
        <f>IF($T210="","",INDEX(案件入力!$O$2:$O$301,$T210-1))</f>
        <v/>
      </c>
      <c r="P210" s="37">
        <f>IF($T210="","",INDEX(案件入力!$P$2:$P$301,$T210-1))</f>
        <v/>
      </c>
      <c r="Q210" s="35">
        <f>IF($T210="","",INDEX(案件入力!$Q$2:$Q$301,$T210-1))</f>
        <v/>
      </c>
      <c r="R210" s="35">
        <f>IF($T210="","",INDEX(案件入力!$R$2:$R$301,$T210-1))</f>
        <v/>
      </c>
      <c r="S210" s="35">
        <f>IF($T210="","",INDEX(案件入力!$S$2:$S$301,$T210-1))</f>
        <v/>
      </c>
      <c r="T210">
        <f t="array" ref="T210">IFERROR(SMALL(IF((案件入力!$A$2:$A$301&lt;&gt;"")*(案件入力!$R$2:$R$301&lt;&gt;"完了"),ROW(案件入力!$A$2:$A$301)),ROW()-1),"")</f>
        <v/>
      </c>
    </row>
    <row r="211">
      <c r="A211" s="35">
        <f>IF($T211="","",INDEX(案件入力!$A$2:$A$301,$T211-1))</f>
        <v/>
      </c>
      <c r="B211" s="36">
        <f>IF($T211="","",INDEX(案件入力!$B$2:$B$301,$T211-1))</f>
        <v/>
      </c>
      <c r="C211" s="35">
        <f>IF($T211="","",INDEX(案件入力!$C$2:$C$301,$T211-1))</f>
        <v/>
      </c>
      <c r="D211" s="37">
        <f>IF($T211="","",INDEX(案件入力!$D$2:$D$301,$T211-1))</f>
        <v/>
      </c>
      <c r="E211" s="35">
        <f>IF($T211="","",INDEX(案件入力!$E$2:$E$301,$T211-1))</f>
        <v/>
      </c>
      <c r="F211" s="35">
        <f>IF($T211="","",INDEX(案件入力!$F$2:$F$301,$T211-1))</f>
        <v/>
      </c>
      <c r="G211" s="35">
        <f>IF($T211="","",INDEX(案件入力!$G$2:$G$301,$T211-1))</f>
        <v/>
      </c>
      <c r="H211" s="49">
        <f>IF($T211="","",INDEX(案件入力!$H$2:$H$301,$T211-1))</f>
        <v/>
      </c>
      <c r="I211" s="49">
        <f>IF($T211="","",INDEX(案件入力!$I$2:$I$301,$T211-1))</f>
        <v/>
      </c>
      <c r="J211" s="39">
        <f>IF($T211="","",INDEX(案件入力!$J$2:$J$301,$T211-1))</f>
        <v/>
      </c>
      <c r="K211" s="36">
        <f>IF($T211="","",INDEX(案件入力!$K$2:$K$301,$T211-1))</f>
        <v/>
      </c>
      <c r="L211" s="49">
        <f>IF($T211="","",INDEX(案件入力!$L$2:$L$301,$T211-1))</f>
        <v/>
      </c>
      <c r="M211" s="49">
        <f>IF($T211="","",INDEX(案件入力!$M$2:$M$301,$T211-1))</f>
        <v/>
      </c>
      <c r="N211" s="39">
        <f>IF($T211="","",INDEX(案件入力!$N$2:$N$301,$T211-1))</f>
        <v/>
      </c>
      <c r="O211" s="36">
        <f>IF($T211="","",INDEX(案件入力!$O$2:$O$301,$T211-1))</f>
        <v/>
      </c>
      <c r="P211" s="37">
        <f>IF($T211="","",INDEX(案件入力!$P$2:$P$301,$T211-1))</f>
        <v/>
      </c>
      <c r="Q211" s="35">
        <f>IF($T211="","",INDEX(案件入力!$Q$2:$Q$301,$T211-1))</f>
        <v/>
      </c>
      <c r="R211" s="35">
        <f>IF($T211="","",INDEX(案件入力!$R$2:$R$301,$T211-1))</f>
        <v/>
      </c>
      <c r="S211" s="35">
        <f>IF($T211="","",INDEX(案件入力!$S$2:$S$301,$T211-1))</f>
        <v/>
      </c>
      <c r="T211">
        <f t="array" ref="T211">IFERROR(SMALL(IF((案件入力!$A$2:$A$301&lt;&gt;"")*(案件入力!$R$2:$R$301&lt;&gt;"完了"),ROW(案件入力!$A$2:$A$301)),ROW()-1),"")</f>
        <v/>
      </c>
    </row>
    <row r="212">
      <c r="A212" s="35">
        <f>IF($T212="","",INDEX(案件入力!$A$2:$A$301,$T212-1))</f>
        <v/>
      </c>
      <c r="B212" s="36">
        <f>IF($T212="","",INDEX(案件入力!$B$2:$B$301,$T212-1))</f>
        <v/>
      </c>
      <c r="C212" s="35">
        <f>IF($T212="","",INDEX(案件入力!$C$2:$C$301,$T212-1))</f>
        <v/>
      </c>
      <c r="D212" s="37">
        <f>IF($T212="","",INDEX(案件入力!$D$2:$D$301,$T212-1))</f>
        <v/>
      </c>
      <c r="E212" s="35">
        <f>IF($T212="","",INDEX(案件入力!$E$2:$E$301,$T212-1))</f>
        <v/>
      </c>
      <c r="F212" s="35">
        <f>IF($T212="","",INDEX(案件入力!$F$2:$F$301,$T212-1))</f>
        <v/>
      </c>
      <c r="G212" s="35">
        <f>IF($T212="","",INDEX(案件入力!$G$2:$G$301,$T212-1))</f>
        <v/>
      </c>
      <c r="H212" s="49">
        <f>IF($T212="","",INDEX(案件入力!$H$2:$H$301,$T212-1))</f>
        <v/>
      </c>
      <c r="I212" s="49">
        <f>IF($T212="","",INDEX(案件入力!$I$2:$I$301,$T212-1))</f>
        <v/>
      </c>
      <c r="J212" s="39">
        <f>IF($T212="","",INDEX(案件入力!$J$2:$J$301,$T212-1))</f>
        <v/>
      </c>
      <c r="K212" s="36">
        <f>IF($T212="","",INDEX(案件入力!$K$2:$K$301,$T212-1))</f>
        <v/>
      </c>
      <c r="L212" s="49">
        <f>IF($T212="","",INDEX(案件入力!$L$2:$L$301,$T212-1))</f>
        <v/>
      </c>
      <c r="M212" s="49">
        <f>IF($T212="","",INDEX(案件入力!$M$2:$M$301,$T212-1))</f>
        <v/>
      </c>
      <c r="N212" s="39">
        <f>IF($T212="","",INDEX(案件入力!$N$2:$N$301,$T212-1))</f>
        <v/>
      </c>
      <c r="O212" s="36">
        <f>IF($T212="","",INDEX(案件入力!$O$2:$O$301,$T212-1))</f>
        <v/>
      </c>
      <c r="P212" s="37">
        <f>IF($T212="","",INDEX(案件入力!$P$2:$P$301,$T212-1))</f>
        <v/>
      </c>
      <c r="Q212" s="35">
        <f>IF($T212="","",INDEX(案件入力!$Q$2:$Q$301,$T212-1))</f>
        <v/>
      </c>
      <c r="R212" s="35">
        <f>IF($T212="","",INDEX(案件入力!$R$2:$R$301,$T212-1))</f>
        <v/>
      </c>
      <c r="S212" s="35">
        <f>IF($T212="","",INDEX(案件入力!$S$2:$S$301,$T212-1))</f>
        <v/>
      </c>
      <c r="T212">
        <f t="array" ref="T212">IFERROR(SMALL(IF((案件入力!$A$2:$A$301&lt;&gt;"")*(案件入力!$R$2:$R$301&lt;&gt;"完了"),ROW(案件入力!$A$2:$A$301)),ROW()-1),"")</f>
        <v/>
      </c>
    </row>
    <row r="213">
      <c r="A213" s="35">
        <f>IF($T213="","",INDEX(案件入力!$A$2:$A$301,$T213-1))</f>
        <v/>
      </c>
      <c r="B213" s="36">
        <f>IF($T213="","",INDEX(案件入力!$B$2:$B$301,$T213-1))</f>
        <v/>
      </c>
      <c r="C213" s="35">
        <f>IF($T213="","",INDEX(案件入力!$C$2:$C$301,$T213-1))</f>
        <v/>
      </c>
      <c r="D213" s="37">
        <f>IF($T213="","",INDEX(案件入力!$D$2:$D$301,$T213-1))</f>
        <v/>
      </c>
      <c r="E213" s="35">
        <f>IF($T213="","",INDEX(案件入力!$E$2:$E$301,$T213-1))</f>
        <v/>
      </c>
      <c r="F213" s="35">
        <f>IF($T213="","",INDEX(案件入力!$F$2:$F$301,$T213-1))</f>
        <v/>
      </c>
      <c r="G213" s="35">
        <f>IF($T213="","",INDEX(案件入力!$G$2:$G$301,$T213-1))</f>
        <v/>
      </c>
      <c r="H213" s="49">
        <f>IF($T213="","",INDEX(案件入力!$H$2:$H$301,$T213-1))</f>
        <v/>
      </c>
      <c r="I213" s="49">
        <f>IF($T213="","",INDEX(案件入力!$I$2:$I$301,$T213-1))</f>
        <v/>
      </c>
      <c r="J213" s="39">
        <f>IF($T213="","",INDEX(案件入力!$J$2:$J$301,$T213-1))</f>
        <v/>
      </c>
      <c r="K213" s="36">
        <f>IF($T213="","",INDEX(案件入力!$K$2:$K$301,$T213-1))</f>
        <v/>
      </c>
      <c r="L213" s="49">
        <f>IF($T213="","",INDEX(案件入力!$L$2:$L$301,$T213-1))</f>
        <v/>
      </c>
      <c r="M213" s="49">
        <f>IF($T213="","",INDEX(案件入力!$M$2:$M$301,$T213-1))</f>
        <v/>
      </c>
      <c r="N213" s="39">
        <f>IF($T213="","",INDEX(案件入力!$N$2:$N$301,$T213-1))</f>
        <v/>
      </c>
      <c r="O213" s="36">
        <f>IF($T213="","",INDEX(案件入力!$O$2:$O$301,$T213-1))</f>
        <v/>
      </c>
      <c r="P213" s="37">
        <f>IF($T213="","",INDEX(案件入力!$P$2:$P$301,$T213-1))</f>
        <v/>
      </c>
      <c r="Q213" s="35">
        <f>IF($T213="","",INDEX(案件入力!$Q$2:$Q$301,$T213-1))</f>
        <v/>
      </c>
      <c r="R213" s="35">
        <f>IF($T213="","",INDEX(案件入力!$R$2:$R$301,$T213-1))</f>
        <v/>
      </c>
      <c r="S213" s="35">
        <f>IF($T213="","",INDEX(案件入力!$S$2:$S$301,$T213-1))</f>
        <v/>
      </c>
      <c r="T213">
        <f t="array" ref="T213">IFERROR(SMALL(IF((案件入力!$A$2:$A$301&lt;&gt;"")*(案件入力!$R$2:$R$301&lt;&gt;"完了"),ROW(案件入力!$A$2:$A$301)),ROW()-1),"")</f>
        <v/>
      </c>
    </row>
    <row r="214">
      <c r="A214" s="35">
        <f>IF($T214="","",INDEX(案件入力!$A$2:$A$301,$T214-1))</f>
        <v/>
      </c>
      <c r="B214" s="36">
        <f>IF($T214="","",INDEX(案件入力!$B$2:$B$301,$T214-1))</f>
        <v/>
      </c>
      <c r="C214" s="35">
        <f>IF($T214="","",INDEX(案件入力!$C$2:$C$301,$T214-1))</f>
        <v/>
      </c>
      <c r="D214" s="37">
        <f>IF($T214="","",INDEX(案件入力!$D$2:$D$301,$T214-1))</f>
        <v/>
      </c>
      <c r="E214" s="35">
        <f>IF($T214="","",INDEX(案件入力!$E$2:$E$301,$T214-1))</f>
        <v/>
      </c>
      <c r="F214" s="35">
        <f>IF($T214="","",INDEX(案件入力!$F$2:$F$301,$T214-1))</f>
        <v/>
      </c>
      <c r="G214" s="35">
        <f>IF($T214="","",INDEX(案件入力!$G$2:$G$301,$T214-1))</f>
        <v/>
      </c>
      <c r="H214" s="49">
        <f>IF($T214="","",INDEX(案件入力!$H$2:$H$301,$T214-1))</f>
        <v/>
      </c>
      <c r="I214" s="49">
        <f>IF($T214="","",INDEX(案件入力!$I$2:$I$301,$T214-1))</f>
        <v/>
      </c>
      <c r="J214" s="39">
        <f>IF($T214="","",INDEX(案件入力!$J$2:$J$301,$T214-1))</f>
        <v/>
      </c>
      <c r="K214" s="36">
        <f>IF($T214="","",INDEX(案件入力!$K$2:$K$301,$T214-1))</f>
        <v/>
      </c>
      <c r="L214" s="49">
        <f>IF($T214="","",INDEX(案件入力!$L$2:$L$301,$T214-1))</f>
        <v/>
      </c>
      <c r="M214" s="49">
        <f>IF($T214="","",INDEX(案件入力!$M$2:$M$301,$T214-1))</f>
        <v/>
      </c>
      <c r="N214" s="39">
        <f>IF($T214="","",INDEX(案件入力!$N$2:$N$301,$T214-1))</f>
        <v/>
      </c>
      <c r="O214" s="36">
        <f>IF($T214="","",INDEX(案件入力!$O$2:$O$301,$T214-1))</f>
        <v/>
      </c>
      <c r="P214" s="37">
        <f>IF($T214="","",INDEX(案件入力!$P$2:$P$301,$T214-1))</f>
        <v/>
      </c>
      <c r="Q214" s="35">
        <f>IF($T214="","",INDEX(案件入力!$Q$2:$Q$301,$T214-1))</f>
        <v/>
      </c>
      <c r="R214" s="35">
        <f>IF($T214="","",INDEX(案件入力!$R$2:$R$301,$T214-1))</f>
        <v/>
      </c>
      <c r="S214" s="35">
        <f>IF($T214="","",INDEX(案件入力!$S$2:$S$301,$T214-1))</f>
        <v/>
      </c>
      <c r="T214">
        <f t="array" ref="T214">IFERROR(SMALL(IF((案件入力!$A$2:$A$301&lt;&gt;"")*(案件入力!$R$2:$R$301&lt;&gt;"完了"),ROW(案件入力!$A$2:$A$301)),ROW()-1),"")</f>
        <v/>
      </c>
    </row>
    <row r="215">
      <c r="A215" s="35">
        <f>IF($T215="","",INDEX(案件入力!$A$2:$A$301,$T215-1))</f>
        <v/>
      </c>
      <c r="B215" s="36">
        <f>IF($T215="","",INDEX(案件入力!$B$2:$B$301,$T215-1))</f>
        <v/>
      </c>
      <c r="C215" s="35">
        <f>IF($T215="","",INDEX(案件入力!$C$2:$C$301,$T215-1))</f>
        <v/>
      </c>
      <c r="D215" s="37">
        <f>IF($T215="","",INDEX(案件入力!$D$2:$D$301,$T215-1))</f>
        <v/>
      </c>
      <c r="E215" s="35">
        <f>IF($T215="","",INDEX(案件入力!$E$2:$E$301,$T215-1))</f>
        <v/>
      </c>
      <c r="F215" s="35">
        <f>IF($T215="","",INDEX(案件入力!$F$2:$F$301,$T215-1))</f>
        <v/>
      </c>
      <c r="G215" s="35">
        <f>IF($T215="","",INDEX(案件入力!$G$2:$G$301,$T215-1))</f>
        <v/>
      </c>
      <c r="H215" s="49">
        <f>IF($T215="","",INDEX(案件入力!$H$2:$H$301,$T215-1))</f>
        <v/>
      </c>
      <c r="I215" s="49">
        <f>IF($T215="","",INDEX(案件入力!$I$2:$I$301,$T215-1))</f>
        <v/>
      </c>
      <c r="J215" s="39">
        <f>IF($T215="","",INDEX(案件入力!$J$2:$J$301,$T215-1))</f>
        <v/>
      </c>
      <c r="K215" s="36">
        <f>IF($T215="","",INDEX(案件入力!$K$2:$K$301,$T215-1))</f>
        <v/>
      </c>
      <c r="L215" s="49">
        <f>IF($T215="","",INDEX(案件入力!$L$2:$L$301,$T215-1))</f>
        <v/>
      </c>
      <c r="M215" s="49">
        <f>IF($T215="","",INDEX(案件入力!$M$2:$M$301,$T215-1))</f>
        <v/>
      </c>
      <c r="N215" s="39">
        <f>IF($T215="","",INDEX(案件入力!$N$2:$N$301,$T215-1))</f>
        <v/>
      </c>
      <c r="O215" s="36">
        <f>IF($T215="","",INDEX(案件入力!$O$2:$O$301,$T215-1))</f>
        <v/>
      </c>
      <c r="P215" s="37">
        <f>IF($T215="","",INDEX(案件入力!$P$2:$P$301,$T215-1))</f>
        <v/>
      </c>
      <c r="Q215" s="35">
        <f>IF($T215="","",INDEX(案件入力!$Q$2:$Q$301,$T215-1))</f>
        <v/>
      </c>
      <c r="R215" s="35">
        <f>IF($T215="","",INDEX(案件入力!$R$2:$R$301,$T215-1))</f>
        <v/>
      </c>
      <c r="S215" s="35">
        <f>IF($T215="","",INDEX(案件入力!$S$2:$S$301,$T215-1))</f>
        <v/>
      </c>
      <c r="T215">
        <f t="array" ref="T215">IFERROR(SMALL(IF((案件入力!$A$2:$A$301&lt;&gt;"")*(案件入力!$R$2:$R$301&lt;&gt;"完了"),ROW(案件入力!$A$2:$A$301)),ROW()-1),"")</f>
        <v/>
      </c>
    </row>
    <row r="216">
      <c r="A216" s="35">
        <f>IF($T216="","",INDEX(案件入力!$A$2:$A$301,$T216-1))</f>
        <v/>
      </c>
      <c r="B216" s="36">
        <f>IF($T216="","",INDEX(案件入力!$B$2:$B$301,$T216-1))</f>
        <v/>
      </c>
      <c r="C216" s="35">
        <f>IF($T216="","",INDEX(案件入力!$C$2:$C$301,$T216-1))</f>
        <v/>
      </c>
      <c r="D216" s="37">
        <f>IF($T216="","",INDEX(案件入力!$D$2:$D$301,$T216-1))</f>
        <v/>
      </c>
      <c r="E216" s="35">
        <f>IF($T216="","",INDEX(案件入力!$E$2:$E$301,$T216-1))</f>
        <v/>
      </c>
      <c r="F216" s="35">
        <f>IF($T216="","",INDEX(案件入力!$F$2:$F$301,$T216-1))</f>
        <v/>
      </c>
      <c r="G216" s="35">
        <f>IF($T216="","",INDEX(案件入力!$G$2:$G$301,$T216-1))</f>
        <v/>
      </c>
      <c r="H216" s="49">
        <f>IF($T216="","",INDEX(案件入力!$H$2:$H$301,$T216-1))</f>
        <v/>
      </c>
      <c r="I216" s="49">
        <f>IF($T216="","",INDEX(案件入力!$I$2:$I$301,$T216-1))</f>
        <v/>
      </c>
      <c r="J216" s="39">
        <f>IF($T216="","",INDEX(案件入力!$J$2:$J$301,$T216-1))</f>
        <v/>
      </c>
      <c r="K216" s="36">
        <f>IF($T216="","",INDEX(案件入力!$K$2:$K$301,$T216-1))</f>
        <v/>
      </c>
      <c r="L216" s="49">
        <f>IF($T216="","",INDEX(案件入力!$L$2:$L$301,$T216-1))</f>
        <v/>
      </c>
      <c r="M216" s="49">
        <f>IF($T216="","",INDEX(案件入力!$M$2:$M$301,$T216-1))</f>
        <v/>
      </c>
      <c r="N216" s="39">
        <f>IF($T216="","",INDEX(案件入力!$N$2:$N$301,$T216-1))</f>
        <v/>
      </c>
      <c r="O216" s="36">
        <f>IF($T216="","",INDEX(案件入力!$O$2:$O$301,$T216-1))</f>
        <v/>
      </c>
      <c r="P216" s="37">
        <f>IF($T216="","",INDEX(案件入力!$P$2:$P$301,$T216-1))</f>
        <v/>
      </c>
      <c r="Q216" s="35">
        <f>IF($T216="","",INDEX(案件入力!$Q$2:$Q$301,$T216-1))</f>
        <v/>
      </c>
      <c r="R216" s="35">
        <f>IF($T216="","",INDEX(案件入力!$R$2:$R$301,$T216-1))</f>
        <v/>
      </c>
      <c r="S216" s="35">
        <f>IF($T216="","",INDEX(案件入力!$S$2:$S$301,$T216-1))</f>
        <v/>
      </c>
      <c r="T216">
        <f t="array" ref="T216">IFERROR(SMALL(IF((案件入力!$A$2:$A$301&lt;&gt;"")*(案件入力!$R$2:$R$301&lt;&gt;"完了"),ROW(案件入力!$A$2:$A$301)),ROW()-1),"")</f>
        <v/>
      </c>
    </row>
    <row r="217">
      <c r="A217" s="35">
        <f>IF($T217="","",INDEX(案件入力!$A$2:$A$301,$T217-1))</f>
        <v/>
      </c>
      <c r="B217" s="36">
        <f>IF($T217="","",INDEX(案件入力!$B$2:$B$301,$T217-1))</f>
        <v/>
      </c>
      <c r="C217" s="35">
        <f>IF($T217="","",INDEX(案件入力!$C$2:$C$301,$T217-1))</f>
        <v/>
      </c>
      <c r="D217" s="37">
        <f>IF($T217="","",INDEX(案件入力!$D$2:$D$301,$T217-1))</f>
        <v/>
      </c>
      <c r="E217" s="35">
        <f>IF($T217="","",INDEX(案件入力!$E$2:$E$301,$T217-1))</f>
        <v/>
      </c>
      <c r="F217" s="35">
        <f>IF($T217="","",INDEX(案件入力!$F$2:$F$301,$T217-1))</f>
        <v/>
      </c>
      <c r="G217" s="35">
        <f>IF($T217="","",INDEX(案件入力!$G$2:$G$301,$T217-1))</f>
        <v/>
      </c>
      <c r="H217" s="49">
        <f>IF($T217="","",INDEX(案件入力!$H$2:$H$301,$T217-1))</f>
        <v/>
      </c>
      <c r="I217" s="49">
        <f>IF($T217="","",INDEX(案件入力!$I$2:$I$301,$T217-1))</f>
        <v/>
      </c>
      <c r="J217" s="39">
        <f>IF($T217="","",INDEX(案件入力!$J$2:$J$301,$T217-1))</f>
        <v/>
      </c>
      <c r="K217" s="36">
        <f>IF($T217="","",INDEX(案件入力!$K$2:$K$301,$T217-1))</f>
        <v/>
      </c>
      <c r="L217" s="49">
        <f>IF($T217="","",INDEX(案件入力!$L$2:$L$301,$T217-1))</f>
        <v/>
      </c>
      <c r="M217" s="49">
        <f>IF($T217="","",INDEX(案件入力!$M$2:$M$301,$T217-1))</f>
        <v/>
      </c>
      <c r="N217" s="39">
        <f>IF($T217="","",INDEX(案件入力!$N$2:$N$301,$T217-1))</f>
        <v/>
      </c>
      <c r="O217" s="36">
        <f>IF($T217="","",INDEX(案件入力!$O$2:$O$301,$T217-1))</f>
        <v/>
      </c>
      <c r="P217" s="37">
        <f>IF($T217="","",INDEX(案件入力!$P$2:$P$301,$T217-1))</f>
        <v/>
      </c>
      <c r="Q217" s="35">
        <f>IF($T217="","",INDEX(案件入力!$Q$2:$Q$301,$T217-1))</f>
        <v/>
      </c>
      <c r="R217" s="35">
        <f>IF($T217="","",INDEX(案件入力!$R$2:$R$301,$T217-1))</f>
        <v/>
      </c>
      <c r="S217" s="35">
        <f>IF($T217="","",INDEX(案件入力!$S$2:$S$301,$T217-1))</f>
        <v/>
      </c>
      <c r="T217">
        <f t="array" ref="T217">IFERROR(SMALL(IF((案件入力!$A$2:$A$301&lt;&gt;"")*(案件入力!$R$2:$R$301&lt;&gt;"完了"),ROW(案件入力!$A$2:$A$301)),ROW()-1),"")</f>
        <v/>
      </c>
    </row>
    <row r="218">
      <c r="A218" s="35">
        <f>IF($T218="","",INDEX(案件入力!$A$2:$A$301,$T218-1))</f>
        <v/>
      </c>
      <c r="B218" s="36">
        <f>IF($T218="","",INDEX(案件入力!$B$2:$B$301,$T218-1))</f>
        <v/>
      </c>
      <c r="C218" s="35">
        <f>IF($T218="","",INDEX(案件入力!$C$2:$C$301,$T218-1))</f>
        <v/>
      </c>
      <c r="D218" s="37">
        <f>IF($T218="","",INDEX(案件入力!$D$2:$D$301,$T218-1))</f>
        <v/>
      </c>
      <c r="E218" s="35">
        <f>IF($T218="","",INDEX(案件入力!$E$2:$E$301,$T218-1))</f>
        <v/>
      </c>
      <c r="F218" s="35">
        <f>IF($T218="","",INDEX(案件入力!$F$2:$F$301,$T218-1))</f>
        <v/>
      </c>
      <c r="G218" s="35">
        <f>IF($T218="","",INDEX(案件入力!$G$2:$G$301,$T218-1))</f>
        <v/>
      </c>
      <c r="H218" s="49">
        <f>IF($T218="","",INDEX(案件入力!$H$2:$H$301,$T218-1))</f>
        <v/>
      </c>
      <c r="I218" s="49">
        <f>IF($T218="","",INDEX(案件入力!$I$2:$I$301,$T218-1))</f>
        <v/>
      </c>
      <c r="J218" s="39">
        <f>IF($T218="","",INDEX(案件入力!$J$2:$J$301,$T218-1))</f>
        <v/>
      </c>
      <c r="K218" s="36">
        <f>IF($T218="","",INDEX(案件入力!$K$2:$K$301,$T218-1))</f>
        <v/>
      </c>
      <c r="L218" s="49">
        <f>IF($T218="","",INDEX(案件入力!$L$2:$L$301,$T218-1))</f>
        <v/>
      </c>
      <c r="M218" s="49">
        <f>IF($T218="","",INDEX(案件入力!$M$2:$M$301,$T218-1))</f>
        <v/>
      </c>
      <c r="N218" s="39">
        <f>IF($T218="","",INDEX(案件入力!$N$2:$N$301,$T218-1))</f>
        <v/>
      </c>
      <c r="O218" s="36">
        <f>IF($T218="","",INDEX(案件入力!$O$2:$O$301,$T218-1))</f>
        <v/>
      </c>
      <c r="P218" s="37">
        <f>IF($T218="","",INDEX(案件入力!$P$2:$P$301,$T218-1))</f>
        <v/>
      </c>
      <c r="Q218" s="35">
        <f>IF($T218="","",INDEX(案件入力!$Q$2:$Q$301,$T218-1))</f>
        <v/>
      </c>
      <c r="R218" s="35">
        <f>IF($T218="","",INDEX(案件入力!$R$2:$R$301,$T218-1))</f>
        <v/>
      </c>
      <c r="S218" s="35">
        <f>IF($T218="","",INDEX(案件入力!$S$2:$S$301,$T218-1))</f>
        <v/>
      </c>
      <c r="T218">
        <f t="array" ref="T218">IFERROR(SMALL(IF((案件入力!$A$2:$A$301&lt;&gt;"")*(案件入力!$R$2:$R$301&lt;&gt;"完了"),ROW(案件入力!$A$2:$A$301)),ROW()-1),"")</f>
        <v/>
      </c>
    </row>
    <row r="219">
      <c r="A219" s="35">
        <f>IF($T219="","",INDEX(案件入力!$A$2:$A$301,$T219-1))</f>
        <v/>
      </c>
      <c r="B219" s="36">
        <f>IF($T219="","",INDEX(案件入力!$B$2:$B$301,$T219-1))</f>
        <v/>
      </c>
      <c r="C219" s="35">
        <f>IF($T219="","",INDEX(案件入力!$C$2:$C$301,$T219-1))</f>
        <v/>
      </c>
      <c r="D219" s="37">
        <f>IF($T219="","",INDEX(案件入力!$D$2:$D$301,$T219-1))</f>
        <v/>
      </c>
      <c r="E219" s="35">
        <f>IF($T219="","",INDEX(案件入力!$E$2:$E$301,$T219-1))</f>
        <v/>
      </c>
      <c r="F219" s="35">
        <f>IF($T219="","",INDEX(案件入力!$F$2:$F$301,$T219-1))</f>
        <v/>
      </c>
      <c r="G219" s="35">
        <f>IF($T219="","",INDEX(案件入力!$G$2:$G$301,$T219-1))</f>
        <v/>
      </c>
      <c r="H219" s="49">
        <f>IF($T219="","",INDEX(案件入力!$H$2:$H$301,$T219-1))</f>
        <v/>
      </c>
      <c r="I219" s="49">
        <f>IF($T219="","",INDEX(案件入力!$I$2:$I$301,$T219-1))</f>
        <v/>
      </c>
      <c r="J219" s="39">
        <f>IF($T219="","",INDEX(案件入力!$J$2:$J$301,$T219-1))</f>
        <v/>
      </c>
      <c r="K219" s="36">
        <f>IF($T219="","",INDEX(案件入力!$K$2:$K$301,$T219-1))</f>
        <v/>
      </c>
      <c r="L219" s="49">
        <f>IF($T219="","",INDEX(案件入力!$L$2:$L$301,$T219-1))</f>
        <v/>
      </c>
      <c r="M219" s="49">
        <f>IF($T219="","",INDEX(案件入力!$M$2:$M$301,$T219-1))</f>
        <v/>
      </c>
      <c r="N219" s="39">
        <f>IF($T219="","",INDEX(案件入力!$N$2:$N$301,$T219-1))</f>
        <v/>
      </c>
      <c r="O219" s="36">
        <f>IF($T219="","",INDEX(案件入力!$O$2:$O$301,$T219-1))</f>
        <v/>
      </c>
      <c r="P219" s="37">
        <f>IF($T219="","",INDEX(案件入力!$P$2:$P$301,$T219-1))</f>
        <v/>
      </c>
      <c r="Q219" s="35">
        <f>IF($T219="","",INDEX(案件入力!$Q$2:$Q$301,$T219-1))</f>
        <v/>
      </c>
      <c r="R219" s="35">
        <f>IF($T219="","",INDEX(案件入力!$R$2:$R$301,$T219-1))</f>
        <v/>
      </c>
      <c r="S219" s="35">
        <f>IF($T219="","",INDEX(案件入力!$S$2:$S$301,$T219-1))</f>
        <v/>
      </c>
      <c r="T219">
        <f t="array" ref="T219">IFERROR(SMALL(IF((案件入力!$A$2:$A$301&lt;&gt;"")*(案件入力!$R$2:$R$301&lt;&gt;"完了"),ROW(案件入力!$A$2:$A$301)),ROW()-1),"")</f>
        <v/>
      </c>
    </row>
    <row r="220">
      <c r="A220" s="35">
        <f>IF($T220="","",INDEX(案件入力!$A$2:$A$301,$T220-1))</f>
        <v/>
      </c>
      <c r="B220" s="36">
        <f>IF($T220="","",INDEX(案件入力!$B$2:$B$301,$T220-1))</f>
        <v/>
      </c>
      <c r="C220" s="35">
        <f>IF($T220="","",INDEX(案件入力!$C$2:$C$301,$T220-1))</f>
        <v/>
      </c>
      <c r="D220" s="37">
        <f>IF($T220="","",INDEX(案件入力!$D$2:$D$301,$T220-1))</f>
        <v/>
      </c>
      <c r="E220" s="35">
        <f>IF($T220="","",INDEX(案件入力!$E$2:$E$301,$T220-1))</f>
        <v/>
      </c>
      <c r="F220" s="35">
        <f>IF($T220="","",INDEX(案件入力!$F$2:$F$301,$T220-1))</f>
        <v/>
      </c>
      <c r="G220" s="35">
        <f>IF($T220="","",INDEX(案件入力!$G$2:$G$301,$T220-1))</f>
        <v/>
      </c>
      <c r="H220" s="49">
        <f>IF($T220="","",INDEX(案件入力!$H$2:$H$301,$T220-1))</f>
        <v/>
      </c>
      <c r="I220" s="49">
        <f>IF($T220="","",INDEX(案件入力!$I$2:$I$301,$T220-1))</f>
        <v/>
      </c>
      <c r="J220" s="39">
        <f>IF($T220="","",INDEX(案件入力!$J$2:$J$301,$T220-1))</f>
        <v/>
      </c>
      <c r="K220" s="36">
        <f>IF($T220="","",INDEX(案件入力!$K$2:$K$301,$T220-1))</f>
        <v/>
      </c>
      <c r="L220" s="49">
        <f>IF($T220="","",INDEX(案件入力!$L$2:$L$301,$T220-1))</f>
        <v/>
      </c>
      <c r="M220" s="49">
        <f>IF($T220="","",INDEX(案件入力!$M$2:$M$301,$T220-1))</f>
        <v/>
      </c>
      <c r="N220" s="39">
        <f>IF($T220="","",INDEX(案件入力!$N$2:$N$301,$T220-1))</f>
        <v/>
      </c>
      <c r="O220" s="36">
        <f>IF($T220="","",INDEX(案件入力!$O$2:$O$301,$T220-1))</f>
        <v/>
      </c>
      <c r="P220" s="37">
        <f>IF($T220="","",INDEX(案件入力!$P$2:$P$301,$T220-1))</f>
        <v/>
      </c>
      <c r="Q220" s="35">
        <f>IF($T220="","",INDEX(案件入力!$Q$2:$Q$301,$T220-1))</f>
        <v/>
      </c>
      <c r="R220" s="35">
        <f>IF($T220="","",INDEX(案件入力!$R$2:$R$301,$T220-1))</f>
        <v/>
      </c>
      <c r="S220" s="35">
        <f>IF($T220="","",INDEX(案件入力!$S$2:$S$301,$T220-1))</f>
        <v/>
      </c>
      <c r="T220">
        <f t="array" ref="T220">IFERROR(SMALL(IF((案件入力!$A$2:$A$301&lt;&gt;"")*(案件入力!$R$2:$R$301&lt;&gt;"完了"),ROW(案件入力!$A$2:$A$301)),ROW()-1),"")</f>
        <v/>
      </c>
    </row>
    <row r="221">
      <c r="A221" s="35">
        <f>IF($T221="","",INDEX(案件入力!$A$2:$A$301,$T221-1))</f>
        <v/>
      </c>
      <c r="B221" s="36">
        <f>IF($T221="","",INDEX(案件入力!$B$2:$B$301,$T221-1))</f>
        <v/>
      </c>
      <c r="C221" s="35">
        <f>IF($T221="","",INDEX(案件入力!$C$2:$C$301,$T221-1))</f>
        <v/>
      </c>
      <c r="D221" s="37">
        <f>IF($T221="","",INDEX(案件入力!$D$2:$D$301,$T221-1))</f>
        <v/>
      </c>
      <c r="E221" s="35">
        <f>IF($T221="","",INDEX(案件入力!$E$2:$E$301,$T221-1))</f>
        <v/>
      </c>
      <c r="F221" s="35">
        <f>IF($T221="","",INDEX(案件入力!$F$2:$F$301,$T221-1))</f>
        <v/>
      </c>
      <c r="G221" s="35">
        <f>IF($T221="","",INDEX(案件入力!$G$2:$G$301,$T221-1))</f>
        <v/>
      </c>
      <c r="H221" s="49">
        <f>IF($T221="","",INDEX(案件入力!$H$2:$H$301,$T221-1))</f>
        <v/>
      </c>
      <c r="I221" s="49">
        <f>IF($T221="","",INDEX(案件入力!$I$2:$I$301,$T221-1))</f>
        <v/>
      </c>
      <c r="J221" s="39">
        <f>IF($T221="","",INDEX(案件入力!$J$2:$J$301,$T221-1))</f>
        <v/>
      </c>
      <c r="K221" s="36">
        <f>IF($T221="","",INDEX(案件入力!$K$2:$K$301,$T221-1))</f>
        <v/>
      </c>
      <c r="L221" s="49">
        <f>IF($T221="","",INDEX(案件入力!$L$2:$L$301,$T221-1))</f>
        <v/>
      </c>
      <c r="M221" s="49">
        <f>IF($T221="","",INDEX(案件入力!$M$2:$M$301,$T221-1))</f>
        <v/>
      </c>
      <c r="N221" s="39">
        <f>IF($T221="","",INDEX(案件入力!$N$2:$N$301,$T221-1))</f>
        <v/>
      </c>
      <c r="O221" s="36">
        <f>IF($T221="","",INDEX(案件入力!$O$2:$O$301,$T221-1))</f>
        <v/>
      </c>
      <c r="P221" s="37">
        <f>IF($T221="","",INDEX(案件入力!$P$2:$P$301,$T221-1))</f>
        <v/>
      </c>
      <c r="Q221" s="35">
        <f>IF($T221="","",INDEX(案件入力!$Q$2:$Q$301,$T221-1))</f>
        <v/>
      </c>
      <c r="R221" s="35">
        <f>IF($T221="","",INDEX(案件入力!$R$2:$R$301,$T221-1))</f>
        <v/>
      </c>
      <c r="S221" s="35">
        <f>IF($T221="","",INDEX(案件入力!$S$2:$S$301,$T221-1))</f>
        <v/>
      </c>
      <c r="T221">
        <f t="array" ref="T221">IFERROR(SMALL(IF((案件入力!$A$2:$A$301&lt;&gt;"")*(案件入力!$R$2:$R$301&lt;&gt;"完了"),ROW(案件入力!$A$2:$A$301)),ROW()-1),"")</f>
        <v/>
      </c>
    </row>
    <row r="222">
      <c r="A222" s="35">
        <f>IF($T222="","",INDEX(案件入力!$A$2:$A$301,$T222-1))</f>
        <v/>
      </c>
      <c r="B222" s="36">
        <f>IF($T222="","",INDEX(案件入力!$B$2:$B$301,$T222-1))</f>
        <v/>
      </c>
      <c r="C222" s="35">
        <f>IF($T222="","",INDEX(案件入力!$C$2:$C$301,$T222-1))</f>
        <v/>
      </c>
      <c r="D222" s="37">
        <f>IF($T222="","",INDEX(案件入力!$D$2:$D$301,$T222-1))</f>
        <v/>
      </c>
      <c r="E222" s="35">
        <f>IF($T222="","",INDEX(案件入力!$E$2:$E$301,$T222-1))</f>
        <v/>
      </c>
      <c r="F222" s="35">
        <f>IF($T222="","",INDEX(案件入力!$F$2:$F$301,$T222-1))</f>
        <v/>
      </c>
      <c r="G222" s="35">
        <f>IF($T222="","",INDEX(案件入力!$G$2:$G$301,$T222-1))</f>
        <v/>
      </c>
      <c r="H222" s="49">
        <f>IF($T222="","",INDEX(案件入力!$H$2:$H$301,$T222-1))</f>
        <v/>
      </c>
      <c r="I222" s="49">
        <f>IF($T222="","",INDEX(案件入力!$I$2:$I$301,$T222-1))</f>
        <v/>
      </c>
      <c r="J222" s="39">
        <f>IF($T222="","",INDEX(案件入力!$J$2:$J$301,$T222-1))</f>
        <v/>
      </c>
      <c r="K222" s="36">
        <f>IF($T222="","",INDEX(案件入力!$K$2:$K$301,$T222-1))</f>
        <v/>
      </c>
      <c r="L222" s="49">
        <f>IF($T222="","",INDEX(案件入力!$L$2:$L$301,$T222-1))</f>
        <v/>
      </c>
      <c r="M222" s="49">
        <f>IF($T222="","",INDEX(案件入力!$M$2:$M$301,$T222-1))</f>
        <v/>
      </c>
      <c r="N222" s="39">
        <f>IF($T222="","",INDEX(案件入力!$N$2:$N$301,$T222-1))</f>
        <v/>
      </c>
      <c r="O222" s="36">
        <f>IF($T222="","",INDEX(案件入力!$O$2:$O$301,$T222-1))</f>
        <v/>
      </c>
      <c r="P222" s="37">
        <f>IF($T222="","",INDEX(案件入力!$P$2:$P$301,$T222-1))</f>
        <v/>
      </c>
      <c r="Q222" s="35">
        <f>IF($T222="","",INDEX(案件入力!$Q$2:$Q$301,$T222-1))</f>
        <v/>
      </c>
      <c r="R222" s="35">
        <f>IF($T222="","",INDEX(案件入力!$R$2:$R$301,$T222-1))</f>
        <v/>
      </c>
      <c r="S222" s="35">
        <f>IF($T222="","",INDEX(案件入力!$S$2:$S$301,$T222-1))</f>
        <v/>
      </c>
      <c r="T222">
        <f t="array" ref="T222">IFERROR(SMALL(IF((案件入力!$A$2:$A$301&lt;&gt;"")*(案件入力!$R$2:$R$301&lt;&gt;"完了"),ROW(案件入力!$A$2:$A$301)),ROW()-1),"")</f>
        <v/>
      </c>
    </row>
    <row r="223">
      <c r="A223" s="35">
        <f>IF($T223="","",INDEX(案件入力!$A$2:$A$301,$T223-1))</f>
        <v/>
      </c>
      <c r="B223" s="36">
        <f>IF($T223="","",INDEX(案件入力!$B$2:$B$301,$T223-1))</f>
        <v/>
      </c>
      <c r="C223" s="35">
        <f>IF($T223="","",INDEX(案件入力!$C$2:$C$301,$T223-1))</f>
        <v/>
      </c>
      <c r="D223" s="37">
        <f>IF($T223="","",INDEX(案件入力!$D$2:$D$301,$T223-1))</f>
        <v/>
      </c>
      <c r="E223" s="35">
        <f>IF($T223="","",INDEX(案件入力!$E$2:$E$301,$T223-1))</f>
        <v/>
      </c>
      <c r="F223" s="35">
        <f>IF($T223="","",INDEX(案件入力!$F$2:$F$301,$T223-1))</f>
        <v/>
      </c>
      <c r="G223" s="35">
        <f>IF($T223="","",INDEX(案件入力!$G$2:$G$301,$T223-1))</f>
        <v/>
      </c>
      <c r="H223" s="49">
        <f>IF($T223="","",INDEX(案件入力!$H$2:$H$301,$T223-1))</f>
        <v/>
      </c>
      <c r="I223" s="49">
        <f>IF($T223="","",INDEX(案件入力!$I$2:$I$301,$T223-1))</f>
        <v/>
      </c>
      <c r="J223" s="39">
        <f>IF($T223="","",INDEX(案件入力!$J$2:$J$301,$T223-1))</f>
        <v/>
      </c>
      <c r="K223" s="36">
        <f>IF($T223="","",INDEX(案件入力!$K$2:$K$301,$T223-1))</f>
        <v/>
      </c>
      <c r="L223" s="49">
        <f>IF($T223="","",INDEX(案件入力!$L$2:$L$301,$T223-1))</f>
        <v/>
      </c>
      <c r="M223" s="49">
        <f>IF($T223="","",INDEX(案件入力!$M$2:$M$301,$T223-1))</f>
        <v/>
      </c>
      <c r="N223" s="39">
        <f>IF($T223="","",INDEX(案件入力!$N$2:$N$301,$T223-1))</f>
        <v/>
      </c>
      <c r="O223" s="36">
        <f>IF($T223="","",INDEX(案件入力!$O$2:$O$301,$T223-1))</f>
        <v/>
      </c>
      <c r="P223" s="37">
        <f>IF($T223="","",INDEX(案件入力!$P$2:$P$301,$T223-1))</f>
        <v/>
      </c>
      <c r="Q223" s="35">
        <f>IF($T223="","",INDEX(案件入力!$Q$2:$Q$301,$T223-1))</f>
        <v/>
      </c>
      <c r="R223" s="35">
        <f>IF($T223="","",INDEX(案件入力!$R$2:$R$301,$T223-1))</f>
        <v/>
      </c>
      <c r="S223" s="35">
        <f>IF($T223="","",INDEX(案件入力!$S$2:$S$301,$T223-1))</f>
        <v/>
      </c>
      <c r="T223">
        <f t="array" ref="T223">IFERROR(SMALL(IF((案件入力!$A$2:$A$301&lt;&gt;"")*(案件入力!$R$2:$R$301&lt;&gt;"完了"),ROW(案件入力!$A$2:$A$301)),ROW()-1),"")</f>
        <v/>
      </c>
    </row>
    <row r="224">
      <c r="A224" s="35">
        <f>IF($T224="","",INDEX(案件入力!$A$2:$A$301,$T224-1))</f>
        <v/>
      </c>
      <c r="B224" s="36">
        <f>IF($T224="","",INDEX(案件入力!$B$2:$B$301,$T224-1))</f>
        <v/>
      </c>
      <c r="C224" s="35">
        <f>IF($T224="","",INDEX(案件入力!$C$2:$C$301,$T224-1))</f>
        <v/>
      </c>
      <c r="D224" s="37">
        <f>IF($T224="","",INDEX(案件入力!$D$2:$D$301,$T224-1))</f>
        <v/>
      </c>
      <c r="E224" s="35">
        <f>IF($T224="","",INDEX(案件入力!$E$2:$E$301,$T224-1))</f>
        <v/>
      </c>
      <c r="F224" s="35">
        <f>IF($T224="","",INDEX(案件入力!$F$2:$F$301,$T224-1))</f>
        <v/>
      </c>
      <c r="G224" s="35">
        <f>IF($T224="","",INDEX(案件入力!$G$2:$G$301,$T224-1))</f>
        <v/>
      </c>
      <c r="H224" s="49">
        <f>IF($T224="","",INDEX(案件入力!$H$2:$H$301,$T224-1))</f>
        <v/>
      </c>
      <c r="I224" s="49">
        <f>IF($T224="","",INDEX(案件入力!$I$2:$I$301,$T224-1))</f>
        <v/>
      </c>
      <c r="J224" s="39">
        <f>IF($T224="","",INDEX(案件入力!$J$2:$J$301,$T224-1))</f>
        <v/>
      </c>
      <c r="K224" s="36">
        <f>IF($T224="","",INDEX(案件入力!$K$2:$K$301,$T224-1))</f>
        <v/>
      </c>
      <c r="L224" s="49">
        <f>IF($T224="","",INDEX(案件入力!$L$2:$L$301,$T224-1))</f>
        <v/>
      </c>
      <c r="M224" s="49">
        <f>IF($T224="","",INDEX(案件入力!$M$2:$M$301,$T224-1))</f>
        <v/>
      </c>
      <c r="N224" s="39">
        <f>IF($T224="","",INDEX(案件入力!$N$2:$N$301,$T224-1))</f>
        <v/>
      </c>
      <c r="O224" s="36">
        <f>IF($T224="","",INDEX(案件入力!$O$2:$O$301,$T224-1))</f>
        <v/>
      </c>
      <c r="P224" s="37">
        <f>IF($T224="","",INDEX(案件入力!$P$2:$P$301,$T224-1))</f>
        <v/>
      </c>
      <c r="Q224" s="35">
        <f>IF($T224="","",INDEX(案件入力!$Q$2:$Q$301,$T224-1))</f>
        <v/>
      </c>
      <c r="R224" s="35">
        <f>IF($T224="","",INDEX(案件入力!$R$2:$R$301,$T224-1))</f>
        <v/>
      </c>
      <c r="S224" s="35">
        <f>IF($T224="","",INDEX(案件入力!$S$2:$S$301,$T224-1))</f>
        <v/>
      </c>
      <c r="T224">
        <f t="array" ref="T224">IFERROR(SMALL(IF((案件入力!$A$2:$A$301&lt;&gt;"")*(案件入力!$R$2:$R$301&lt;&gt;"完了"),ROW(案件入力!$A$2:$A$301)),ROW()-1),"")</f>
        <v/>
      </c>
    </row>
    <row r="225">
      <c r="A225" s="35">
        <f>IF($T225="","",INDEX(案件入力!$A$2:$A$301,$T225-1))</f>
        <v/>
      </c>
      <c r="B225" s="36">
        <f>IF($T225="","",INDEX(案件入力!$B$2:$B$301,$T225-1))</f>
        <v/>
      </c>
      <c r="C225" s="35">
        <f>IF($T225="","",INDEX(案件入力!$C$2:$C$301,$T225-1))</f>
        <v/>
      </c>
      <c r="D225" s="37">
        <f>IF($T225="","",INDEX(案件入力!$D$2:$D$301,$T225-1))</f>
        <v/>
      </c>
      <c r="E225" s="35">
        <f>IF($T225="","",INDEX(案件入力!$E$2:$E$301,$T225-1))</f>
        <v/>
      </c>
      <c r="F225" s="35">
        <f>IF($T225="","",INDEX(案件入力!$F$2:$F$301,$T225-1))</f>
        <v/>
      </c>
      <c r="G225" s="35">
        <f>IF($T225="","",INDEX(案件入力!$G$2:$G$301,$T225-1))</f>
        <v/>
      </c>
      <c r="H225" s="49">
        <f>IF($T225="","",INDEX(案件入力!$H$2:$H$301,$T225-1))</f>
        <v/>
      </c>
      <c r="I225" s="49">
        <f>IF($T225="","",INDEX(案件入力!$I$2:$I$301,$T225-1))</f>
        <v/>
      </c>
      <c r="J225" s="39">
        <f>IF($T225="","",INDEX(案件入力!$J$2:$J$301,$T225-1))</f>
        <v/>
      </c>
      <c r="K225" s="36">
        <f>IF($T225="","",INDEX(案件入力!$K$2:$K$301,$T225-1))</f>
        <v/>
      </c>
      <c r="L225" s="49">
        <f>IF($T225="","",INDEX(案件入力!$L$2:$L$301,$T225-1))</f>
        <v/>
      </c>
      <c r="M225" s="49">
        <f>IF($T225="","",INDEX(案件入力!$M$2:$M$301,$T225-1))</f>
        <v/>
      </c>
      <c r="N225" s="39">
        <f>IF($T225="","",INDEX(案件入力!$N$2:$N$301,$T225-1))</f>
        <v/>
      </c>
      <c r="O225" s="36">
        <f>IF($T225="","",INDEX(案件入力!$O$2:$O$301,$T225-1))</f>
        <v/>
      </c>
      <c r="P225" s="37">
        <f>IF($T225="","",INDEX(案件入力!$P$2:$P$301,$T225-1))</f>
        <v/>
      </c>
      <c r="Q225" s="35">
        <f>IF($T225="","",INDEX(案件入力!$Q$2:$Q$301,$T225-1))</f>
        <v/>
      </c>
      <c r="R225" s="35">
        <f>IF($T225="","",INDEX(案件入力!$R$2:$R$301,$T225-1))</f>
        <v/>
      </c>
      <c r="S225" s="35">
        <f>IF($T225="","",INDEX(案件入力!$S$2:$S$301,$T225-1))</f>
        <v/>
      </c>
      <c r="T225">
        <f t="array" ref="T225">IFERROR(SMALL(IF((案件入力!$A$2:$A$301&lt;&gt;"")*(案件入力!$R$2:$R$301&lt;&gt;"完了"),ROW(案件入力!$A$2:$A$301)),ROW()-1),"")</f>
        <v/>
      </c>
    </row>
    <row r="226">
      <c r="A226" s="35">
        <f>IF($T226="","",INDEX(案件入力!$A$2:$A$301,$T226-1))</f>
        <v/>
      </c>
      <c r="B226" s="36">
        <f>IF($T226="","",INDEX(案件入力!$B$2:$B$301,$T226-1))</f>
        <v/>
      </c>
      <c r="C226" s="35">
        <f>IF($T226="","",INDEX(案件入力!$C$2:$C$301,$T226-1))</f>
        <v/>
      </c>
      <c r="D226" s="37">
        <f>IF($T226="","",INDEX(案件入力!$D$2:$D$301,$T226-1))</f>
        <v/>
      </c>
      <c r="E226" s="35">
        <f>IF($T226="","",INDEX(案件入力!$E$2:$E$301,$T226-1))</f>
        <v/>
      </c>
      <c r="F226" s="35">
        <f>IF($T226="","",INDEX(案件入力!$F$2:$F$301,$T226-1))</f>
        <v/>
      </c>
      <c r="G226" s="35">
        <f>IF($T226="","",INDEX(案件入力!$G$2:$G$301,$T226-1))</f>
        <v/>
      </c>
      <c r="H226" s="49">
        <f>IF($T226="","",INDEX(案件入力!$H$2:$H$301,$T226-1))</f>
        <v/>
      </c>
      <c r="I226" s="49">
        <f>IF($T226="","",INDEX(案件入力!$I$2:$I$301,$T226-1))</f>
        <v/>
      </c>
      <c r="J226" s="39">
        <f>IF($T226="","",INDEX(案件入力!$J$2:$J$301,$T226-1))</f>
        <v/>
      </c>
      <c r="K226" s="36">
        <f>IF($T226="","",INDEX(案件入力!$K$2:$K$301,$T226-1))</f>
        <v/>
      </c>
      <c r="L226" s="49">
        <f>IF($T226="","",INDEX(案件入力!$L$2:$L$301,$T226-1))</f>
        <v/>
      </c>
      <c r="M226" s="49">
        <f>IF($T226="","",INDEX(案件入力!$M$2:$M$301,$T226-1))</f>
        <v/>
      </c>
      <c r="N226" s="39">
        <f>IF($T226="","",INDEX(案件入力!$N$2:$N$301,$T226-1))</f>
        <v/>
      </c>
      <c r="O226" s="36">
        <f>IF($T226="","",INDEX(案件入力!$O$2:$O$301,$T226-1))</f>
        <v/>
      </c>
      <c r="P226" s="37">
        <f>IF($T226="","",INDEX(案件入力!$P$2:$P$301,$T226-1))</f>
        <v/>
      </c>
      <c r="Q226" s="35">
        <f>IF($T226="","",INDEX(案件入力!$Q$2:$Q$301,$T226-1))</f>
        <v/>
      </c>
      <c r="R226" s="35">
        <f>IF($T226="","",INDEX(案件入力!$R$2:$R$301,$T226-1))</f>
        <v/>
      </c>
      <c r="S226" s="35">
        <f>IF($T226="","",INDEX(案件入力!$S$2:$S$301,$T226-1))</f>
        <v/>
      </c>
      <c r="T226">
        <f t="array" ref="T226">IFERROR(SMALL(IF((案件入力!$A$2:$A$301&lt;&gt;"")*(案件入力!$R$2:$R$301&lt;&gt;"完了"),ROW(案件入力!$A$2:$A$301)),ROW()-1),"")</f>
        <v/>
      </c>
    </row>
    <row r="227">
      <c r="A227" s="35">
        <f>IF($T227="","",INDEX(案件入力!$A$2:$A$301,$T227-1))</f>
        <v/>
      </c>
      <c r="B227" s="36">
        <f>IF($T227="","",INDEX(案件入力!$B$2:$B$301,$T227-1))</f>
        <v/>
      </c>
      <c r="C227" s="35">
        <f>IF($T227="","",INDEX(案件入力!$C$2:$C$301,$T227-1))</f>
        <v/>
      </c>
      <c r="D227" s="37">
        <f>IF($T227="","",INDEX(案件入力!$D$2:$D$301,$T227-1))</f>
        <v/>
      </c>
      <c r="E227" s="35">
        <f>IF($T227="","",INDEX(案件入力!$E$2:$E$301,$T227-1))</f>
        <v/>
      </c>
      <c r="F227" s="35">
        <f>IF($T227="","",INDEX(案件入力!$F$2:$F$301,$T227-1))</f>
        <v/>
      </c>
      <c r="G227" s="35">
        <f>IF($T227="","",INDEX(案件入力!$G$2:$G$301,$T227-1))</f>
        <v/>
      </c>
      <c r="H227" s="49">
        <f>IF($T227="","",INDEX(案件入力!$H$2:$H$301,$T227-1))</f>
        <v/>
      </c>
      <c r="I227" s="49">
        <f>IF($T227="","",INDEX(案件入力!$I$2:$I$301,$T227-1))</f>
        <v/>
      </c>
      <c r="J227" s="39">
        <f>IF($T227="","",INDEX(案件入力!$J$2:$J$301,$T227-1))</f>
        <v/>
      </c>
      <c r="K227" s="36">
        <f>IF($T227="","",INDEX(案件入力!$K$2:$K$301,$T227-1))</f>
        <v/>
      </c>
      <c r="L227" s="49">
        <f>IF($T227="","",INDEX(案件入力!$L$2:$L$301,$T227-1))</f>
        <v/>
      </c>
      <c r="M227" s="49">
        <f>IF($T227="","",INDEX(案件入力!$M$2:$M$301,$T227-1))</f>
        <v/>
      </c>
      <c r="N227" s="39">
        <f>IF($T227="","",INDEX(案件入力!$N$2:$N$301,$T227-1))</f>
        <v/>
      </c>
      <c r="O227" s="36">
        <f>IF($T227="","",INDEX(案件入力!$O$2:$O$301,$T227-1))</f>
        <v/>
      </c>
      <c r="P227" s="37">
        <f>IF($T227="","",INDEX(案件入力!$P$2:$P$301,$T227-1))</f>
        <v/>
      </c>
      <c r="Q227" s="35">
        <f>IF($T227="","",INDEX(案件入力!$Q$2:$Q$301,$T227-1))</f>
        <v/>
      </c>
      <c r="R227" s="35">
        <f>IF($T227="","",INDEX(案件入力!$R$2:$R$301,$T227-1))</f>
        <v/>
      </c>
      <c r="S227" s="35">
        <f>IF($T227="","",INDEX(案件入力!$S$2:$S$301,$T227-1))</f>
        <v/>
      </c>
      <c r="T227">
        <f t="array" ref="T227">IFERROR(SMALL(IF((案件入力!$A$2:$A$301&lt;&gt;"")*(案件入力!$R$2:$R$301&lt;&gt;"完了"),ROW(案件入力!$A$2:$A$301)),ROW()-1),"")</f>
        <v/>
      </c>
    </row>
    <row r="228">
      <c r="A228" s="35">
        <f>IF($T228="","",INDEX(案件入力!$A$2:$A$301,$T228-1))</f>
        <v/>
      </c>
      <c r="B228" s="36">
        <f>IF($T228="","",INDEX(案件入力!$B$2:$B$301,$T228-1))</f>
        <v/>
      </c>
      <c r="C228" s="35">
        <f>IF($T228="","",INDEX(案件入力!$C$2:$C$301,$T228-1))</f>
        <v/>
      </c>
      <c r="D228" s="37">
        <f>IF($T228="","",INDEX(案件入力!$D$2:$D$301,$T228-1))</f>
        <v/>
      </c>
      <c r="E228" s="35">
        <f>IF($T228="","",INDEX(案件入力!$E$2:$E$301,$T228-1))</f>
        <v/>
      </c>
      <c r="F228" s="35">
        <f>IF($T228="","",INDEX(案件入力!$F$2:$F$301,$T228-1))</f>
        <v/>
      </c>
      <c r="G228" s="35">
        <f>IF($T228="","",INDEX(案件入力!$G$2:$G$301,$T228-1))</f>
        <v/>
      </c>
      <c r="H228" s="49">
        <f>IF($T228="","",INDEX(案件入力!$H$2:$H$301,$T228-1))</f>
        <v/>
      </c>
      <c r="I228" s="49">
        <f>IF($T228="","",INDEX(案件入力!$I$2:$I$301,$T228-1))</f>
        <v/>
      </c>
      <c r="J228" s="39">
        <f>IF($T228="","",INDEX(案件入力!$J$2:$J$301,$T228-1))</f>
        <v/>
      </c>
      <c r="K228" s="36">
        <f>IF($T228="","",INDEX(案件入力!$K$2:$K$301,$T228-1))</f>
        <v/>
      </c>
      <c r="L228" s="49">
        <f>IF($T228="","",INDEX(案件入力!$L$2:$L$301,$T228-1))</f>
        <v/>
      </c>
      <c r="M228" s="49">
        <f>IF($T228="","",INDEX(案件入力!$M$2:$M$301,$T228-1))</f>
        <v/>
      </c>
      <c r="N228" s="39">
        <f>IF($T228="","",INDEX(案件入力!$N$2:$N$301,$T228-1))</f>
        <v/>
      </c>
      <c r="O228" s="36">
        <f>IF($T228="","",INDEX(案件入力!$O$2:$O$301,$T228-1))</f>
        <v/>
      </c>
      <c r="P228" s="37">
        <f>IF($T228="","",INDEX(案件入力!$P$2:$P$301,$T228-1))</f>
        <v/>
      </c>
      <c r="Q228" s="35">
        <f>IF($T228="","",INDEX(案件入力!$Q$2:$Q$301,$T228-1))</f>
        <v/>
      </c>
      <c r="R228" s="35">
        <f>IF($T228="","",INDEX(案件入力!$R$2:$R$301,$T228-1))</f>
        <v/>
      </c>
      <c r="S228" s="35">
        <f>IF($T228="","",INDEX(案件入力!$S$2:$S$301,$T228-1))</f>
        <v/>
      </c>
      <c r="T228">
        <f t="array" ref="T228">IFERROR(SMALL(IF((案件入力!$A$2:$A$301&lt;&gt;"")*(案件入力!$R$2:$R$301&lt;&gt;"完了"),ROW(案件入力!$A$2:$A$301)),ROW()-1),"")</f>
        <v/>
      </c>
    </row>
    <row r="229">
      <c r="A229" s="35">
        <f>IF($T229="","",INDEX(案件入力!$A$2:$A$301,$T229-1))</f>
        <v/>
      </c>
      <c r="B229" s="36">
        <f>IF($T229="","",INDEX(案件入力!$B$2:$B$301,$T229-1))</f>
        <v/>
      </c>
      <c r="C229" s="35">
        <f>IF($T229="","",INDEX(案件入力!$C$2:$C$301,$T229-1))</f>
        <v/>
      </c>
      <c r="D229" s="37">
        <f>IF($T229="","",INDEX(案件入力!$D$2:$D$301,$T229-1))</f>
        <v/>
      </c>
      <c r="E229" s="35">
        <f>IF($T229="","",INDEX(案件入力!$E$2:$E$301,$T229-1))</f>
        <v/>
      </c>
      <c r="F229" s="35">
        <f>IF($T229="","",INDEX(案件入力!$F$2:$F$301,$T229-1))</f>
        <v/>
      </c>
      <c r="G229" s="35">
        <f>IF($T229="","",INDEX(案件入力!$G$2:$G$301,$T229-1))</f>
        <v/>
      </c>
      <c r="H229" s="49">
        <f>IF($T229="","",INDEX(案件入力!$H$2:$H$301,$T229-1))</f>
        <v/>
      </c>
      <c r="I229" s="49">
        <f>IF($T229="","",INDEX(案件入力!$I$2:$I$301,$T229-1))</f>
        <v/>
      </c>
      <c r="J229" s="39">
        <f>IF($T229="","",INDEX(案件入力!$J$2:$J$301,$T229-1))</f>
        <v/>
      </c>
      <c r="K229" s="36">
        <f>IF($T229="","",INDEX(案件入力!$K$2:$K$301,$T229-1))</f>
        <v/>
      </c>
      <c r="L229" s="49">
        <f>IF($T229="","",INDEX(案件入力!$L$2:$L$301,$T229-1))</f>
        <v/>
      </c>
      <c r="M229" s="49">
        <f>IF($T229="","",INDEX(案件入力!$M$2:$M$301,$T229-1))</f>
        <v/>
      </c>
      <c r="N229" s="39">
        <f>IF($T229="","",INDEX(案件入力!$N$2:$N$301,$T229-1))</f>
        <v/>
      </c>
      <c r="O229" s="36">
        <f>IF($T229="","",INDEX(案件入力!$O$2:$O$301,$T229-1))</f>
        <v/>
      </c>
      <c r="P229" s="37">
        <f>IF($T229="","",INDEX(案件入力!$P$2:$P$301,$T229-1))</f>
        <v/>
      </c>
      <c r="Q229" s="35">
        <f>IF($T229="","",INDEX(案件入力!$Q$2:$Q$301,$T229-1))</f>
        <v/>
      </c>
      <c r="R229" s="35">
        <f>IF($T229="","",INDEX(案件入力!$R$2:$R$301,$T229-1))</f>
        <v/>
      </c>
      <c r="S229" s="35">
        <f>IF($T229="","",INDEX(案件入力!$S$2:$S$301,$T229-1))</f>
        <v/>
      </c>
      <c r="T229">
        <f t="array" ref="T229">IFERROR(SMALL(IF((案件入力!$A$2:$A$301&lt;&gt;"")*(案件入力!$R$2:$R$301&lt;&gt;"完了"),ROW(案件入力!$A$2:$A$301)),ROW()-1),"")</f>
        <v/>
      </c>
    </row>
    <row r="230">
      <c r="A230" s="35">
        <f>IF($T230="","",INDEX(案件入力!$A$2:$A$301,$T230-1))</f>
        <v/>
      </c>
      <c r="B230" s="36">
        <f>IF($T230="","",INDEX(案件入力!$B$2:$B$301,$T230-1))</f>
        <v/>
      </c>
      <c r="C230" s="35">
        <f>IF($T230="","",INDEX(案件入力!$C$2:$C$301,$T230-1))</f>
        <v/>
      </c>
      <c r="D230" s="37">
        <f>IF($T230="","",INDEX(案件入力!$D$2:$D$301,$T230-1))</f>
        <v/>
      </c>
      <c r="E230" s="35">
        <f>IF($T230="","",INDEX(案件入力!$E$2:$E$301,$T230-1))</f>
        <v/>
      </c>
      <c r="F230" s="35">
        <f>IF($T230="","",INDEX(案件入力!$F$2:$F$301,$T230-1))</f>
        <v/>
      </c>
      <c r="G230" s="35">
        <f>IF($T230="","",INDEX(案件入力!$G$2:$G$301,$T230-1))</f>
        <v/>
      </c>
      <c r="H230" s="49">
        <f>IF($T230="","",INDEX(案件入力!$H$2:$H$301,$T230-1))</f>
        <v/>
      </c>
      <c r="I230" s="49">
        <f>IF($T230="","",INDEX(案件入力!$I$2:$I$301,$T230-1))</f>
        <v/>
      </c>
      <c r="J230" s="39">
        <f>IF($T230="","",INDEX(案件入力!$J$2:$J$301,$T230-1))</f>
        <v/>
      </c>
      <c r="K230" s="36">
        <f>IF($T230="","",INDEX(案件入力!$K$2:$K$301,$T230-1))</f>
        <v/>
      </c>
      <c r="L230" s="49">
        <f>IF($T230="","",INDEX(案件入力!$L$2:$L$301,$T230-1))</f>
        <v/>
      </c>
      <c r="M230" s="49">
        <f>IF($T230="","",INDEX(案件入力!$M$2:$M$301,$T230-1))</f>
        <v/>
      </c>
      <c r="N230" s="39">
        <f>IF($T230="","",INDEX(案件入力!$N$2:$N$301,$T230-1))</f>
        <v/>
      </c>
      <c r="O230" s="36">
        <f>IF($T230="","",INDEX(案件入力!$O$2:$O$301,$T230-1))</f>
        <v/>
      </c>
      <c r="P230" s="37">
        <f>IF($T230="","",INDEX(案件入力!$P$2:$P$301,$T230-1))</f>
        <v/>
      </c>
      <c r="Q230" s="35">
        <f>IF($T230="","",INDEX(案件入力!$Q$2:$Q$301,$T230-1))</f>
        <v/>
      </c>
      <c r="R230" s="35">
        <f>IF($T230="","",INDEX(案件入力!$R$2:$R$301,$T230-1))</f>
        <v/>
      </c>
      <c r="S230" s="35">
        <f>IF($T230="","",INDEX(案件入力!$S$2:$S$301,$T230-1))</f>
        <v/>
      </c>
      <c r="T230">
        <f t="array" ref="T230">IFERROR(SMALL(IF((案件入力!$A$2:$A$301&lt;&gt;"")*(案件入力!$R$2:$R$301&lt;&gt;"完了"),ROW(案件入力!$A$2:$A$301)),ROW()-1),"")</f>
        <v/>
      </c>
    </row>
    <row r="231">
      <c r="A231" s="35">
        <f>IF($T231="","",INDEX(案件入力!$A$2:$A$301,$T231-1))</f>
        <v/>
      </c>
      <c r="B231" s="36">
        <f>IF($T231="","",INDEX(案件入力!$B$2:$B$301,$T231-1))</f>
        <v/>
      </c>
      <c r="C231" s="35">
        <f>IF($T231="","",INDEX(案件入力!$C$2:$C$301,$T231-1))</f>
        <v/>
      </c>
      <c r="D231" s="37">
        <f>IF($T231="","",INDEX(案件入力!$D$2:$D$301,$T231-1))</f>
        <v/>
      </c>
      <c r="E231" s="35">
        <f>IF($T231="","",INDEX(案件入力!$E$2:$E$301,$T231-1))</f>
        <v/>
      </c>
      <c r="F231" s="35">
        <f>IF($T231="","",INDEX(案件入力!$F$2:$F$301,$T231-1))</f>
        <v/>
      </c>
      <c r="G231" s="35">
        <f>IF($T231="","",INDEX(案件入力!$G$2:$G$301,$T231-1))</f>
        <v/>
      </c>
      <c r="H231" s="49">
        <f>IF($T231="","",INDEX(案件入力!$H$2:$H$301,$T231-1))</f>
        <v/>
      </c>
      <c r="I231" s="49">
        <f>IF($T231="","",INDEX(案件入力!$I$2:$I$301,$T231-1))</f>
        <v/>
      </c>
      <c r="J231" s="39">
        <f>IF($T231="","",INDEX(案件入力!$J$2:$J$301,$T231-1))</f>
        <v/>
      </c>
      <c r="K231" s="36">
        <f>IF($T231="","",INDEX(案件入力!$K$2:$K$301,$T231-1))</f>
        <v/>
      </c>
      <c r="L231" s="49">
        <f>IF($T231="","",INDEX(案件入力!$L$2:$L$301,$T231-1))</f>
        <v/>
      </c>
      <c r="M231" s="49">
        <f>IF($T231="","",INDEX(案件入力!$M$2:$M$301,$T231-1))</f>
        <v/>
      </c>
      <c r="N231" s="39">
        <f>IF($T231="","",INDEX(案件入力!$N$2:$N$301,$T231-1))</f>
        <v/>
      </c>
      <c r="O231" s="36">
        <f>IF($T231="","",INDEX(案件入力!$O$2:$O$301,$T231-1))</f>
        <v/>
      </c>
      <c r="P231" s="37">
        <f>IF($T231="","",INDEX(案件入力!$P$2:$P$301,$T231-1))</f>
        <v/>
      </c>
      <c r="Q231" s="35">
        <f>IF($T231="","",INDEX(案件入力!$Q$2:$Q$301,$T231-1))</f>
        <v/>
      </c>
      <c r="R231" s="35">
        <f>IF($T231="","",INDEX(案件入力!$R$2:$R$301,$T231-1))</f>
        <v/>
      </c>
      <c r="S231" s="35">
        <f>IF($T231="","",INDEX(案件入力!$S$2:$S$301,$T231-1))</f>
        <v/>
      </c>
      <c r="T231">
        <f t="array" ref="T231">IFERROR(SMALL(IF((案件入力!$A$2:$A$301&lt;&gt;"")*(案件入力!$R$2:$R$301&lt;&gt;"完了"),ROW(案件入力!$A$2:$A$301)),ROW()-1),"")</f>
        <v/>
      </c>
    </row>
    <row r="232">
      <c r="A232" s="35">
        <f>IF($T232="","",INDEX(案件入力!$A$2:$A$301,$T232-1))</f>
        <v/>
      </c>
      <c r="B232" s="36">
        <f>IF($T232="","",INDEX(案件入力!$B$2:$B$301,$T232-1))</f>
        <v/>
      </c>
      <c r="C232" s="35">
        <f>IF($T232="","",INDEX(案件入力!$C$2:$C$301,$T232-1))</f>
        <v/>
      </c>
      <c r="D232" s="37">
        <f>IF($T232="","",INDEX(案件入力!$D$2:$D$301,$T232-1))</f>
        <v/>
      </c>
      <c r="E232" s="35">
        <f>IF($T232="","",INDEX(案件入力!$E$2:$E$301,$T232-1))</f>
        <v/>
      </c>
      <c r="F232" s="35">
        <f>IF($T232="","",INDEX(案件入力!$F$2:$F$301,$T232-1))</f>
        <v/>
      </c>
      <c r="G232" s="35">
        <f>IF($T232="","",INDEX(案件入力!$G$2:$G$301,$T232-1))</f>
        <v/>
      </c>
      <c r="H232" s="49">
        <f>IF($T232="","",INDEX(案件入力!$H$2:$H$301,$T232-1))</f>
        <v/>
      </c>
      <c r="I232" s="49">
        <f>IF($T232="","",INDEX(案件入力!$I$2:$I$301,$T232-1))</f>
        <v/>
      </c>
      <c r="J232" s="39">
        <f>IF($T232="","",INDEX(案件入力!$J$2:$J$301,$T232-1))</f>
        <v/>
      </c>
      <c r="K232" s="36">
        <f>IF($T232="","",INDEX(案件入力!$K$2:$K$301,$T232-1))</f>
        <v/>
      </c>
      <c r="L232" s="49">
        <f>IF($T232="","",INDEX(案件入力!$L$2:$L$301,$T232-1))</f>
        <v/>
      </c>
      <c r="M232" s="49">
        <f>IF($T232="","",INDEX(案件入力!$M$2:$M$301,$T232-1))</f>
        <v/>
      </c>
      <c r="N232" s="39">
        <f>IF($T232="","",INDEX(案件入力!$N$2:$N$301,$T232-1))</f>
        <v/>
      </c>
      <c r="O232" s="36">
        <f>IF($T232="","",INDEX(案件入力!$O$2:$O$301,$T232-1))</f>
        <v/>
      </c>
      <c r="P232" s="37">
        <f>IF($T232="","",INDEX(案件入力!$P$2:$P$301,$T232-1))</f>
        <v/>
      </c>
      <c r="Q232" s="35">
        <f>IF($T232="","",INDEX(案件入力!$Q$2:$Q$301,$T232-1))</f>
        <v/>
      </c>
      <c r="R232" s="35">
        <f>IF($T232="","",INDEX(案件入力!$R$2:$R$301,$T232-1))</f>
        <v/>
      </c>
      <c r="S232" s="35">
        <f>IF($T232="","",INDEX(案件入力!$S$2:$S$301,$T232-1))</f>
        <v/>
      </c>
      <c r="T232">
        <f t="array" ref="T232">IFERROR(SMALL(IF((案件入力!$A$2:$A$301&lt;&gt;"")*(案件入力!$R$2:$R$301&lt;&gt;"完了"),ROW(案件入力!$A$2:$A$301)),ROW()-1),"")</f>
        <v/>
      </c>
    </row>
    <row r="233">
      <c r="A233" s="35">
        <f>IF($T233="","",INDEX(案件入力!$A$2:$A$301,$T233-1))</f>
        <v/>
      </c>
      <c r="B233" s="36">
        <f>IF($T233="","",INDEX(案件入力!$B$2:$B$301,$T233-1))</f>
        <v/>
      </c>
      <c r="C233" s="35">
        <f>IF($T233="","",INDEX(案件入力!$C$2:$C$301,$T233-1))</f>
        <v/>
      </c>
      <c r="D233" s="37">
        <f>IF($T233="","",INDEX(案件入力!$D$2:$D$301,$T233-1))</f>
        <v/>
      </c>
      <c r="E233" s="35">
        <f>IF($T233="","",INDEX(案件入力!$E$2:$E$301,$T233-1))</f>
        <v/>
      </c>
      <c r="F233" s="35">
        <f>IF($T233="","",INDEX(案件入力!$F$2:$F$301,$T233-1))</f>
        <v/>
      </c>
      <c r="G233" s="35">
        <f>IF($T233="","",INDEX(案件入力!$G$2:$G$301,$T233-1))</f>
        <v/>
      </c>
      <c r="H233" s="49">
        <f>IF($T233="","",INDEX(案件入力!$H$2:$H$301,$T233-1))</f>
        <v/>
      </c>
      <c r="I233" s="49">
        <f>IF($T233="","",INDEX(案件入力!$I$2:$I$301,$T233-1))</f>
        <v/>
      </c>
      <c r="J233" s="39">
        <f>IF($T233="","",INDEX(案件入力!$J$2:$J$301,$T233-1))</f>
        <v/>
      </c>
      <c r="K233" s="36">
        <f>IF($T233="","",INDEX(案件入力!$K$2:$K$301,$T233-1))</f>
        <v/>
      </c>
      <c r="L233" s="49">
        <f>IF($T233="","",INDEX(案件入力!$L$2:$L$301,$T233-1))</f>
        <v/>
      </c>
      <c r="M233" s="49">
        <f>IF($T233="","",INDEX(案件入力!$M$2:$M$301,$T233-1))</f>
        <v/>
      </c>
      <c r="N233" s="39">
        <f>IF($T233="","",INDEX(案件入力!$N$2:$N$301,$T233-1))</f>
        <v/>
      </c>
      <c r="O233" s="36">
        <f>IF($T233="","",INDEX(案件入力!$O$2:$O$301,$T233-1))</f>
        <v/>
      </c>
      <c r="P233" s="37">
        <f>IF($T233="","",INDEX(案件入力!$P$2:$P$301,$T233-1))</f>
        <v/>
      </c>
      <c r="Q233" s="35">
        <f>IF($T233="","",INDEX(案件入力!$Q$2:$Q$301,$T233-1))</f>
        <v/>
      </c>
      <c r="R233" s="35">
        <f>IF($T233="","",INDEX(案件入力!$R$2:$R$301,$T233-1))</f>
        <v/>
      </c>
      <c r="S233" s="35">
        <f>IF($T233="","",INDEX(案件入力!$S$2:$S$301,$T233-1))</f>
        <v/>
      </c>
      <c r="T233">
        <f t="array" ref="T233">IFERROR(SMALL(IF((案件入力!$A$2:$A$301&lt;&gt;"")*(案件入力!$R$2:$R$301&lt;&gt;"完了"),ROW(案件入力!$A$2:$A$301)),ROW()-1),"")</f>
        <v/>
      </c>
    </row>
    <row r="234">
      <c r="A234" s="35">
        <f>IF($T234="","",INDEX(案件入力!$A$2:$A$301,$T234-1))</f>
        <v/>
      </c>
      <c r="B234" s="36">
        <f>IF($T234="","",INDEX(案件入力!$B$2:$B$301,$T234-1))</f>
        <v/>
      </c>
      <c r="C234" s="35">
        <f>IF($T234="","",INDEX(案件入力!$C$2:$C$301,$T234-1))</f>
        <v/>
      </c>
      <c r="D234" s="37">
        <f>IF($T234="","",INDEX(案件入力!$D$2:$D$301,$T234-1))</f>
        <v/>
      </c>
      <c r="E234" s="35">
        <f>IF($T234="","",INDEX(案件入力!$E$2:$E$301,$T234-1))</f>
        <v/>
      </c>
      <c r="F234" s="35">
        <f>IF($T234="","",INDEX(案件入力!$F$2:$F$301,$T234-1))</f>
        <v/>
      </c>
      <c r="G234" s="35">
        <f>IF($T234="","",INDEX(案件入力!$G$2:$G$301,$T234-1))</f>
        <v/>
      </c>
      <c r="H234" s="49">
        <f>IF($T234="","",INDEX(案件入力!$H$2:$H$301,$T234-1))</f>
        <v/>
      </c>
      <c r="I234" s="49">
        <f>IF($T234="","",INDEX(案件入力!$I$2:$I$301,$T234-1))</f>
        <v/>
      </c>
      <c r="J234" s="39">
        <f>IF($T234="","",INDEX(案件入力!$J$2:$J$301,$T234-1))</f>
        <v/>
      </c>
      <c r="K234" s="36">
        <f>IF($T234="","",INDEX(案件入力!$K$2:$K$301,$T234-1))</f>
        <v/>
      </c>
      <c r="L234" s="49">
        <f>IF($T234="","",INDEX(案件入力!$L$2:$L$301,$T234-1))</f>
        <v/>
      </c>
      <c r="M234" s="49">
        <f>IF($T234="","",INDEX(案件入力!$M$2:$M$301,$T234-1))</f>
        <v/>
      </c>
      <c r="N234" s="39">
        <f>IF($T234="","",INDEX(案件入力!$N$2:$N$301,$T234-1))</f>
        <v/>
      </c>
      <c r="O234" s="36">
        <f>IF($T234="","",INDEX(案件入力!$O$2:$O$301,$T234-1))</f>
        <v/>
      </c>
      <c r="P234" s="37">
        <f>IF($T234="","",INDEX(案件入力!$P$2:$P$301,$T234-1))</f>
        <v/>
      </c>
      <c r="Q234" s="35">
        <f>IF($T234="","",INDEX(案件入力!$Q$2:$Q$301,$T234-1))</f>
        <v/>
      </c>
      <c r="R234" s="35">
        <f>IF($T234="","",INDEX(案件入力!$R$2:$R$301,$T234-1))</f>
        <v/>
      </c>
      <c r="S234" s="35">
        <f>IF($T234="","",INDEX(案件入力!$S$2:$S$301,$T234-1))</f>
        <v/>
      </c>
      <c r="T234">
        <f t="array" ref="T234">IFERROR(SMALL(IF((案件入力!$A$2:$A$301&lt;&gt;"")*(案件入力!$R$2:$R$301&lt;&gt;"完了"),ROW(案件入力!$A$2:$A$301)),ROW()-1),"")</f>
        <v/>
      </c>
    </row>
    <row r="235">
      <c r="A235" s="35">
        <f>IF($T235="","",INDEX(案件入力!$A$2:$A$301,$T235-1))</f>
        <v/>
      </c>
      <c r="B235" s="36">
        <f>IF($T235="","",INDEX(案件入力!$B$2:$B$301,$T235-1))</f>
        <v/>
      </c>
      <c r="C235" s="35">
        <f>IF($T235="","",INDEX(案件入力!$C$2:$C$301,$T235-1))</f>
        <v/>
      </c>
      <c r="D235" s="37">
        <f>IF($T235="","",INDEX(案件入力!$D$2:$D$301,$T235-1))</f>
        <v/>
      </c>
      <c r="E235" s="35">
        <f>IF($T235="","",INDEX(案件入力!$E$2:$E$301,$T235-1))</f>
        <v/>
      </c>
      <c r="F235" s="35">
        <f>IF($T235="","",INDEX(案件入力!$F$2:$F$301,$T235-1))</f>
        <v/>
      </c>
      <c r="G235" s="35">
        <f>IF($T235="","",INDEX(案件入力!$G$2:$G$301,$T235-1))</f>
        <v/>
      </c>
      <c r="H235" s="49">
        <f>IF($T235="","",INDEX(案件入力!$H$2:$H$301,$T235-1))</f>
        <v/>
      </c>
      <c r="I235" s="49">
        <f>IF($T235="","",INDEX(案件入力!$I$2:$I$301,$T235-1))</f>
        <v/>
      </c>
      <c r="J235" s="39">
        <f>IF($T235="","",INDEX(案件入力!$J$2:$J$301,$T235-1))</f>
        <v/>
      </c>
      <c r="K235" s="36">
        <f>IF($T235="","",INDEX(案件入力!$K$2:$K$301,$T235-1))</f>
        <v/>
      </c>
      <c r="L235" s="49">
        <f>IF($T235="","",INDEX(案件入力!$L$2:$L$301,$T235-1))</f>
        <v/>
      </c>
      <c r="M235" s="49">
        <f>IF($T235="","",INDEX(案件入力!$M$2:$M$301,$T235-1))</f>
        <v/>
      </c>
      <c r="N235" s="39">
        <f>IF($T235="","",INDEX(案件入力!$N$2:$N$301,$T235-1))</f>
        <v/>
      </c>
      <c r="O235" s="36">
        <f>IF($T235="","",INDEX(案件入力!$O$2:$O$301,$T235-1))</f>
        <v/>
      </c>
      <c r="P235" s="37">
        <f>IF($T235="","",INDEX(案件入力!$P$2:$P$301,$T235-1))</f>
        <v/>
      </c>
      <c r="Q235" s="35">
        <f>IF($T235="","",INDEX(案件入力!$Q$2:$Q$301,$T235-1))</f>
        <v/>
      </c>
      <c r="R235" s="35">
        <f>IF($T235="","",INDEX(案件入力!$R$2:$R$301,$T235-1))</f>
        <v/>
      </c>
      <c r="S235" s="35">
        <f>IF($T235="","",INDEX(案件入力!$S$2:$S$301,$T235-1))</f>
        <v/>
      </c>
      <c r="T235">
        <f t="array" ref="T235">IFERROR(SMALL(IF((案件入力!$A$2:$A$301&lt;&gt;"")*(案件入力!$R$2:$R$301&lt;&gt;"完了"),ROW(案件入力!$A$2:$A$301)),ROW()-1),"")</f>
        <v/>
      </c>
    </row>
    <row r="236">
      <c r="A236" s="35">
        <f>IF($T236="","",INDEX(案件入力!$A$2:$A$301,$T236-1))</f>
        <v/>
      </c>
      <c r="B236" s="36">
        <f>IF($T236="","",INDEX(案件入力!$B$2:$B$301,$T236-1))</f>
        <v/>
      </c>
      <c r="C236" s="35">
        <f>IF($T236="","",INDEX(案件入力!$C$2:$C$301,$T236-1))</f>
        <v/>
      </c>
      <c r="D236" s="37">
        <f>IF($T236="","",INDEX(案件入力!$D$2:$D$301,$T236-1))</f>
        <v/>
      </c>
      <c r="E236" s="35">
        <f>IF($T236="","",INDEX(案件入力!$E$2:$E$301,$T236-1))</f>
        <v/>
      </c>
      <c r="F236" s="35">
        <f>IF($T236="","",INDEX(案件入力!$F$2:$F$301,$T236-1))</f>
        <v/>
      </c>
      <c r="G236" s="35">
        <f>IF($T236="","",INDEX(案件入力!$G$2:$G$301,$T236-1))</f>
        <v/>
      </c>
      <c r="H236" s="49">
        <f>IF($T236="","",INDEX(案件入力!$H$2:$H$301,$T236-1))</f>
        <v/>
      </c>
      <c r="I236" s="49">
        <f>IF($T236="","",INDEX(案件入力!$I$2:$I$301,$T236-1))</f>
        <v/>
      </c>
      <c r="J236" s="39">
        <f>IF($T236="","",INDEX(案件入力!$J$2:$J$301,$T236-1))</f>
        <v/>
      </c>
      <c r="K236" s="36">
        <f>IF($T236="","",INDEX(案件入力!$K$2:$K$301,$T236-1))</f>
        <v/>
      </c>
      <c r="L236" s="49">
        <f>IF($T236="","",INDEX(案件入力!$L$2:$L$301,$T236-1))</f>
        <v/>
      </c>
      <c r="M236" s="49">
        <f>IF($T236="","",INDEX(案件入力!$M$2:$M$301,$T236-1))</f>
        <v/>
      </c>
      <c r="N236" s="39">
        <f>IF($T236="","",INDEX(案件入力!$N$2:$N$301,$T236-1))</f>
        <v/>
      </c>
      <c r="O236" s="36">
        <f>IF($T236="","",INDEX(案件入力!$O$2:$O$301,$T236-1))</f>
        <v/>
      </c>
      <c r="P236" s="37">
        <f>IF($T236="","",INDEX(案件入力!$P$2:$P$301,$T236-1))</f>
        <v/>
      </c>
      <c r="Q236" s="35">
        <f>IF($T236="","",INDEX(案件入力!$Q$2:$Q$301,$T236-1))</f>
        <v/>
      </c>
      <c r="R236" s="35">
        <f>IF($T236="","",INDEX(案件入力!$R$2:$R$301,$T236-1))</f>
        <v/>
      </c>
      <c r="S236" s="35">
        <f>IF($T236="","",INDEX(案件入力!$S$2:$S$301,$T236-1))</f>
        <v/>
      </c>
      <c r="T236">
        <f t="array" ref="T236">IFERROR(SMALL(IF((案件入力!$A$2:$A$301&lt;&gt;"")*(案件入力!$R$2:$R$301&lt;&gt;"完了"),ROW(案件入力!$A$2:$A$301)),ROW()-1),"")</f>
        <v/>
      </c>
    </row>
    <row r="237">
      <c r="A237" s="35">
        <f>IF($T237="","",INDEX(案件入力!$A$2:$A$301,$T237-1))</f>
        <v/>
      </c>
      <c r="B237" s="36">
        <f>IF($T237="","",INDEX(案件入力!$B$2:$B$301,$T237-1))</f>
        <v/>
      </c>
      <c r="C237" s="35">
        <f>IF($T237="","",INDEX(案件入力!$C$2:$C$301,$T237-1))</f>
        <v/>
      </c>
      <c r="D237" s="37">
        <f>IF($T237="","",INDEX(案件入力!$D$2:$D$301,$T237-1))</f>
        <v/>
      </c>
      <c r="E237" s="35">
        <f>IF($T237="","",INDEX(案件入力!$E$2:$E$301,$T237-1))</f>
        <v/>
      </c>
      <c r="F237" s="35">
        <f>IF($T237="","",INDEX(案件入力!$F$2:$F$301,$T237-1))</f>
        <v/>
      </c>
      <c r="G237" s="35">
        <f>IF($T237="","",INDEX(案件入力!$G$2:$G$301,$T237-1))</f>
        <v/>
      </c>
      <c r="H237" s="49">
        <f>IF($T237="","",INDEX(案件入力!$H$2:$H$301,$T237-1))</f>
        <v/>
      </c>
      <c r="I237" s="49">
        <f>IF($T237="","",INDEX(案件入力!$I$2:$I$301,$T237-1))</f>
        <v/>
      </c>
      <c r="J237" s="39">
        <f>IF($T237="","",INDEX(案件入力!$J$2:$J$301,$T237-1))</f>
        <v/>
      </c>
      <c r="K237" s="36">
        <f>IF($T237="","",INDEX(案件入力!$K$2:$K$301,$T237-1))</f>
        <v/>
      </c>
      <c r="L237" s="49">
        <f>IF($T237="","",INDEX(案件入力!$L$2:$L$301,$T237-1))</f>
        <v/>
      </c>
      <c r="M237" s="49">
        <f>IF($T237="","",INDEX(案件入力!$M$2:$M$301,$T237-1))</f>
        <v/>
      </c>
      <c r="N237" s="39">
        <f>IF($T237="","",INDEX(案件入力!$N$2:$N$301,$T237-1))</f>
        <v/>
      </c>
      <c r="O237" s="36">
        <f>IF($T237="","",INDEX(案件入力!$O$2:$O$301,$T237-1))</f>
        <v/>
      </c>
      <c r="P237" s="37">
        <f>IF($T237="","",INDEX(案件入力!$P$2:$P$301,$T237-1))</f>
        <v/>
      </c>
      <c r="Q237" s="35">
        <f>IF($T237="","",INDEX(案件入力!$Q$2:$Q$301,$T237-1))</f>
        <v/>
      </c>
      <c r="R237" s="35">
        <f>IF($T237="","",INDEX(案件入力!$R$2:$R$301,$T237-1))</f>
        <v/>
      </c>
      <c r="S237" s="35">
        <f>IF($T237="","",INDEX(案件入力!$S$2:$S$301,$T237-1))</f>
        <v/>
      </c>
      <c r="T237">
        <f t="array" ref="T237">IFERROR(SMALL(IF((案件入力!$A$2:$A$301&lt;&gt;"")*(案件入力!$R$2:$R$301&lt;&gt;"完了"),ROW(案件入力!$A$2:$A$301)),ROW()-1),"")</f>
        <v/>
      </c>
    </row>
    <row r="238">
      <c r="A238" s="35">
        <f>IF($T238="","",INDEX(案件入力!$A$2:$A$301,$T238-1))</f>
        <v/>
      </c>
      <c r="B238" s="36">
        <f>IF($T238="","",INDEX(案件入力!$B$2:$B$301,$T238-1))</f>
        <v/>
      </c>
      <c r="C238" s="35">
        <f>IF($T238="","",INDEX(案件入力!$C$2:$C$301,$T238-1))</f>
        <v/>
      </c>
      <c r="D238" s="37">
        <f>IF($T238="","",INDEX(案件入力!$D$2:$D$301,$T238-1))</f>
        <v/>
      </c>
      <c r="E238" s="35">
        <f>IF($T238="","",INDEX(案件入力!$E$2:$E$301,$T238-1))</f>
        <v/>
      </c>
      <c r="F238" s="35">
        <f>IF($T238="","",INDEX(案件入力!$F$2:$F$301,$T238-1))</f>
        <v/>
      </c>
      <c r="G238" s="35">
        <f>IF($T238="","",INDEX(案件入力!$G$2:$G$301,$T238-1))</f>
        <v/>
      </c>
      <c r="H238" s="49">
        <f>IF($T238="","",INDEX(案件入力!$H$2:$H$301,$T238-1))</f>
        <v/>
      </c>
      <c r="I238" s="49">
        <f>IF($T238="","",INDEX(案件入力!$I$2:$I$301,$T238-1))</f>
        <v/>
      </c>
      <c r="J238" s="39">
        <f>IF($T238="","",INDEX(案件入力!$J$2:$J$301,$T238-1))</f>
        <v/>
      </c>
      <c r="K238" s="36">
        <f>IF($T238="","",INDEX(案件入力!$K$2:$K$301,$T238-1))</f>
        <v/>
      </c>
      <c r="L238" s="49">
        <f>IF($T238="","",INDEX(案件入力!$L$2:$L$301,$T238-1))</f>
        <v/>
      </c>
      <c r="M238" s="49">
        <f>IF($T238="","",INDEX(案件入力!$M$2:$M$301,$T238-1))</f>
        <v/>
      </c>
      <c r="N238" s="39">
        <f>IF($T238="","",INDEX(案件入力!$N$2:$N$301,$T238-1))</f>
        <v/>
      </c>
      <c r="O238" s="36">
        <f>IF($T238="","",INDEX(案件入力!$O$2:$O$301,$T238-1))</f>
        <v/>
      </c>
      <c r="P238" s="37">
        <f>IF($T238="","",INDEX(案件入力!$P$2:$P$301,$T238-1))</f>
        <v/>
      </c>
      <c r="Q238" s="35">
        <f>IF($T238="","",INDEX(案件入力!$Q$2:$Q$301,$T238-1))</f>
        <v/>
      </c>
      <c r="R238" s="35">
        <f>IF($T238="","",INDEX(案件入力!$R$2:$R$301,$T238-1))</f>
        <v/>
      </c>
      <c r="S238" s="35">
        <f>IF($T238="","",INDEX(案件入力!$S$2:$S$301,$T238-1))</f>
        <v/>
      </c>
      <c r="T238">
        <f t="array" ref="T238">IFERROR(SMALL(IF((案件入力!$A$2:$A$301&lt;&gt;"")*(案件入力!$R$2:$R$301&lt;&gt;"完了"),ROW(案件入力!$A$2:$A$301)),ROW()-1),"")</f>
        <v/>
      </c>
    </row>
    <row r="239">
      <c r="A239" s="35">
        <f>IF($T239="","",INDEX(案件入力!$A$2:$A$301,$T239-1))</f>
        <v/>
      </c>
      <c r="B239" s="36">
        <f>IF($T239="","",INDEX(案件入力!$B$2:$B$301,$T239-1))</f>
        <v/>
      </c>
      <c r="C239" s="35">
        <f>IF($T239="","",INDEX(案件入力!$C$2:$C$301,$T239-1))</f>
        <v/>
      </c>
      <c r="D239" s="37">
        <f>IF($T239="","",INDEX(案件入力!$D$2:$D$301,$T239-1))</f>
        <v/>
      </c>
      <c r="E239" s="35">
        <f>IF($T239="","",INDEX(案件入力!$E$2:$E$301,$T239-1))</f>
        <v/>
      </c>
      <c r="F239" s="35">
        <f>IF($T239="","",INDEX(案件入力!$F$2:$F$301,$T239-1))</f>
        <v/>
      </c>
      <c r="G239" s="35">
        <f>IF($T239="","",INDEX(案件入力!$G$2:$G$301,$T239-1))</f>
        <v/>
      </c>
      <c r="H239" s="49">
        <f>IF($T239="","",INDEX(案件入力!$H$2:$H$301,$T239-1))</f>
        <v/>
      </c>
      <c r="I239" s="49">
        <f>IF($T239="","",INDEX(案件入力!$I$2:$I$301,$T239-1))</f>
        <v/>
      </c>
      <c r="J239" s="39">
        <f>IF($T239="","",INDEX(案件入力!$J$2:$J$301,$T239-1))</f>
        <v/>
      </c>
      <c r="K239" s="36">
        <f>IF($T239="","",INDEX(案件入力!$K$2:$K$301,$T239-1))</f>
        <v/>
      </c>
      <c r="L239" s="49">
        <f>IF($T239="","",INDEX(案件入力!$L$2:$L$301,$T239-1))</f>
        <v/>
      </c>
      <c r="M239" s="49">
        <f>IF($T239="","",INDEX(案件入力!$M$2:$M$301,$T239-1))</f>
        <v/>
      </c>
      <c r="N239" s="39">
        <f>IF($T239="","",INDEX(案件入力!$N$2:$N$301,$T239-1))</f>
        <v/>
      </c>
      <c r="O239" s="36">
        <f>IF($T239="","",INDEX(案件入力!$O$2:$O$301,$T239-1))</f>
        <v/>
      </c>
      <c r="P239" s="37">
        <f>IF($T239="","",INDEX(案件入力!$P$2:$P$301,$T239-1))</f>
        <v/>
      </c>
      <c r="Q239" s="35">
        <f>IF($T239="","",INDEX(案件入力!$Q$2:$Q$301,$T239-1))</f>
        <v/>
      </c>
      <c r="R239" s="35">
        <f>IF($T239="","",INDEX(案件入力!$R$2:$R$301,$T239-1))</f>
        <v/>
      </c>
      <c r="S239" s="35">
        <f>IF($T239="","",INDEX(案件入力!$S$2:$S$301,$T239-1))</f>
        <v/>
      </c>
      <c r="T239">
        <f t="array" ref="T239">IFERROR(SMALL(IF((案件入力!$A$2:$A$301&lt;&gt;"")*(案件入力!$R$2:$R$301&lt;&gt;"完了"),ROW(案件入力!$A$2:$A$301)),ROW()-1),"")</f>
        <v/>
      </c>
    </row>
    <row r="240">
      <c r="A240" s="35">
        <f>IF($T240="","",INDEX(案件入力!$A$2:$A$301,$T240-1))</f>
        <v/>
      </c>
      <c r="B240" s="36">
        <f>IF($T240="","",INDEX(案件入力!$B$2:$B$301,$T240-1))</f>
        <v/>
      </c>
      <c r="C240" s="35">
        <f>IF($T240="","",INDEX(案件入力!$C$2:$C$301,$T240-1))</f>
        <v/>
      </c>
      <c r="D240" s="37">
        <f>IF($T240="","",INDEX(案件入力!$D$2:$D$301,$T240-1))</f>
        <v/>
      </c>
      <c r="E240" s="35">
        <f>IF($T240="","",INDEX(案件入力!$E$2:$E$301,$T240-1))</f>
        <v/>
      </c>
      <c r="F240" s="35">
        <f>IF($T240="","",INDEX(案件入力!$F$2:$F$301,$T240-1))</f>
        <v/>
      </c>
      <c r="G240" s="35">
        <f>IF($T240="","",INDEX(案件入力!$G$2:$G$301,$T240-1))</f>
        <v/>
      </c>
      <c r="H240" s="49">
        <f>IF($T240="","",INDEX(案件入力!$H$2:$H$301,$T240-1))</f>
        <v/>
      </c>
      <c r="I240" s="49">
        <f>IF($T240="","",INDEX(案件入力!$I$2:$I$301,$T240-1))</f>
        <v/>
      </c>
      <c r="J240" s="39">
        <f>IF($T240="","",INDEX(案件入力!$J$2:$J$301,$T240-1))</f>
        <v/>
      </c>
      <c r="K240" s="36">
        <f>IF($T240="","",INDEX(案件入力!$K$2:$K$301,$T240-1))</f>
        <v/>
      </c>
      <c r="L240" s="49">
        <f>IF($T240="","",INDEX(案件入力!$L$2:$L$301,$T240-1))</f>
        <v/>
      </c>
      <c r="M240" s="49">
        <f>IF($T240="","",INDEX(案件入力!$M$2:$M$301,$T240-1))</f>
        <v/>
      </c>
      <c r="N240" s="39">
        <f>IF($T240="","",INDEX(案件入力!$N$2:$N$301,$T240-1))</f>
        <v/>
      </c>
      <c r="O240" s="36">
        <f>IF($T240="","",INDEX(案件入力!$O$2:$O$301,$T240-1))</f>
        <v/>
      </c>
      <c r="P240" s="37">
        <f>IF($T240="","",INDEX(案件入力!$P$2:$P$301,$T240-1))</f>
        <v/>
      </c>
      <c r="Q240" s="35">
        <f>IF($T240="","",INDEX(案件入力!$Q$2:$Q$301,$T240-1))</f>
        <v/>
      </c>
      <c r="R240" s="35">
        <f>IF($T240="","",INDEX(案件入力!$R$2:$R$301,$T240-1))</f>
        <v/>
      </c>
      <c r="S240" s="35">
        <f>IF($T240="","",INDEX(案件入力!$S$2:$S$301,$T240-1))</f>
        <v/>
      </c>
      <c r="T240">
        <f t="array" ref="T240">IFERROR(SMALL(IF((案件入力!$A$2:$A$301&lt;&gt;"")*(案件入力!$R$2:$R$301&lt;&gt;"完了"),ROW(案件入力!$A$2:$A$301)),ROW()-1),"")</f>
        <v/>
      </c>
    </row>
    <row r="241">
      <c r="A241" s="35">
        <f>IF($T241="","",INDEX(案件入力!$A$2:$A$301,$T241-1))</f>
        <v/>
      </c>
      <c r="B241" s="36">
        <f>IF($T241="","",INDEX(案件入力!$B$2:$B$301,$T241-1))</f>
        <v/>
      </c>
      <c r="C241" s="35">
        <f>IF($T241="","",INDEX(案件入力!$C$2:$C$301,$T241-1))</f>
        <v/>
      </c>
      <c r="D241" s="37">
        <f>IF($T241="","",INDEX(案件入力!$D$2:$D$301,$T241-1))</f>
        <v/>
      </c>
      <c r="E241" s="35">
        <f>IF($T241="","",INDEX(案件入力!$E$2:$E$301,$T241-1))</f>
        <v/>
      </c>
      <c r="F241" s="35">
        <f>IF($T241="","",INDEX(案件入力!$F$2:$F$301,$T241-1))</f>
        <v/>
      </c>
      <c r="G241" s="35">
        <f>IF($T241="","",INDEX(案件入力!$G$2:$G$301,$T241-1))</f>
        <v/>
      </c>
      <c r="H241" s="49">
        <f>IF($T241="","",INDEX(案件入力!$H$2:$H$301,$T241-1))</f>
        <v/>
      </c>
      <c r="I241" s="49">
        <f>IF($T241="","",INDEX(案件入力!$I$2:$I$301,$T241-1))</f>
        <v/>
      </c>
      <c r="J241" s="39">
        <f>IF($T241="","",INDEX(案件入力!$J$2:$J$301,$T241-1))</f>
        <v/>
      </c>
      <c r="K241" s="36">
        <f>IF($T241="","",INDEX(案件入力!$K$2:$K$301,$T241-1))</f>
        <v/>
      </c>
      <c r="L241" s="49">
        <f>IF($T241="","",INDEX(案件入力!$L$2:$L$301,$T241-1))</f>
        <v/>
      </c>
      <c r="M241" s="49">
        <f>IF($T241="","",INDEX(案件入力!$M$2:$M$301,$T241-1))</f>
        <v/>
      </c>
      <c r="N241" s="39">
        <f>IF($T241="","",INDEX(案件入力!$N$2:$N$301,$T241-1))</f>
        <v/>
      </c>
      <c r="O241" s="36">
        <f>IF($T241="","",INDEX(案件入力!$O$2:$O$301,$T241-1))</f>
        <v/>
      </c>
      <c r="P241" s="37">
        <f>IF($T241="","",INDEX(案件入力!$P$2:$P$301,$T241-1))</f>
        <v/>
      </c>
      <c r="Q241" s="35">
        <f>IF($T241="","",INDEX(案件入力!$Q$2:$Q$301,$T241-1))</f>
        <v/>
      </c>
      <c r="R241" s="35">
        <f>IF($T241="","",INDEX(案件入力!$R$2:$R$301,$T241-1))</f>
        <v/>
      </c>
      <c r="S241" s="35">
        <f>IF($T241="","",INDEX(案件入力!$S$2:$S$301,$T241-1))</f>
        <v/>
      </c>
      <c r="T241">
        <f t="array" ref="T241">IFERROR(SMALL(IF((案件入力!$A$2:$A$301&lt;&gt;"")*(案件入力!$R$2:$R$301&lt;&gt;"完了"),ROW(案件入力!$A$2:$A$301)),ROW()-1),"")</f>
        <v/>
      </c>
    </row>
    <row r="242">
      <c r="A242" s="35">
        <f>IF($T242="","",INDEX(案件入力!$A$2:$A$301,$T242-1))</f>
        <v/>
      </c>
      <c r="B242" s="36">
        <f>IF($T242="","",INDEX(案件入力!$B$2:$B$301,$T242-1))</f>
        <v/>
      </c>
      <c r="C242" s="35">
        <f>IF($T242="","",INDEX(案件入力!$C$2:$C$301,$T242-1))</f>
        <v/>
      </c>
      <c r="D242" s="37">
        <f>IF($T242="","",INDEX(案件入力!$D$2:$D$301,$T242-1))</f>
        <v/>
      </c>
      <c r="E242" s="35">
        <f>IF($T242="","",INDEX(案件入力!$E$2:$E$301,$T242-1))</f>
        <v/>
      </c>
      <c r="F242" s="35">
        <f>IF($T242="","",INDEX(案件入力!$F$2:$F$301,$T242-1))</f>
        <v/>
      </c>
      <c r="G242" s="35">
        <f>IF($T242="","",INDEX(案件入力!$G$2:$G$301,$T242-1))</f>
        <v/>
      </c>
      <c r="H242" s="49">
        <f>IF($T242="","",INDEX(案件入力!$H$2:$H$301,$T242-1))</f>
        <v/>
      </c>
      <c r="I242" s="49">
        <f>IF($T242="","",INDEX(案件入力!$I$2:$I$301,$T242-1))</f>
        <v/>
      </c>
      <c r="J242" s="39">
        <f>IF($T242="","",INDEX(案件入力!$J$2:$J$301,$T242-1))</f>
        <v/>
      </c>
      <c r="K242" s="36">
        <f>IF($T242="","",INDEX(案件入力!$K$2:$K$301,$T242-1))</f>
        <v/>
      </c>
      <c r="L242" s="49">
        <f>IF($T242="","",INDEX(案件入力!$L$2:$L$301,$T242-1))</f>
        <v/>
      </c>
      <c r="M242" s="49">
        <f>IF($T242="","",INDEX(案件入力!$M$2:$M$301,$T242-1))</f>
        <v/>
      </c>
      <c r="N242" s="39">
        <f>IF($T242="","",INDEX(案件入力!$N$2:$N$301,$T242-1))</f>
        <v/>
      </c>
      <c r="O242" s="36">
        <f>IF($T242="","",INDEX(案件入力!$O$2:$O$301,$T242-1))</f>
        <v/>
      </c>
      <c r="P242" s="37">
        <f>IF($T242="","",INDEX(案件入力!$P$2:$P$301,$T242-1))</f>
        <v/>
      </c>
      <c r="Q242" s="35">
        <f>IF($T242="","",INDEX(案件入力!$Q$2:$Q$301,$T242-1))</f>
        <v/>
      </c>
      <c r="R242" s="35">
        <f>IF($T242="","",INDEX(案件入力!$R$2:$R$301,$T242-1))</f>
        <v/>
      </c>
      <c r="S242" s="35">
        <f>IF($T242="","",INDEX(案件入力!$S$2:$S$301,$T242-1))</f>
        <v/>
      </c>
      <c r="T242">
        <f t="array" ref="T242">IFERROR(SMALL(IF((案件入力!$A$2:$A$301&lt;&gt;"")*(案件入力!$R$2:$R$301&lt;&gt;"完了"),ROW(案件入力!$A$2:$A$301)),ROW()-1),"")</f>
        <v/>
      </c>
    </row>
    <row r="243">
      <c r="A243" s="35">
        <f>IF($T243="","",INDEX(案件入力!$A$2:$A$301,$T243-1))</f>
        <v/>
      </c>
      <c r="B243" s="36">
        <f>IF($T243="","",INDEX(案件入力!$B$2:$B$301,$T243-1))</f>
        <v/>
      </c>
      <c r="C243" s="35">
        <f>IF($T243="","",INDEX(案件入力!$C$2:$C$301,$T243-1))</f>
        <v/>
      </c>
      <c r="D243" s="37">
        <f>IF($T243="","",INDEX(案件入力!$D$2:$D$301,$T243-1))</f>
        <v/>
      </c>
      <c r="E243" s="35">
        <f>IF($T243="","",INDEX(案件入力!$E$2:$E$301,$T243-1))</f>
        <v/>
      </c>
      <c r="F243" s="35">
        <f>IF($T243="","",INDEX(案件入力!$F$2:$F$301,$T243-1))</f>
        <v/>
      </c>
      <c r="G243" s="35">
        <f>IF($T243="","",INDEX(案件入力!$G$2:$G$301,$T243-1))</f>
        <v/>
      </c>
      <c r="H243" s="49">
        <f>IF($T243="","",INDEX(案件入力!$H$2:$H$301,$T243-1))</f>
        <v/>
      </c>
      <c r="I243" s="49">
        <f>IF($T243="","",INDEX(案件入力!$I$2:$I$301,$T243-1))</f>
        <v/>
      </c>
      <c r="J243" s="39">
        <f>IF($T243="","",INDEX(案件入力!$J$2:$J$301,$T243-1))</f>
        <v/>
      </c>
      <c r="K243" s="36">
        <f>IF($T243="","",INDEX(案件入力!$K$2:$K$301,$T243-1))</f>
        <v/>
      </c>
      <c r="L243" s="49">
        <f>IF($T243="","",INDEX(案件入力!$L$2:$L$301,$T243-1))</f>
        <v/>
      </c>
      <c r="M243" s="49">
        <f>IF($T243="","",INDEX(案件入力!$M$2:$M$301,$T243-1))</f>
        <v/>
      </c>
      <c r="N243" s="39">
        <f>IF($T243="","",INDEX(案件入力!$N$2:$N$301,$T243-1))</f>
        <v/>
      </c>
      <c r="O243" s="36">
        <f>IF($T243="","",INDEX(案件入力!$O$2:$O$301,$T243-1))</f>
        <v/>
      </c>
      <c r="P243" s="37">
        <f>IF($T243="","",INDEX(案件入力!$P$2:$P$301,$T243-1))</f>
        <v/>
      </c>
      <c r="Q243" s="35">
        <f>IF($T243="","",INDEX(案件入力!$Q$2:$Q$301,$T243-1))</f>
        <v/>
      </c>
      <c r="R243" s="35">
        <f>IF($T243="","",INDEX(案件入力!$R$2:$R$301,$T243-1))</f>
        <v/>
      </c>
      <c r="S243" s="35">
        <f>IF($T243="","",INDEX(案件入力!$S$2:$S$301,$T243-1))</f>
        <v/>
      </c>
      <c r="T243">
        <f t="array" ref="T243">IFERROR(SMALL(IF((案件入力!$A$2:$A$301&lt;&gt;"")*(案件入力!$R$2:$R$301&lt;&gt;"完了"),ROW(案件入力!$A$2:$A$301)),ROW()-1),"")</f>
        <v/>
      </c>
    </row>
    <row r="244">
      <c r="A244" s="35">
        <f>IF($T244="","",INDEX(案件入力!$A$2:$A$301,$T244-1))</f>
        <v/>
      </c>
      <c r="B244" s="36">
        <f>IF($T244="","",INDEX(案件入力!$B$2:$B$301,$T244-1))</f>
        <v/>
      </c>
      <c r="C244" s="35">
        <f>IF($T244="","",INDEX(案件入力!$C$2:$C$301,$T244-1))</f>
        <v/>
      </c>
      <c r="D244" s="37">
        <f>IF($T244="","",INDEX(案件入力!$D$2:$D$301,$T244-1))</f>
        <v/>
      </c>
      <c r="E244" s="35">
        <f>IF($T244="","",INDEX(案件入力!$E$2:$E$301,$T244-1))</f>
        <v/>
      </c>
      <c r="F244" s="35">
        <f>IF($T244="","",INDEX(案件入力!$F$2:$F$301,$T244-1))</f>
        <v/>
      </c>
      <c r="G244" s="35">
        <f>IF($T244="","",INDEX(案件入力!$G$2:$G$301,$T244-1))</f>
        <v/>
      </c>
      <c r="H244" s="49">
        <f>IF($T244="","",INDEX(案件入力!$H$2:$H$301,$T244-1))</f>
        <v/>
      </c>
      <c r="I244" s="49">
        <f>IF($T244="","",INDEX(案件入力!$I$2:$I$301,$T244-1))</f>
        <v/>
      </c>
      <c r="J244" s="39">
        <f>IF($T244="","",INDEX(案件入力!$J$2:$J$301,$T244-1))</f>
        <v/>
      </c>
      <c r="K244" s="36">
        <f>IF($T244="","",INDEX(案件入力!$K$2:$K$301,$T244-1))</f>
        <v/>
      </c>
      <c r="L244" s="49">
        <f>IF($T244="","",INDEX(案件入力!$L$2:$L$301,$T244-1))</f>
        <v/>
      </c>
      <c r="M244" s="49">
        <f>IF($T244="","",INDEX(案件入力!$M$2:$M$301,$T244-1))</f>
        <v/>
      </c>
      <c r="N244" s="39">
        <f>IF($T244="","",INDEX(案件入力!$N$2:$N$301,$T244-1))</f>
        <v/>
      </c>
      <c r="O244" s="36">
        <f>IF($T244="","",INDEX(案件入力!$O$2:$O$301,$T244-1))</f>
        <v/>
      </c>
      <c r="P244" s="37">
        <f>IF($T244="","",INDEX(案件入力!$P$2:$P$301,$T244-1))</f>
        <v/>
      </c>
      <c r="Q244" s="35">
        <f>IF($T244="","",INDEX(案件入力!$Q$2:$Q$301,$T244-1))</f>
        <v/>
      </c>
      <c r="R244" s="35">
        <f>IF($T244="","",INDEX(案件入力!$R$2:$R$301,$T244-1))</f>
        <v/>
      </c>
      <c r="S244" s="35">
        <f>IF($T244="","",INDEX(案件入力!$S$2:$S$301,$T244-1))</f>
        <v/>
      </c>
      <c r="T244">
        <f t="array" ref="T244">IFERROR(SMALL(IF((案件入力!$A$2:$A$301&lt;&gt;"")*(案件入力!$R$2:$R$301&lt;&gt;"完了"),ROW(案件入力!$A$2:$A$301)),ROW()-1),"")</f>
        <v/>
      </c>
    </row>
    <row r="245">
      <c r="A245" s="35">
        <f>IF($T245="","",INDEX(案件入力!$A$2:$A$301,$T245-1))</f>
        <v/>
      </c>
      <c r="B245" s="36">
        <f>IF($T245="","",INDEX(案件入力!$B$2:$B$301,$T245-1))</f>
        <v/>
      </c>
      <c r="C245" s="35">
        <f>IF($T245="","",INDEX(案件入力!$C$2:$C$301,$T245-1))</f>
        <v/>
      </c>
      <c r="D245" s="37">
        <f>IF($T245="","",INDEX(案件入力!$D$2:$D$301,$T245-1))</f>
        <v/>
      </c>
      <c r="E245" s="35">
        <f>IF($T245="","",INDEX(案件入力!$E$2:$E$301,$T245-1))</f>
        <v/>
      </c>
      <c r="F245" s="35">
        <f>IF($T245="","",INDEX(案件入力!$F$2:$F$301,$T245-1))</f>
        <v/>
      </c>
      <c r="G245" s="35">
        <f>IF($T245="","",INDEX(案件入力!$G$2:$G$301,$T245-1))</f>
        <v/>
      </c>
      <c r="H245" s="49">
        <f>IF($T245="","",INDEX(案件入力!$H$2:$H$301,$T245-1))</f>
        <v/>
      </c>
      <c r="I245" s="49">
        <f>IF($T245="","",INDEX(案件入力!$I$2:$I$301,$T245-1))</f>
        <v/>
      </c>
      <c r="J245" s="39">
        <f>IF($T245="","",INDEX(案件入力!$J$2:$J$301,$T245-1))</f>
        <v/>
      </c>
      <c r="K245" s="36">
        <f>IF($T245="","",INDEX(案件入力!$K$2:$K$301,$T245-1))</f>
        <v/>
      </c>
      <c r="L245" s="49">
        <f>IF($T245="","",INDEX(案件入力!$L$2:$L$301,$T245-1))</f>
        <v/>
      </c>
      <c r="M245" s="49">
        <f>IF($T245="","",INDEX(案件入力!$M$2:$M$301,$T245-1))</f>
        <v/>
      </c>
      <c r="N245" s="39">
        <f>IF($T245="","",INDEX(案件入力!$N$2:$N$301,$T245-1))</f>
        <v/>
      </c>
      <c r="O245" s="36">
        <f>IF($T245="","",INDEX(案件入力!$O$2:$O$301,$T245-1))</f>
        <v/>
      </c>
      <c r="P245" s="37">
        <f>IF($T245="","",INDEX(案件入力!$P$2:$P$301,$T245-1))</f>
        <v/>
      </c>
      <c r="Q245" s="35">
        <f>IF($T245="","",INDEX(案件入力!$Q$2:$Q$301,$T245-1))</f>
        <v/>
      </c>
      <c r="R245" s="35">
        <f>IF($T245="","",INDEX(案件入力!$R$2:$R$301,$T245-1))</f>
        <v/>
      </c>
      <c r="S245" s="35">
        <f>IF($T245="","",INDEX(案件入力!$S$2:$S$301,$T245-1))</f>
        <v/>
      </c>
      <c r="T245">
        <f t="array" ref="T245">IFERROR(SMALL(IF((案件入力!$A$2:$A$301&lt;&gt;"")*(案件入力!$R$2:$R$301&lt;&gt;"完了"),ROW(案件入力!$A$2:$A$301)),ROW()-1),"")</f>
        <v/>
      </c>
    </row>
    <row r="246">
      <c r="A246" s="35">
        <f>IF($T246="","",INDEX(案件入力!$A$2:$A$301,$T246-1))</f>
        <v/>
      </c>
      <c r="B246" s="36">
        <f>IF($T246="","",INDEX(案件入力!$B$2:$B$301,$T246-1))</f>
        <v/>
      </c>
      <c r="C246" s="35">
        <f>IF($T246="","",INDEX(案件入力!$C$2:$C$301,$T246-1))</f>
        <v/>
      </c>
      <c r="D246" s="37">
        <f>IF($T246="","",INDEX(案件入力!$D$2:$D$301,$T246-1))</f>
        <v/>
      </c>
      <c r="E246" s="35">
        <f>IF($T246="","",INDEX(案件入力!$E$2:$E$301,$T246-1))</f>
        <v/>
      </c>
      <c r="F246" s="35">
        <f>IF($T246="","",INDEX(案件入力!$F$2:$F$301,$T246-1))</f>
        <v/>
      </c>
      <c r="G246" s="35">
        <f>IF($T246="","",INDEX(案件入力!$G$2:$G$301,$T246-1))</f>
        <v/>
      </c>
      <c r="H246" s="49">
        <f>IF($T246="","",INDEX(案件入力!$H$2:$H$301,$T246-1))</f>
        <v/>
      </c>
      <c r="I246" s="49">
        <f>IF($T246="","",INDEX(案件入力!$I$2:$I$301,$T246-1))</f>
        <v/>
      </c>
      <c r="J246" s="39">
        <f>IF($T246="","",INDEX(案件入力!$J$2:$J$301,$T246-1))</f>
        <v/>
      </c>
      <c r="K246" s="36">
        <f>IF($T246="","",INDEX(案件入力!$K$2:$K$301,$T246-1))</f>
        <v/>
      </c>
      <c r="L246" s="49">
        <f>IF($T246="","",INDEX(案件入力!$L$2:$L$301,$T246-1))</f>
        <v/>
      </c>
      <c r="M246" s="49">
        <f>IF($T246="","",INDEX(案件入力!$M$2:$M$301,$T246-1))</f>
        <v/>
      </c>
      <c r="N246" s="39">
        <f>IF($T246="","",INDEX(案件入力!$N$2:$N$301,$T246-1))</f>
        <v/>
      </c>
      <c r="O246" s="36">
        <f>IF($T246="","",INDEX(案件入力!$O$2:$O$301,$T246-1))</f>
        <v/>
      </c>
      <c r="P246" s="37">
        <f>IF($T246="","",INDEX(案件入力!$P$2:$P$301,$T246-1))</f>
        <v/>
      </c>
      <c r="Q246" s="35">
        <f>IF($T246="","",INDEX(案件入力!$Q$2:$Q$301,$T246-1))</f>
        <v/>
      </c>
      <c r="R246" s="35">
        <f>IF($T246="","",INDEX(案件入力!$R$2:$R$301,$T246-1))</f>
        <v/>
      </c>
      <c r="S246" s="35">
        <f>IF($T246="","",INDEX(案件入力!$S$2:$S$301,$T246-1))</f>
        <v/>
      </c>
      <c r="T246">
        <f t="array" ref="T246">IFERROR(SMALL(IF((案件入力!$A$2:$A$301&lt;&gt;"")*(案件入力!$R$2:$R$301&lt;&gt;"完了"),ROW(案件入力!$A$2:$A$301)),ROW()-1),"")</f>
        <v/>
      </c>
    </row>
    <row r="247">
      <c r="A247" s="35">
        <f>IF($T247="","",INDEX(案件入力!$A$2:$A$301,$T247-1))</f>
        <v/>
      </c>
      <c r="B247" s="36">
        <f>IF($T247="","",INDEX(案件入力!$B$2:$B$301,$T247-1))</f>
        <v/>
      </c>
      <c r="C247" s="35">
        <f>IF($T247="","",INDEX(案件入力!$C$2:$C$301,$T247-1))</f>
        <v/>
      </c>
      <c r="D247" s="37">
        <f>IF($T247="","",INDEX(案件入力!$D$2:$D$301,$T247-1))</f>
        <v/>
      </c>
      <c r="E247" s="35">
        <f>IF($T247="","",INDEX(案件入力!$E$2:$E$301,$T247-1))</f>
        <v/>
      </c>
      <c r="F247" s="35">
        <f>IF($T247="","",INDEX(案件入力!$F$2:$F$301,$T247-1))</f>
        <v/>
      </c>
      <c r="G247" s="35">
        <f>IF($T247="","",INDEX(案件入力!$G$2:$G$301,$T247-1))</f>
        <v/>
      </c>
      <c r="H247" s="49">
        <f>IF($T247="","",INDEX(案件入力!$H$2:$H$301,$T247-1))</f>
        <v/>
      </c>
      <c r="I247" s="49">
        <f>IF($T247="","",INDEX(案件入力!$I$2:$I$301,$T247-1))</f>
        <v/>
      </c>
      <c r="J247" s="39">
        <f>IF($T247="","",INDEX(案件入力!$J$2:$J$301,$T247-1))</f>
        <v/>
      </c>
      <c r="K247" s="36">
        <f>IF($T247="","",INDEX(案件入力!$K$2:$K$301,$T247-1))</f>
        <v/>
      </c>
      <c r="L247" s="49">
        <f>IF($T247="","",INDEX(案件入力!$L$2:$L$301,$T247-1))</f>
        <v/>
      </c>
      <c r="M247" s="49">
        <f>IF($T247="","",INDEX(案件入力!$M$2:$M$301,$T247-1))</f>
        <v/>
      </c>
      <c r="N247" s="39">
        <f>IF($T247="","",INDEX(案件入力!$N$2:$N$301,$T247-1))</f>
        <v/>
      </c>
      <c r="O247" s="36">
        <f>IF($T247="","",INDEX(案件入力!$O$2:$O$301,$T247-1))</f>
        <v/>
      </c>
      <c r="P247" s="37">
        <f>IF($T247="","",INDEX(案件入力!$P$2:$P$301,$T247-1))</f>
        <v/>
      </c>
      <c r="Q247" s="35">
        <f>IF($T247="","",INDEX(案件入力!$Q$2:$Q$301,$T247-1))</f>
        <v/>
      </c>
      <c r="R247" s="35">
        <f>IF($T247="","",INDEX(案件入力!$R$2:$R$301,$T247-1))</f>
        <v/>
      </c>
      <c r="S247" s="35">
        <f>IF($T247="","",INDEX(案件入力!$S$2:$S$301,$T247-1))</f>
        <v/>
      </c>
      <c r="T247">
        <f t="array" ref="T247">IFERROR(SMALL(IF((案件入力!$A$2:$A$301&lt;&gt;"")*(案件入力!$R$2:$R$301&lt;&gt;"完了"),ROW(案件入力!$A$2:$A$301)),ROW()-1),"")</f>
        <v/>
      </c>
    </row>
    <row r="248">
      <c r="A248" s="35">
        <f>IF($T248="","",INDEX(案件入力!$A$2:$A$301,$T248-1))</f>
        <v/>
      </c>
      <c r="B248" s="36">
        <f>IF($T248="","",INDEX(案件入力!$B$2:$B$301,$T248-1))</f>
        <v/>
      </c>
      <c r="C248" s="35">
        <f>IF($T248="","",INDEX(案件入力!$C$2:$C$301,$T248-1))</f>
        <v/>
      </c>
      <c r="D248" s="37">
        <f>IF($T248="","",INDEX(案件入力!$D$2:$D$301,$T248-1))</f>
        <v/>
      </c>
      <c r="E248" s="35">
        <f>IF($T248="","",INDEX(案件入力!$E$2:$E$301,$T248-1))</f>
        <v/>
      </c>
      <c r="F248" s="35">
        <f>IF($T248="","",INDEX(案件入力!$F$2:$F$301,$T248-1))</f>
        <v/>
      </c>
      <c r="G248" s="35">
        <f>IF($T248="","",INDEX(案件入力!$G$2:$G$301,$T248-1))</f>
        <v/>
      </c>
      <c r="H248" s="49">
        <f>IF($T248="","",INDEX(案件入力!$H$2:$H$301,$T248-1))</f>
        <v/>
      </c>
      <c r="I248" s="49">
        <f>IF($T248="","",INDEX(案件入力!$I$2:$I$301,$T248-1))</f>
        <v/>
      </c>
      <c r="J248" s="39">
        <f>IF($T248="","",INDEX(案件入力!$J$2:$J$301,$T248-1))</f>
        <v/>
      </c>
      <c r="K248" s="36">
        <f>IF($T248="","",INDEX(案件入力!$K$2:$K$301,$T248-1))</f>
        <v/>
      </c>
      <c r="L248" s="49">
        <f>IF($T248="","",INDEX(案件入力!$L$2:$L$301,$T248-1))</f>
        <v/>
      </c>
      <c r="M248" s="49">
        <f>IF($T248="","",INDEX(案件入力!$M$2:$M$301,$T248-1))</f>
        <v/>
      </c>
      <c r="N248" s="39">
        <f>IF($T248="","",INDEX(案件入力!$N$2:$N$301,$T248-1))</f>
        <v/>
      </c>
      <c r="O248" s="36">
        <f>IF($T248="","",INDEX(案件入力!$O$2:$O$301,$T248-1))</f>
        <v/>
      </c>
      <c r="P248" s="37">
        <f>IF($T248="","",INDEX(案件入力!$P$2:$P$301,$T248-1))</f>
        <v/>
      </c>
      <c r="Q248" s="35">
        <f>IF($T248="","",INDEX(案件入力!$Q$2:$Q$301,$T248-1))</f>
        <v/>
      </c>
      <c r="R248" s="35">
        <f>IF($T248="","",INDEX(案件入力!$R$2:$R$301,$T248-1))</f>
        <v/>
      </c>
      <c r="S248" s="35">
        <f>IF($T248="","",INDEX(案件入力!$S$2:$S$301,$T248-1))</f>
        <v/>
      </c>
      <c r="T248">
        <f t="array" ref="T248">IFERROR(SMALL(IF((案件入力!$A$2:$A$301&lt;&gt;"")*(案件入力!$R$2:$R$301&lt;&gt;"完了"),ROW(案件入力!$A$2:$A$301)),ROW()-1),"")</f>
        <v/>
      </c>
    </row>
    <row r="249">
      <c r="A249" s="35">
        <f>IF($T249="","",INDEX(案件入力!$A$2:$A$301,$T249-1))</f>
        <v/>
      </c>
      <c r="B249" s="36">
        <f>IF($T249="","",INDEX(案件入力!$B$2:$B$301,$T249-1))</f>
        <v/>
      </c>
      <c r="C249" s="35">
        <f>IF($T249="","",INDEX(案件入力!$C$2:$C$301,$T249-1))</f>
        <v/>
      </c>
      <c r="D249" s="37">
        <f>IF($T249="","",INDEX(案件入力!$D$2:$D$301,$T249-1))</f>
        <v/>
      </c>
      <c r="E249" s="35">
        <f>IF($T249="","",INDEX(案件入力!$E$2:$E$301,$T249-1))</f>
        <v/>
      </c>
      <c r="F249" s="35">
        <f>IF($T249="","",INDEX(案件入力!$F$2:$F$301,$T249-1))</f>
        <v/>
      </c>
      <c r="G249" s="35">
        <f>IF($T249="","",INDEX(案件入力!$G$2:$G$301,$T249-1))</f>
        <v/>
      </c>
      <c r="H249" s="49">
        <f>IF($T249="","",INDEX(案件入力!$H$2:$H$301,$T249-1))</f>
        <v/>
      </c>
      <c r="I249" s="49">
        <f>IF($T249="","",INDEX(案件入力!$I$2:$I$301,$T249-1))</f>
        <v/>
      </c>
      <c r="J249" s="39">
        <f>IF($T249="","",INDEX(案件入力!$J$2:$J$301,$T249-1))</f>
        <v/>
      </c>
      <c r="K249" s="36">
        <f>IF($T249="","",INDEX(案件入力!$K$2:$K$301,$T249-1))</f>
        <v/>
      </c>
      <c r="L249" s="49">
        <f>IF($T249="","",INDEX(案件入力!$L$2:$L$301,$T249-1))</f>
        <v/>
      </c>
      <c r="M249" s="49">
        <f>IF($T249="","",INDEX(案件入力!$M$2:$M$301,$T249-1))</f>
        <v/>
      </c>
      <c r="N249" s="39">
        <f>IF($T249="","",INDEX(案件入力!$N$2:$N$301,$T249-1))</f>
        <v/>
      </c>
      <c r="O249" s="36">
        <f>IF($T249="","",INDEX(案件入力!$O$2:$O$301,$T249-1))</f>
        <v/>
      </c>
      <c r="P249" s="37">
        <f>IF($T249="","",INDEX(案件入力!$P$2:$P$301,$T249-1))</f>
        <v/>
      </c>
      <c r="Q249" s="35">
        <f>IF($T249="","",INDEX(案件入力!$Q$2:$Q$301,$T249-1))</f>
        <v/>
      </c>
      <c r="R249" s="35">
        <f>IF($T249="","",INDEX(案件入力!$R$2:$R$301,$T249-1))</f>
        <v/>
      </c>
      <c r="S249" s="35">
        <f>IF($T249="","",INDEX(案件入力!$S$2:$S$301,$T249-1))</f>
        <v/>
      </c>
      <c r="T249">
        <f t="array" ref="T249">IFERROR(SMALL(IF((案件入力!$A$2:$A$301&lt;&gt;"")*(案件入力!$R$2:$R$301&lt;&gt;"完了"),ROW(案件入力!$A$2:$A$301)),ROW()-1),"")</f>
        <v/>
      </c>
    </row>
    <row r="250">
      <c r="A250" s="35">
        <f>IF($T250="","",INDEX(案件入力!$A$2:$A$301,$T250-1))</f>
        <v/>
      </c>
      <c r="B250" s="36">
        <f>IF($T250="","",INDEX(案件入力!$B$2:$B$301,$T250-1))</f>
        <v/>
      </c>
      <c r="C250" s="35">
        <f>IF($T250="","",INDEX(案件入力!$C$2:$C$301,$T250-1))</f>
        <v/>
      </c>
      <c r="D250" s="37">
        <f>IF($T250="","",INDEX(案件入力!$D$2:$D$301,$T250-1))</f>
        <v/>
      </c>
      <c r="E250" s="35">
        <f>IF($T250="","",INDEX(案件入力!$E$2:$E$301,$T250-1))</f>
        <v/>
      </c>
      <c r="F250" s="35">
        <f>IF($T250="","",INDEX(案件入力!$F$2:$F$301,$T250-1))</f>
        <v/>
      </c>
      <c r="G250" s="35">
        <f>IF($T250="","",INDEX(案件入力!$G$2:$G$301,$T250-1))</f>
        <v/>
      </c>
      <c r="H250" s="49">
        <f>IF($T250="","",INDEX(案件入力!$H$2:$H$301,$T250-1))</f>
        <v/>
      </c>
      <c r="I250" s="49">
        <f>IF($T250="","",INDEX(案件入力!$I$2:$I$301,$T250-1))</f>
        <v/>
      </c>
      <c r="J250" s="39">
        <f>IF($T250="","",INDEX(案件入力!$J$2:$J$301,$T250-1))</f>
        <v/>
      </c>
      <c r="K250" s="36">
        <f>IF($T250="","",INDEX(案件入力!$K$2:$K$301,$T250-1))</f>
        <v/>
      </c>
      <c r="L250" s="49">
        <f>IF($T250="","",INDEX(案件入力!$L$2:$L$301,$T250-1))</f>
        <v/>
      </c>
      <c r="M250" s="49">
        <f>IF($T250="","",INDEX(案件入力!$M$2:$M$301,$T250-1))</f>
        <v/>
      </c>
      <c r="N250" s="39">
        <f>IF($T250="","",INDEX(案件入力!$N$2:$N$301,$T250-1))</f>
        <v/>
      </c>
      <c r="O250" s="36">
        <f>IF($T250="","",INDEX(案件入力!$O$2:$O$301,$T250-1))</f>
        <v/>
      </c>
      <c r="P250" s="37">
        <f>IF($T250="","",INDEX(案件入力!$P$2:$P$301,$T250-1))</f>
        <v/>
      </c>
      <c r="Q250" s="35">
        <f>IF($T250="","",INDEX(案件入力!$Q$2:$Q$301,$T250-1))</f>
        <v/>
      </c>
      <c r="R250" s="35">
        <f>IF($T250="","",INDEX(案件入力!$R$2:$R$301,$T250-1))</f>
        <v/>
      </c>
      <c r="S250" s="35">
        <f>IF($T250="","",INDEX(案件入力!$S$2:$S$301,$T250-1))</f>
        <v/>
      </c>
      <c r="T250">
        <f t="array" ref="T250">IFERROR(SMALL(IF((案件入力!$A$2:$A$301&lt;&gt;"")*(案件入力!$R$2:$R$301&lt;&gt;"完了"),ROW(案件入力!$A$2:$A$301)),ROW()-1),"")</f>
        <v/>
      </c>
    </row>
    <row r="251">
      <c r="A251" s="35">
        <f>IF($T251="","",INDEX(案件入力!$A$2:$A$301,$T251-1))</f>
        <v/>
      </c>
      <c r="B251" s="36">
        <f>IF($T251="","",INDEX(案件入力!$B$2:$B$301,$T251-1))</f>
        <v/>
      </c>
      <c r="C251" s="35">
        <f>IF($T251="","",INDEX(案件入力!$C$2:$C$301,$T251-1))</f>
        <v/>
      </c>
      <c r="D251" s="37">
        <f>IF($T251="","",INDEX(案件入力!$D$2:$D$301,$T251-1))</f>
        <v/>
      </c>
      <c r="E251" s="35">
        <f>IF($T251="","",INDEX(案件入力!$E$2:$E$301,$T251-1))</f>
        <v/>
      </c>
      <c r="F251" s="35">
        <f>IF($T251="","",INDEX(案件入力!$F$2:$F$301,$T251-1))</f>
        <v/>
      </c>
      <c r="G251" s="35">
        <f>IF($T251="","",INDEX(案件入力!$G$2:$G$301,$T251-1))</f>
        <v/>
      </c>
      <c r="H251" s="49">
        <f>IF($T251="","",INDEX(案件入力!$H$2:$H$301,$T251-1))</f>
        <v/>
      </c>
      <c r="I251" s="49">
        <f>IF($T251="","",INDEX(案件入力!$I$2:$I$301,$T251-1))</f>
        <v/>
      </c>
      <c r="J251" s="39">
        <f>IF($T251="","",INDEX(案件入力!$J$2:$J$301,$T251-1))</f>
        <v/>
      </c>
      <c r="K251" s="36">
        <f>IF($T251="","",INDEX(案件入力!$K$2:$K$301,$T251-1))</f>
        <v/>
      </c>
      <c r="L251" s="49">
        <f>IF($T251="","",INDEX(案件入力!$L$2:$L$301,$T251-1))</f>
        <v/>
      </c>
      <c r="M251" s="49">
        <f>IF($T251="","",INDEX(案件入力!$M$2:$M$301,$T251-1))</f>
        <v/>
      </c>
      <c r="N251" s="39">
        <f>IF($T251="","",INDEX(案件入力!$N$2:$N$301,$T251-1))</f>
        <v/>
      </c>
      <c r="O251" s="36">
        <f>IF($T251="","",INDEX(案件入力!$O$2:$O$301,$T251-1))</f>
        <v/>
      </c>
      <c r="P251" s="37">
        <f>IF($T251="","",INDEX(案件入力!$P$2:$P$301,$T251-1))</f>
        <v/>
      </c>
      <c r="Q251" s="35">
        <f>IF($T251="","",INDEX(案件入力!$Q$2:$Q$301,$T251-1))</f>
        <v/>
      </c>
      <c r="R251" s="35">
        <f>IF($T251="","",INDEX(案件入力!$R$2:$R$301,$T251-1))</f>
        <v/>
      </c>
      <c r="S251" s="35">
        <f>IF($T251="","",INDEX(案件入力!$S$2:$S$301,$T251-1))</f>
        <v/>
      </c>
      <c r="T251">
        <f t="array" ref="T251">IFERROR(SMALL(IF((案件入力!$A$2:$A$301&lt;&gt;"")*(案件入力!$R$2:$R$301&lt;&gt;"完了"),ROW(案件入力!$A$2:$A$301)),ROW()-1),"")</f>
        <v/>
      </c>
    </row>
    <row r="252">
      <c r="A252" s="35">
        <f>IF($T252="","",INDEX(案件入力!$A$2:$A$301,$T252-1))</f>
        <v/>
      </c>
      <c r="B252" s="36">
        <f>IF($T252="","",INDEX(案件入力!$B$2:$B$301,$T252-1))</f>
        <v/>
      </c>
      <c r="C252" s="35">
        <f>IF($T252="","",INDEX(案件入力!$C$2:$C$301,$T252-1))</f>
        <v/>
      </c>
      <c r="D252" s="37">
        <f>IF($T252="","",INDEX(案件入力!$D$2:$D$301,$T252-1))</f>
        <v/>
      </c>
      <c r="E252" s="35">
        <f>IF($T252="","",INDEX(案件入力!$E$2:$E$301,$T252-1))</f>
        <v/>
      </c>
      <c r="F252" s="35">
        <f>IF($T252="","",INDEX(案件入力!$F$2:$F$301,$T252-1))</f>
        <v/>
      </c>
      <c r="G252" s="35">
        <f>IF($T252="","",INDEX(案件入力!$G$2:$G$301,$T252-1))</f>
        <v/>
      </c>
      <c r="H252" s="49">
        <f>IF($T252="","",INDEX(案件入力!$H$2:$H$301,$T252-1))</f>
        <v/>
      </c>
      <c r="I252" s="49">
        <f>IF($T252="","",INDEX(案件入力!$I$2:$I$301,$T252-1))</f>
        <v/>
      </c>
      <c r="J252" s="39">
        <f>IF($T252="","",INDEX(案件入力!$J$2:$J$301,$T252-1))</f>
        <v/>
      </c>
      <c r="K252" s="36">
        <f>IF($T252="","",INDEX(案件入力!$K$2:$K$301,$T252-1))</f>
        <v/>
      </c>
      <c r="L252" s="49">
        <f>IF($T252="","",INDEX(案件入力!$L$2:$L$301,$T252-1))</f>
        <v/>
      </c>
      <c r="M252" s="49">
        <f>IF($T252="","",INDEX(案件入力!$M$2:$M$301,$T252-1))</f>
        <v/>
      </c>
      <c r="N252" s="39">
        <f>IF($T252="","",INDEX(案件入力!$N$2:$N$301,$T252-1))</f>
        <v/>
      </c>
      <c r="O252" s="36">
        <f>IF($T252="","",INDEX(案件入力!$O$2:$O$301,$T252-1))</f>
        <v/>
      </c>
      <c r="P252" s="37">
        <f>IF($T252="","",INDEX(案件入力!$P$2:$P$301,$T252-1))</f>
        <v/>
      </c>
      <c r="Q252" s="35">
        <f>IF($T252="","",INDEX(案件入力!$Q$2:$Q$301,$T252-1))</f>
        <v/>
      </c>
      <c r="R252" s="35">
        <f>IF($T252="","",INDEX(案件入力!$R$2:$R$301,$T252-1))</f>
        <v/>
      </c>
      <c r="S252" s="35">
        <f>IF($T252="","",INDEX(案件入力!$S$2:$S$301,$T252-1))</f>
        <v/>
      </c>
      <c r="T252">
        <f t="array" ref="T252">IFERROR(SMALL(IF((案件入力!$A$2:$A$301&lt;&gt;"")*(案件入力!$R$2:$R$301&lt;&gt;"完了"),ROW(案件入力!$A$2:$A$301)),ROW()-1),"")</f>
        <v/>
      </c>
    </row>
    <row r="253">
      <c r="A253" s="35">
        <f>IF($T253="","",INDEX(案件入力!$A$2:$A$301,$T253-1))</f>
        <v/>
      </c>
      <c r="B253" s="36">
        <f>IF($T253="","",INDEX(案件入力!$B$2:$B$301,$T253-1))</f>
        <v/>
      </c>
      <c r="C253" s="35">
        <f>IF($T253="","",INDEX(案件入力!$C$2:$C$301,$T253-1))</f>
        <v/>
      </c>
      <c r="D253" s="37">
        <f>IF($T253="","",INDEX(案件入力!$D$2:$D$301,$T253-1))</f>
        <v/>
      </c>
      <c r="E253" s="35">
        <f>IF($T253="","",INDEX(案件入力!$E$2:$E$301,$T253-1))</f>
        <v/>
      </c>
      <c r="F253" s="35">
        <f>IF($T253="","",INDEX(案件入力!$F$2:$F$301,$T253-1))</f>
        <v/>
      </c>
      <c r="G253" s="35">
        <f>IF($T253="","",INDEX(案件入力!$G$2:$G$301,$T253-1))</f>
        <v/>
      </c>
      <c r="H253" s="49">
        <f>IF($T253="","",INDEX(案件入力!$H$2:$H$301,$T253-1))</f>
        <v/>
      </c>
      <c r="I253" s="49">
        <f>IF($T253="","",INDEX(案件入力!$I$2:$I$301,$T253-1))</f>
        <v/>
      </c>
      <c r="J253" s="39">
        <f>IF($T253="","",INDEX(案件入力!$J$2:$J$301,$T253-1))</f>
        <v/>
      </c>
      <c r="K253" s="36">
        <f>IF($T253="","",INDEX(案件入力!$K$2:$K$301,$T253-1))</f>
        <v/>
      </c>
      <c r="L253" s="49">
        <f>IF($T253="","",INDEX(案件入力!$L$2:$L$301,$T253-1))</f>
        <v/>
      </c>
      <c r="M253" s="49">
        <f>IF($T253="","",INDEX(案件入力!$M$2:$M$301,$T253-1))</f>
        <v/>
      </c>
      <c r="N253" s="39">
        <f>IF($T253="","",INDEX(案件入力!$N$2:$N$301,$T253-1))</f>
        <v/>
      </c>
      <c r="O253" s="36">
        <f>IF($T253="","",INDEX(案件入力!$O$2:$O$301,$T253-1))</f>
        <v/>
      </c>
      <c r="P253" s="37">
        <f>IF($T253="","",INDEX(案件入力!$P$2:$P$301,$T253-1))</f>
        <v/>
      </c>
      <c r="Q253" s="35">
        <f>IF($T253="","",INDEX(案件入力!$Q$2:$Q$301,$T253-1))</f>
        <v/>
      </c>
      <c r="R253" s="35">
        <f>IF($T253="","",INDEX(案件入力!$R$2:$R$301,$T253-1))</f>
        <v/>
      </c>
      <c r="S253" s="35">
        <f>IF($T253="","",INDEX(案件入力!$S$2:$S$301,$T253-1))</f>
        <v/>
      </c>
      <c r="T253">
        <f t="array" ref="T253">IFERROR(SMALL(IF((案件入力!$A$2:$A$301&lt;&gt;"")*(案件入力!$R$2:$R$301&lt;&gt;"完了"),ROW(案件入力!$A$2:$A$301)),ROW()-1),"")</f>
        <v/>
      </c>
    </row>
    <row r="254">
      <c r="A254" s="35">
        <f>IF($T254="","",INDEX(案件入力!$A$2:$A$301,$T254-1))</f>
        <v/>
      </c>
      <c r="B254" s="36">
        <f>IF($T254="","",INDEX(案件入力!$B$2:$B$301,$T254-1))</f>
        <v/>
      </c>
      <c r="C254" s="35">
        <f>IF($T254="","",INDEX(案件入力!$C$2:$C$301,$T254-1))</f>
        <v/>
      </c>
      <c r="D254" s="37">
        <f>IF($T254="","",INDEX(案件入力!$D$2:$D$301,$T254-1))</f>
        <v/>
      </c>
      <c r="E254" s="35">
        <f>IF($T254="","",INDEX(案件入力!$E$2:$E$301,$T254-1))</f>
        <v/>
      </c>
      <c r="F254" s="35">
        <f>IF($T254="","",INDEX(案件入力!$F$2:$F$301,$T254-1))</f>
        <v/>
      </c>
      <c r="G254" s="35">
        <f>IF($T254="","",INDEX(案件入力!$G$2:$G$301,$T254-1))</f>
        <v/>
      </c>
      <c r="H254" s="49">
        <f>IF($T254="","",INDEX(案件入力!$H$2:$H$301,$T254-1))</f>
        <v/>
      </c>
      <c r="I254" s="49">
        <f>IF($T254="","",INDEX(案件入力!$I$2:$I$301,$T254-1))</f>
        <v/>
      </c>
      <c r="J254" s="39">
        <f>IF($T254="","",INDEX(案件入力!$J$2:$J$301,$T254-1))</f>
        <v/>
      </c>
      <c r="K254" s="36">
        <f>IF($T254="","",INDEX(案件入力!$K$2:$K$301,$T254-1))</f>
        <v/>
      </c>
      <c r="L254" s="49">
        <f>IF($T254="","",INDEX(案件入力!$L$2:$L$301,$T254-1))</f>
        <v/>
      </c>
      <c r="M254" s="49">
        <f>IF($T254="","",INDEX(案件入力!$M$2:$M$301,$T254-1))</f>
        <v/>
      </c>
      <c r="N254" s="39">
        <f>IF($T254="","",INDEX(案件入力!$N$2:$N$301,$T254-1))</f>
        <v/>
      </c>
      <c r="O254" s="36">
        <f>IF($T254="","",INDEX(案件入力!$O$2:$O$301,$T254-1))</f>
        <v/>
      </c>
      <c r="P254" s="37">
        <f>IF($T254="","",INDEX(案件入力!$P$2:$P$301,$T254-1))</f>
        <v/>
      </c>
      <c r="Q254" s="35">
        <f>IF($T254="","",INDEX(案件入力!$Q$2:$Q$301,$T254-1))</f>
        <v/>
      </c>
      <c r="R254" s="35">
        <f>IF($T254="","",INDEX(案件入力!$R$2:$R$301,$T254-1))</f>
        <v/>
      </c>
      <c r="S254" s="35">
        <f>IF($T254="","",INDEX(案件入力!$S$2:$S$301,$T254-1))</f>
        <v/>
      </c>
      <c r="T254">
        <f t="array" ref="T254">IFERROR(SMALL(IF((案件入力!$A$2:$A$301&lt;&gt;"")*(案件入力!$R$2:$R$301&lt;&gt;"完了"),ROW(案件入力!$A$2:$A$301)),ROW()-1),"")</f>
        <v/>
      </c>
    </row>
    <row r="255">
      <c r="A255" s="35">
        <f>IF($T255="","",INDEX(案件入力!$A$2:$A$301,$T255-1))</f>
        <v/>
      </c>
      <c r="B255" s="36">
        <f>IF($T255="","",INDEX(案件入力!$B$2:$B$301,$T255-1))</f>
        <v/>
      </c>
      <c r="C255" s="35">
        <f>IF($T255="","",INDEX(案件入力!$C$2:$C$301,$T255-1))</f>
        <v/>
      </c>
      <c r="D255" s="37">
        <f>IF($T255="","",INDEX(案件入力!$D$2:$D$301,$T255-1))</f>
        <v/>
      </c>
      <c r="E255" s="35">
        <f>IF($T255="","",INDEX(案件入力!$E$2:$E$301,$T255-1))</f>
        <v/>
      </c>
      <c r="F255" s="35">
        <f>IF($T255="","",INDEX(案件入力!$F$2:$F$301,$T255-1))</f>
        <v/>
      </c>
      <c r="G255" s="35">
        <f>IF($T255="","",INDEX(案件入力!$G$2:$G$301,$T255-1))</f>
        <v/>
      </c>
      <c r="H255" s="49">
        <f>IF($T255="","",INDEX(案件入力!$H$2:$H$301,$T255-1))</f>
        <v/>
      </c>
      <c r="I255" s="49">
        <f>IF($T255="","",INDEX(案件入力!$I$2:$I$301,$T255-1))</f>
        <v/>
      </c>
      <c r="J255" s="39">
        <f>IF($T255="","",INDEX(案件入力!$J$2:$J$301,$T255-1))</f>
        <v/>
      </c>
      <c r="K255" s="36">
        <f>IF($T255="","",INDEX(案件入力!$K$2:$K$301,$T255-1))</f>
        <v/>
      </c>
      <c r="L255" s="49">
        <f>IF($T255="","",INDEX(案件入力!$L$2:$L$301,$T255-1))</f>
        <v/>
      </c>
      <c r="M255" s="49">
        <f>IF($T255="","",INDEX(案件入力!$M$2:$M$301,$T255-1))</f>
        <v/>
      </c>
      <c r="N255" s="39">
        <f>IF($T255="","",INDEX(案件入力!$N$2:$N$301,$T255-1))</f>
        <v/>
      </c>
      <c r="O255" s="36">
        <f>IF($T255="","",INDEX(案件入力!$O$2:$O$301,$T255-1))</f>
        <v/>
      </c>
      <c r="P255" s="37">
        <f>IF($T255="","",INDEX(案件入力!$P$2:$P$301,$T255-1))</f>
        <v/>
      </c>
      <c r="Q255" s="35">
        <f>IF($T255="","",INDEX(案件入力!$Q$2:$Q$301,$T255-1))</f>
        <v/>
      </c>
      <c r="R255" s="35">
        <f>IF($T255="","",INDEX(案件入力!$R$2:$R$301,$T255-1))</f>
        <v/>
      </c>
      <c r="S255" s="35">
        <f>IF($T255="","",INDEX(案件入力!$S$2:$S$301,$T255-1))</f>
        <v/>
      </c>
      <c r="T255">
        <f t="array" ref="T255">IFERROR(SMALL(IF((案件入力!$A$2:$A$301&lt;&gt;"")*(案件入力!$R$2:$R$301&lt;&gt;"完了"),ROW(案件入力!$A$2:$A$301)),ROW()-1),"")</f>
        <v/>
      </c>
    </row>
    <row r="256">
      <c r="A256" s="35">
        <f>IF($T256="","",INDEX(案件入力!$A$2:$A$301,$T256-1))</f>
        <v/>
      </c>
      <c r="B256" s="36">
        <f>IF($T256="","",INDEX(案件入力!$B$2:$B$301,$T256-1))</f>
        <v/>
      </c>
      <c r="C256" s="35">
        <f>IF($T256="","",INDEX(案件入力!$C$2:$C$301,$T256-1))</f>
        <v/>
      </c>
      <c r="D256" s="37">
        <f>IF($T256="","",INDEX(案件入力!$D$2:$D$301,$T256-1))</f>
        <v/>
      </c>
      <c r="E256" s="35">
        <f>IF($T256="","",INDEX(案件入力!$E$2:$E$301,$T256-1))</f>
        <v/>
      </c>
      <c r="F256" s="35">
        <f>IF($T256="","",INDEX(案件入力!$F$2:$F$301,$T256-1))</f>
        <v/>
      </c>
      <c r="G256" s="35">
        <f>IF($T256="","",INDEX(案件入力!$G$2:$G$301,$T256-1))</f>
        <v/>
      </c>
      <c r="H256" s="49">
        <f>IF($T256="","",INDEX(案件入力!$H$2:$H$301,$T256-1))</f>
        <v/>
      </c>
      <c r="I256" s="49">
        <f>IF($T256="","",INDEX(案件入力!$I$2:$I$301,$T256-1))</f>
        <v/>
      </c>
      <c r="J256" s="39">
        <f>IF($T256="","",INDEX(案件入力!$J$2:$J$301,$T256-1))</f>
        <v/>
      </c>
      <c r="K256" s="36">
        <f>IF($T256="","",INDEX(案件入力!$K$2:$K$301,$T256-1))</f>
        <v/>
      </c>
      <c r="L256" s="49">
        <f>IF($T256="","",INDEX(案件入力!$L$2:$L$301,$T256-1))</f>
        <v/>
      </c>
      <c r="M256" s="49">
        <f>IF($T256="","",INDEX(案件入力!$M$2:$M$301,$T256-1))</f>
        <v/>
      </c>
      <c r="N256" s="39">
        <f>IF($T256="","",INDEX(案件入力!$N$2:$N$301,$T256-1))</f>
        <v/>
      </c>
      <c r="O256" s="36">
        <f>IF($T256="","",INDEX(案件入力!$O$2:$O$301,$T256-1))</f>
        <v/>
      </c>
      <c r="P256" s="37">
        <f>IF($T256="","",INDEX(案件入力!$P$2:$P$301,$T256-1))</f>
        <v/>
      </c>
      <c r="Q256" s="35">
        <f>IF($T256="","",INDEX(案件入力!$Q$2:$Q$301,$T256-1))</f>
        <v/>
      </c>
      <c r="R256" s="35">
        <f>IF($T256="","",INDEX(案件入力!$R$2:$R$301,$T256-1))</f>
        <v/>
      </c>
      <c r="S256" s="35">
        <f>IF($T256="","",INDEX(案件入力!$S$2:$S$301,$T256-1))</f>
        <v/>
      </c>
      <c r="T256">
        <f t="array" ref="T256">IFERROR(SMALL(IF((案件入力!$A$2:$A$301&lt;&gt;"")*(案件入力!$R$2:$R$301&lt;&gt;"完了"),ROW(案件入力!$A$2:$A$301)),ROW()-1),"")</f>
        <v/>
      </c>
    </row>
    <row r="257">
      <c r="A257" s="35">
        <f>IF($T257="","",INDEX(案件入力!$A$2:$A$301,$T257-1))</f>
        <v/>
      </c>
      <c r="B257" s="36">
        <f>IF($T257="","",INDEX(案件入力!$B$2:$B$301,$T257-1))</f>
        <v/>
      </c>
      <c r="C257" s="35">
        <f>IF($T257="","",INDEX(案件入力!$C$2:$C$301,$T257-1))</f>
        <v/>
      </c>
      <c r="D257" s="37">
        <f>IF($T257="","",INDEX(案件入力!$D$2:$D$301,$T257-1))</f>
        <v/>
      </c>
      <c r="E257" s="35">
        <f>IF($T257="","",INDEX(案件入力!$E$2:$E$301,$T257-1))</f>
        <v/>
      </c>
      <c r="F257" s="35">
        <f>IF($T257="","",INDEX(案件入力!$F$2:$F$301,$T257-1))</f>
        <v/>
      </c>
      <c r="G257" s="35">
        <f>IF($T257="","",INDEX(案件入力!$G$2:$G$301,$T257-1))</f>
        <v/>
      </c>
      <c r="H257" s="49">
        <f>IF($T257="","",INDEX(案件入力!$H$2:$H$301,$T257-1))</f>
        <v/>
      </c>
      <c r="I257" s="49">
        <f>IF($T257="","",INDEX(案件入力!$I$2:$I$301,$T257-1))</f>
        <v/>
      </c>
      <c r="J257" s="39">
        <f>IF($T257="","",INDEX(案件入力!$J$2:$J$301,$T257-1))</f>
        <v/>
      </c>
      <c r="K257" s="36">
        <f>IF($T257="","",INDEX(案件入力!$K$2:$K$301,$T257-1))</f>
        <v/>
      </c>
      <c r="L257" s="49">
        <f>IF($T257="","",INDEX(案件入力!$L$2:$L$301,$T257-1))</f>
        <v/>
      </c>
      <c r="M257" s="49">
        <f>IF($T257="","",INDEX(案件入力!$M$2:$M$301,$T257-1))</f>
        <v/>
      </c>
      <c r="N257" s="39">
        <f>IF($T257="","",INDEX(案件入力!$N$2:$N$301,$T257-1))</f>
        <v/>
      </c>
      <c r="O257" s="36">
        <f>IF($T257="","",INDEX(案件入力!$O$2:$O$301,$T257-1))</f>
        <v/>
      </c>
      <c r="P257" s="37">
        <f>IF($T257="","",INDEX(案件入力!$P$2:$P$301,$T257-1))</f>
        <v/>
      </c>
      <c r="Q257" s="35">
        <f>IF($T257="","",INDEX(案件入力!$Q$2:$Q$301,$T257-1))</f>
        <v/>
      </c>
      <c r="R257" s="35">
        <f>IF($T257="","",INDEX(案件入力!$R$2:$R$301,$T257-1))</f>
        <v/>
      </c>
      <c r="S257" s="35">
        <f>IF($T257="","",INDEX(案件入力!$S$2:$S$301,$T257-1))</f>
        <v/>
      </c>
      <c r="T257">
        <f t="array" ref="T257">IFERROR(SMALL(IF((案件入力!$A$2:$A$301&lt;&gt;"")*(案件入力!$R$2:$R$301&lt;&gt;"完了"),ROW(案件入力!$A$2:$A$301)),ROW()-1),"")</f>
        <v/>
      </c>
    </row>
    <row r="258">
      <c r="A258" s="35">
        <f>IF($T258="","",INDEX(案件入力!$A$2:$A$301,$T258-1))</f>
        <v/>
      </c>
      <c r="B258" s="36">
        <f>IF($T258="","",INDEX(案件入力!$B$2:$B$301,$T258-1))</f>
        <v/>
      </c>
      <c r="C258" s="35">
        <f>IF($T258="","",INDEX(案件入力!$C$2:$C$301,$T258-1))</f>
        <v/>
      </c>
      <c r="D258" s="37">
        <f>IF($T258="","",INDEX(案件入力!$D$2:$D$301,$T258-1))</f>
        <v/>
      </c>
      <c r="E258" s="35">
        <f>IF($T258="","",INDEX(案件入力!$E$2:$E$301,$T258-1))</f>
        <v/>
      </c>
      <c r="F258" s="35">
        <f>IF($T258="","",INDEX(案件入力!$F$2:$F$301,$T258-1))</f>
        <v/>
      </c>
      <c r="G258" s="35">
        <f>IF($T258="","",INDEX(案件入力!$G$2:$G$301,$T258-1))</f>
        <v/>
      </c>
      <c r="H258" s="49">
        <f>IF($T258="","",INDEX(案件入力!$H$2:$H$301,$T258-1))</f>
        <v/>
      </c>
      <c r="I258" s="49">
        <f>IF($T258="","",INDEX(案件入力!$I$2:$I$301,$T258-1))</f>
        <v/>
      </c>
      <c r="J258" s="39">
        <f>IF($T258="","",INDEX(案件入力!$J$2:$J$301,$T258-1))</f>
        <v/>
      </c>
      <c r="K258" s="36">
        <f>IF($T258="","",INDEX(案件入力!$K$2:$K$301,$T258-1))</f>
        <v/>
      </c>
      <c r="L258" s="49">
        <f>IF($T258="","",INDEX(案件入力!$L$2:$L$301,$T258-1))</f>
        <v/>
      </c>
      <c r="M258" s="49">
        <f>IF($T258="","",INDEX(案件入力!$M$2:$M$301,$T258-1))</f>
        <v/>
      </c>
      <c r="N258" s="39">
        <f>IF($T258="","",INDEX(案件入力!$N$2:$N$301,$T258-1))</f>
        <v/>
      </c>
      <c r="O258" s="36">
        <f>IF($T258="","",INDEX(案件入力!$O$2:$O$301,$T258-1))</f>
        <v/>
      </c>
      <c r="P258" s="37">
        <f>IF($T258="","",INDEX(案件入力!$P$2:$P$301,$T258-1))</f>
        <v/>
      </c>
      <c r="Q258" s="35">
        <f>IF($T258="","",INDEX(案件入力!$Q$2:$Q$301,$T258-1))</f>
        <v/>
      </c>
      <c r="R258" s="35">
        <f>IF($T258="","",INDEX(案件入力!$R$2:$R$301,$T258-1))</f>
        <v/>
      </c>
      <c r="S258" s="35">
        <f>IF($T258="","",INDEX(案件入力!$S$2:$S$301,$T258-1))</f>
        <v/>
      </c>
      <c r="T258">
        <f t="array" ref="T258">IFERROR(SMALL(IF((案件入力!$A$2:$A$301&lt;&gt;"")*(案件入力!$R$2:$R$301&lt;&gt;"完了"),ROW(案件入力!$A$2:$A$301)),ROW()-1),"")</f>
        <v/>
      </c>
    </row>
    <row r="259">
      <c r="A259" s="35">
        <f>IF($T259="","",INDEX(案件入力!$A$2:$A$301,$T259-1))</f>
        <v/>
      </c>
      <c r="B259" s="36">
        <f>IF($T259="","",INDEX(案件入力!$B$2:$B$301,$T259-1))</f>
        <v/>
      </c>
      <c r="C259" s="35">
        <f>IF($T259="","",INDEX(案件入力!$C$2:$C$301,$T259-1))</f>
        <v/>
      </c>
      <c r="D259" s="37">
        <f>IF($T259="","",INDEX(案件入力!$D$2:$D$301,$T259-1))</f>
        <v/>
      </c>
      <c r="E259" s="35">
        <f>IF($T259="","",INDEX(案件入力!$E$2:$E$301,$T259-1))</f>
        <v/>
      </c>
      <c r="F259" s="35">
        <f>IF($T259="","",INDEX(案件入力!$F$2:$F$301,$T259-1))</f>
        <v/>
      </c>
      <c r="G259" s="35">
        <f>IF($T259="","",INDEX(案件入力!$G$2:$G$301,$T259-1))</f>
        <v/>
      </c>
      <c r="H259" s="49">
        <f>IF($T259="","",INDEX(案件入力!$H$2:$H$301,$T259-1))</f>
        <v/>
      </c>
      <c r="I259" s="49">
        <f>IF($T259="","",INDEX(案件入力!$I$2:$I$301,$T259-1))</f>
        <v/>
      </c>
      <c r="J259" s="39">
        <f>IF($T259="","",INDEX(案件入力!$J$2:$J$301,$T259-1))</f>
        <v/>
      </c>
      <c r="K259" s="36">
        <f>IF($T259="","",INDEX(案件入力!$K$2:$K$301,$T259-1))</f>
        <v/>
      </c>
      <c r="L259" s="49">
        <f>IF($T259="","",INDEX(案件入力!$L$2:$L$301,$T259-1))</f>
        <v/>
      </c>
      <c r="M259" s="49">
        <f>IF($T259="","",INDEX(案件入力!$M$2:$M$301,$T259-1))</f>
        <v/>
      </c>
      <c r="N259" s="39">
        <f>IF($T259="","",INDEX(案件入力!$N$2:$N$301,$T259-1))</f>
        <v/>
      </c>
      <c r="O259" s="36">
        <f>IF($T259="","",INDEX(案件入力!$O$2:$O$301,$T259-1))</f>
        <v/>
      </c>
      <c r="P259" s="37">
        <f>IF($T259="","",INDEX(案件入力!$P$2:$P$301,$T259-1))</f>
        <v/>
      </c>
      <c r="Q259" s="35">
        <f>IF($T259="","",INDEX(案件入力!$Q$2:$Q$301,$T259-1))</f>
        <v/>
      </c>
      <c r="R259" s="35">
        <f>IF($T259="","",INDEX(案件入力!$R$2:$R$301,$T259-1))</f>
        <v/>
      </c>
      <c r="S259" s="35">
        <f>IF($T259="","",INDEX(案件入力!$S$2:$S$301,$T259-1))</f>
        <v/>
      </c>
      <c r="T259">
        <f t="array" ref="T259">IFERROR(SMALL(IF((案件入力!$A$2:$A$301&lt;&gt;"")*(案件入力!$R$2:$R$301&lt;&gt;"完了"),ROW(案件入力!$A$2:$A$301)),ROW()-1),"")</f>
        <v/>
      </c>
    </row>
    <row r="260">
      <c r="A260" s="35">
        <f>IF($T260="","",INDEX(案件入力!$A$2:$A$301,$T260-1))</f>
        <v/>
      </c>
      <c r="B260" s="36">
        <f>IF($T260="","",INDEX(案件入力!$B$2:$B$301,$T260-1))</f>
        <v/>
      </c>
      <c r="C260" s="35">
        <f>IF($T260="","",INDEX(案件入力!$C$2:$C$301,$T260-1))</f>
        <v/>
      </c>
      <c r="D260" s="37">
        <f>IF($T260="","",INDEX(案件入力!$D$2:$D$301,$T260-1))</f>
        <v/>
      </c>
      <c r="E260" s="35">
        <f>IF($T260="","",INDEX(案件入力!$E$2:$E$301,$T260-1))</f>
        <v/>
      </c>
      <c r="F260" s="35">
        <f>IF($T260="","",INDEX(案件入力!$F$2:$F$301,$T260-1))</f>
        <v/>
      </c>
      <c r="G260" s="35">
        <f>IF($T260="","",INDEX(案件入力!$G$2:$G$301,$T260-1))</f>
        <v/>
      </c>
      <c r="H260" s="49">
        <f>IF($T260="","",INDEX(案件入力!$H$2:$H$301,$T260-1))</f>
        <v/>
      </c>
      <c r="I260" s="49">
        <f>IF($T260="","",INDEX(案件入力!$I$2:$I$301,$T260-1))</f>
        <v/>
      </c>
      <c r="J260" s="39">
        <f>IF($T260="","",INDEX(案件入力!$J$2:$J$301,$T260-1))</f>
        <v/>
      </c>
      <c r="K260" s="36">
        <f>IF($T260="","",INDEX(案件入力!$K$2:$K$301,$T260-1))</f>
        <v/>
      </c>
      <c r="L260" s="49">
        <f>IF($T260="","",INDEX(案件入力!$L$2:$L$301,$T260-1))</f>
        <v/>
      </c>
      <c r="M260" s="49">
        <f>IF($T260="","",INDEX(案件入力!$M$2:$M$301,$T260-1))</f>
        <v/>
      </c>
      <c r="N260" s="39">
        <f>IF($T260="","",INDEX(案件入力!$N$2:$N$301,$T260-1))</f>
        <v/>
      </c>
      <c r="O260" s="36">
        <f>IF($T260="","",INDEX(案件入力!$O$2:$O$301,$T260-1))</f>
        <v/>
      </c>
      <c r="P260" s="37">
        <f>IF($T260="","",INDEX(案件入力!$P$2:$P$301,$T260-1))</f>
        <v/>
      </c>
      <c r="Q260" s="35">
        <f>IF($T260="","",INDEX(案件入力!$Q$2:$Q$301,$T260-1))</f>
        <v/>
      </c>
      <c r="R260" s="35">
        <f>IF($T260="","",INDEX(案件入力!$R$2:$R$301,$T260-1))</f>
        <v/>
      </c>
      <c r="S260" s="35">
        <f>IF($T260="","",INDEX(案件入力!$S$2:$S$301,$T260-1))</f>
        <v/>
      </c>
      <c r="T260">
        <f t="array" ref="T260">IFERROR(SMALL(IF((案件入力!$A$2:$A$301&lt;&gt;"")*(案件入力!$R$2:$R$301&lt;&gt;"完了"),ROW(案件入力!$A$2:$A$301)),ROW()-1),"")</f>
        <v/>
      </c>
    </row>
    <row r="261">
      <c r="A261" s="35">
        <f>IF($T261="","",INDEX(案件入力!$A$2:$A$301,$T261-1))</f>
        <v/>
      </c>
      <c r="B261" s="36">
        <f>IF($T261="","",INDEX(案件入力!$B$2:$B$301,$T261-1))</f>
        <v/>
      </c>
      <c r="C261" s="35">
        <f>IF($T261="","",INDEX(案件入力!$C$2:$C$301,$T261-1))</f>
        <v/>
      </c>
      <c r="D261" s="37">
        <f>IF($T261="","",INDEX(案件入力!$D$2:$D$301,$T261-1))</f>
        <v/>
      </c>
      <c r="E261" s="35">
        <f>IF($T261="","",INDEX(案件入力!$E$2:$E$301,$T261-1))</f>
        <v/>
      </c>
      <c r="F261" s="35">
        <f>IF($T261="","",INDEX(案件入力!$F$2:$F$301,$T261-1))</f>
        <v/>
      </c>
      <c r="G261" s="35">
        <f>IF($T261="","",INDEX(案件入力!$G$2:$G$301,$T261-1))</f>
        <v/>
      </c>
      <c r="H261" s="49">
        <f>IF($T261="","",INDEX(案件入力!$H$2:$H$301,$T261-1))</f>
        <v/>
      </c>
      <c r="I261" s="49">
        <f>IF($T261="","",INDEX(案件入力!$I$2:$I$301,$T261-1))</f>
        <v/>
      </c>
      <c r="J261" s="39">
        <f>IF($T261="","",INDEX(案件入力!$J$2:$J$301,$T261-1))</f>
        <v/>
      </c>
      <c r="K261" s="36">
        <f>IF($T261="","",INDEX(案件入力!$K$2:$K$301,$T261-1))</f>
        <v/>
      </c>
      <c r="L261" s="49">
        <f>IF($T261="","",INDEX(案件入力!$L$2:$L$301,$T261-1))</f>
        <v/>
      </c>
      <c r="M261" s="49">
        <f>IF($T261="","",INDEX(案件入力!$M$2:$M$301,$T261-1))</f>
        <v/>
      </c>
      <c r="N261" s="39">
        <f>IF($T261="","",INDEX(案件入力!$N$2:$N$301,$T261-1))</f>
        <v/>
      </c>
      <c r="O261" s="36">
        <f>IF($T261="","",INDEX(案件入力!$O$2:$O$301,$T261-1))</f>
        <v/>
      </c>
      <c r="P261" s="37">
        <f>IF($T261="","",INDEX(案件入力!$P$2:$P$301,$T261-1))</f>
        <v/>
      </c>
      <c r="Q261" s="35">
        <f>IF($T261="","",INDEX(案件入力!$Q$2:$Q$301,$T261-1))</f>
        <v/>
      </c>
      <c r="R261" s="35">
        <f>IF($T261="","",INDEX(案件入力!$R$2:$R$301,$T261-1))</f>
        <v/>
      </c>
      <c r="S261" s="35">
        <f>IF($T261="","",INDEX(案件入力!$S$2:$S$301,$T261-1))</f>
        <v/>
      </c>
      <c r="T261">
        <f t="array" ref="T261">IFERROR(SMALL(IF((案件入力!$A$2:$A$301&lt;&gt;"")*(案件入力!$R$2:$R$301&lt;&gt;"完了"),ROW(案件入力!$A$2:$A$301)),ROW()-1),"")</f>
        <v/>
      </c>
    </row>
    <row r="262">
      <c r="A262" s="35">
        <f>IF($T262="","",INDEX(案件入力!$A$2:$A$301,$T262-1))</f>
        <v/>
      </c>
      <c r="B262" s="36">
        <f>IF($T262="","",INDEX(案件入力!$B$2:$B$301,$T262-1))</f>
        <v/>
      </c>
      <c r="C262" s="35">
        <f>IF($T262="","",INDEX(案件入力!$C$2:$C$301,$T262-1))</f>
        <v/>
      </c>
      <c r="D262" s="37">
        <f>IF($T262="","",INDEX(案件入力!$D$2:$D$301,$T262-1))</f>
        <v/>
      </c>
      <c r="E262" s="35">
        <f>IF($T262="","",INDEX(案件入力!$E$2:$E$301,$T262-1))</f>
        <v/>
      </c>
      <c r="F262" s="35">
        <f>IF($T262="","",INDEX(案件入力!$F$2:$F$301,$T262-1))</f>
        <v/>
      </c>
      <c r="G262" s="35">
        <f>IF($T262="","",INDEX(案件入力!$G$2:$G$301,$T262-1))</f>
        <v/>
      </c>
      <c r="H262" s="49">
        <f>IF($T262="","",INDEX(案件入力!$H$2:$H$301,$T262-1))</f>
        <v/>
      </c>
      <c r="I262" s="49">
        <f>IF($T262="","",INDEX(案件入力!$I$2:$I$301,$T262-1))</f>
        <v/>
      </c>
      <c r="J262" s="39">
        <f>IF($T262="","",INDEX(案件入力!$J$2:$J$301,$T262-1))</f>
        <v/>
      </c>
      <c r="K262" s="36">
        <f>IF($T262="","",INDEX(案件入力!$K$2:$K$301,$T262-1))</f>
        <v/>
      </c>
      <c r="L262" s="49">
        <f>IF($T262="","",INDEX(案件入力!$L$2:$L$301,$T262-1))</f>
        <v/>
      </c>
      <c r="M262" s="49">
        <f>IF($T262="","",INDEX(案件入力!$M$2:$M$301,$T262-1))</f>
        <v/>
      </c>
      <c r="N262" s="39">
        <f>IF($T262="","",INDEX(案件入力!$N$2:$N$301,$T262-1))</f>
        <v/>
      </c>
      <c r="O262" s="36">
        <f>IF($T262="","",INDEX(案件入力!$O$2:$O$301,$T262-1))</f>
        <v/>
      </c>
      <c r="P262" s="37">
        <f>IF($T262="","",INDEX(案件入力!$P$2:$P$301,$T262-1))</f>
        <v/>
      </c>
      <c r="Q262" s="35">
        <f>IF($T262="","",INDEX(案件入力!$Q$2:$Q$301,$T262-1))</f>
        <v/>
      </c>
      <c r="R262" s="35">
        <f>IF($T262="","",INDEX(案件入力!$R$2:$R$301,$T262-1))</f>
        <v/>
      </c>
      <c r="S262" s="35">
        <f>IF($T262="","",INDEX(案件入力!$S$2:$S$301,$T262-1))</f>
        <v/>
      </c>
      <c r="T262">
        <f t="array" ref="T262">IFERROR(SMALL(IF((案件入力!$A$2:$A$301&lt;&gt;"")*(案件入力!$R$2:$R$301&lt;&gt;"完了"),ROW(案件入力!$A$2:$A$301)),ROW()-1),"")</f>
        <v/>
      </c>
    </row>
    <row r="263">
      <c r="A263" s="35">
        <f>IF($T263="","",INDEX(案件入力!$A$2:$A$301,$T263-1))</f>
        <v/>
      </c>
      <c r="B263" s="36">
        <f>IF($T263="","",INDEX(案件入力!$B$2:$B$301,$T263-1))</f>
        <v/>
      </c>
      <c r="C263" s="35">
        <f>IF($T263="","",INDEX(案件入力!$C$2:$C$301,$T263-1))</f>
        <v/>
      </c>
      <c r="D263" s="37">
        <f>IF($T263="","",INDEX(案件入力!$D$2:$D$301,$T263-1))</f>
        <v/>
      </c>
      <c r="E263" s="35">
        <f>IF($T263="","",INDEX(案件入力!$E$2:$E$301,$T263-1))</f>
        <v/>
      </c>
      <c r="F263" s="35">
        <f>IF($T263="","",INDEX(案件入力!$F$2:$F$301,$T263-1))</f>
        <v/>
      </c>
      <c r="G263" s="35">
        <f>IF($T263="","",INDEX(案件入力!$G$2:$G$301,$T263-1))</f>
        <v/>
      </c>
      <c r="H263" s="49">
        <f>IF($T263="","",INDEX(案件入力!$H$2:$H$301,$T263-1))</f>
        <v/>
      </c>
      <c r="I263" s="49">
        <f>IF($T263="","",INDEX(案件入力!$I$2:$I$301,$T263-1))</f>
        <v/>
      </c>
      <c r="J263" s="39">
        <f>IF($T263="","",INDEX(案件入力!$J$2:$J$301,$T263-1))</f>
        <v/>
      </c>
      <c r="K263" s="36">
        <f>IF($T263="","",INDEX(案件入力!$K$2:$K$301,$T263-1))</f>
        <v/>
      </c>
      <c r="L263" s="49">
        <f>IF($T263="","",INDEX(案件入力!$L$2:$L$301,$T263-1))</f>
        <v/>
      </c>
      <c r="M263" s="49">
        <f>IF($T263="","",INDEX(案件入力!$M$2:$M$301,$T263-1))</f>
        <v/>
      </c>
      <c r="N263" s="39">
        <f>IF($T263="","",INDEX(案件入力!$N$2:$N$301,$T263-1))</f>
        <v/>
      </c>
      <c r="O263" s="36">
        <f>IF($T263="","",INDEX(案件入力!$O$2:$O$301,$T263-1))</f>
        <v/>
      </c>
      <c r="P263" s="37">
        <f>IF($T263="","",INDEX(案件入力!$P$2:$P$301,$T263-1))</f>
        <v/>
      </c>
      <c r="Q263" s="35">
        <f>IF($T263="","",INDEX(案件入力!$Q$2:$Q$301,$T263-1))</f>
        <v/>
      </c>
      <c r="R263" s="35">
        <f>IF($T263="","",INDEX(案件入力!$R$2:$R$301,$T263-1))</f>
        <v/>
      </c>
      <c r="S263" s="35">
        <f>IF($T263="","",INDEX(案件入力!$S$2:$S$301,$T263-1))</f>
        <v/>
      </c>
      <c r="T263">
        <f t="array" ref="T263">IFERROR(SMALL(IF((案件入力!$A$2:$A$301&lt;&gt;"")*(案件入力!$R$2:$R$301&lt;&gt;"完了"),ROW(案件入力!$A$2:$A$301)),ROW()-1),"")</f>
        <v/>
      </c>
    </row>
    <row r="264">
      <c r="A264" s="35">
        <f>IF($T264="","",INDEX(案件入力!$A$2:$A$301,$T264-1))</f>
        <v/>
      </c>
      <c r="B264" s="36">
        <f>IF($T264="","",INDEX(案件入力!$B$2:$B$301,$T264-1))</f>
        <v/>
      </c>
      <c r="C264" s="35">
        <f>IF($T264="","",INDEX(案件入力!$C$2:$C$301,$T264-1))</f>
        <v/>
      </c>
      <c r="D264" s="37">
        <f>IF($T264="","",INDEX(案件入力!$D$2:$D$301,$T264-1))</f>
        <v/>
      </c>
      <c r="E264" s="35">
        <f>IF($T264="","",INDEX(案件入力!$E$2:$E$301,$T264-1))</f>
        <v/>
      </c>
      <c r="F264" s="35">
        <f>IF($T264="","",INDEX(案件入力!$F$2:$F$301,$T264-1))</f>
        <v/>
      </c>
      <c r="G264" s="35">
        <f>IF($T264="","",INDEX(案件入力!$G$2:$G$301,$T264-1))</f>
        <v/>
      </c>
      <c r="H264" s="49">
        <f>IF($T264="","",INDEX(案件入力!$H$2:$H$301,$T264-1))</f>
        <v/>
      </c>
      <c r="I264" s="49">
        <f>IF($T264="","",INDEX(案件入力!$I$2:$I$301,$T264-1))</f>
        <v/>
      </c>
      <c r="J264" s="39">
        <f>IF($T264="","",INDEX(案件入力!$J$2:$J$301,$T264-1))</f>
        <v/>
      </c>
      <c r="K264" s="36">
        <f>IF($T264="","",INDEX(案件入力!$K$2:$K$301,$T264-1))</f>
        <v/>
      </c>
      <c r="L264" s="49">
        <f>IF($T264="","",INDEX(案件入力!$L$2:$L$301,$T264-1))</f>
        <v/>
      </c>
      <c r="M264" s="49">
        <f>IF($T264="","",INDEX(案件入力!$M$2:$M$301,$T264-1))</f>
        <v/>
      </c>
      <c r="N264" s="39">
        <f>IF($T264="","",INDEX(案件入力!$N$2:$N$301,$T264-1))</f>
        <v/>
      </c>
      <c r="O264" s="36">
        <f>IF($T264="","",INDEX(案件入力!$O$2:$O$301,$T264-1))</f>
        <v/>
      </c>
      <c r="P264" s="37">
        <f>IF($T264="","",INDEX(案件入力!$P$2:$P$301,$T264-1))</f>
        <v/>
      </c>
      <c r="Q264" s="35">
        <f>IF($T264="","",INDEX(案件入力!$Q$2:$Q$301,$T264-1))</f>
        <v/>
      </c>
      <c r="R264" s="35">
        <f>IF($T264="","",INDEX(案件入力!$R$2:$R$301,$T264-1))</f>
        <v/>
      </c>
      <c r="S264" s="35">
        <f>IF($T264="","",INDEX(案件入力!$S$2:$S$301,$T264-1))</f>
        <v/>
      </c>
      <c r="T264">
        <f t="array" ref="T264">IFERROR(SMALL(IF((案件入力!$A$2:$A$301&lt;&gt;"")*(案件入力!$R$2:$R$301&lt;&gt;"完了"),ROW(案件入力!$A$2:$A$301)),ROW()-1),"")</f>
        <v/>
      </c>
    </row>
    <row r="265">
      <c r="A265" s="35">
        <f>IF($T265="","",INDEX(案件入力!$A$2:$A$301,$T265-1))</f>
        <v/>
      </c>
      <c r="B265" s="36">
        <f>IF($T265="","",INDEX(案件入力!$B$2:$B$301,$T265-1))</f>
        <v/>
      </c>
      <c r="C265" s="35">
        <f>IF($T265="","",INDEX(案件入力!$C$2:$C$301,$T265-1))</f>
        <v/>
      </c>
      <c r="D265" s="37">
        <f>IF($T265="","",INDEX(案件入力!$D$2:$D$301,$T265-1))</f>
        <v/>
      </c>
      <c r="E265" s="35">
        <f>IF($T265="","",INDEX(案件入力!$E$2:$E$301,$T265-1))</f>
        <v/>
      </c>
      <c r="F265" s="35">
        <f>IF($T265="","",INDEX(案件入力!$F$2:$F$301,$T265-1))</f>
        <v/>
      </c>
      <c r="G265" s="35">
        <f>IF($T265="","",INDEX(案件入力!$G$2:$G$301,$T265-1))</f>
        <v/>
      </c>
      <c r="H265" s="49">
        <f>IF($T265="","",INDEX(案件入力!$H$2:$H$301,$T265-1))</f>
        <v/>
      </c>
      <c r="I265" s="49">
        <f>IF($T265="","",INDEX(案件入力!$I$2:$I$301,$T265-1))</f>
        <v/>
      </c>
      <c r="J265" s="39">
        <f>IF($T265="","",INDEX(案件入力!$J$2:$J$301,$T265-1))</f>
        <v/>
      </c>
      <c r="K265" s="36">
        <f>IF($T265="","",INDEX(案件入力!$K$2:$K$301,$T265-1))</f>
        <v/>
      </c>
      <c r="L265" s="49">
        <f>IF($T265="","",INDEX(案件入力!$L$2:$L$301,$T265-1))</f>
        <v/>
      </c>
      <c r="M265" s="49">
        <f>IF($T265="","",INDEX(案件入力!$M$2:$M$301,$T265-1))</f>
        <v/>
      </c>
      <c r="N265" s="39">
        <f>IF($T265="","",INDEX(案件入力!$N$2:$N$301,$T265-1))</f>
        <v/>
      </c>
      <c r="O265" s="36">
        <f>IF($T265="","",INDEX(案件入力!$O$2:$O$301,$T265-1))</f>
        <v/>
      </c>
      <c r="P265" s="37">
        <f>IF($T265="","",INDEX(案件入力!$P$2:$P$301,$T265-1))</f>
        <v/>
      </c>
      <c r="Q265" s="35">
        <f>IF($T265="","",INDEX(案件入力!$Q$2:$Q$301,$T265-1))</f>
        <v/>
      </c>
      <c r="R265" s="35">
        <f>IF($T265="","",INDEX(案件入力!$R$2:$R$301,$T265-1))</f>
        <v/>
      </c>
      <c r="S265" s="35">
        <f>IF($T265="","",INDEX(案件入力!$S$2:$S$301,$T265-1))</f>
        <v/>
      </c>
      <c r="T265">
        <f t="array" ref="T265">IFERROR(SMALL(IF((案件入力!$A$2:$A$301&lt;&gt;"")*(案件入力!$R$2:$R$301&lt;&gt;"完了"),ROW(案件入力!$A$2:$A$301)),ROW()-1),"")</f>
        <v/>
      </c>
    </row>
    <row r="266">
      <c r="A266" s="35">
        <f>IF($T266="","",INDEX(案件入力!$A$2:$A$301,$T266-1))</f>
        <v/>
      </c>
      <c r="B266" s="36">
        <f>IF($T266="","",INDEX(案件入力!$B$2:$B$301,$T266-1))</f>
        <v/>
      </c>
      <c r="C266" s="35">
        <f>IF($T266="","",INDEX(案件入力!$C$2:$C$301,$T266-1))</f>
        <v/>
      </c>
      <c r="D266" s="37">
        <f>IF($T266="","",INDEX(案件入力!$D$2:$D$301,$T266-1))</f>
        <v/>
      </c>
      <c r="E266" s="35">
        <f>IF($T266="","",INDEX(案件入力!$E$2:$E$301,$T266-1))</f>
        <v/>
      </c>
      <c r="F266" s="35">
        <f>IF($T266="","",INDEX(案件入力!$F$2:$F$301,$T266-1))</f>
        <v/>
      </c>
      <c r="G266" s="35">
        <f>IF($T266="","",INDEX(案件入力!$G$2:$G$301,$T266-1))</f>
        <v/>
      </c>
      <c r="H266" s="49">
        <f>IF($T266="","",INDEX(案件入力!$H$2:$H$301,$T266-1))</f>
        <v/>
      </c>
      <c r="I266" s="49">
        <f>IF($T266="","",INDEX(案件入力!$I$2:$I$301,$T266-1))</f>
        <v/>
      </c>
      <c r="J266" s="39">
        <f>IF($T266="","",INDEX(案件入力!$J$2:$J$301,$T266-1))</f>
        <v/>
      </c>
      <c r="K266" s="36">
        <f>IF($T266="","",INDEX(案件入力!$K$2:$K$301,$T266-1))</f>
        <v/>
      </c>
      <c r="L266" s="49">
        <f>IF($T266="","",INDEX(案件入力!$L$2:$L$301,$T266-1))</f>
        <v/>
      </c>
      <c r="M266" s="49">
        <f>IF($T266="","",INDEX(案件入力!$M$2:$M$301,$T266-1))</f>
        <v/>
      </c>
      <c r="N266" s="39">
        <f>IF($T266="","",INDEX(案件入力!$N$2:$N$301,$T266-1))</f>
        <v/>
      </c>
      <c r="O266" s="36">
        <f>IF($T266="","",INDEX(案件入力!$O$2:$O$301,$T266-1))</f>
        <v/>
      </c>
      <c r="P266" s="37">
        <f>IF($T266="","",INDEX(案件入力!$P$2:$P$301,$T266-1))</f>
        <v/>
      </c>
      <c r="Q266" s="35">
        <f>IF($T266="","",INDEX(案件入力!$Q$2:$Q$301,$T266-1))</f>
        <v/>
      </c>
      <c r="R266" s="35">
        <f>IF($T266="","",INDEX(案件入力!$R$2:$R$301,$T266-1))</f>
        <v/>
      </c>
      <c r="S266" s="35">
        <f>IF($T266="","",INDEX(案件入力!$S$2:$S$301,$T266-1))</f>
        <v/>
      </c>
      <c r="T266">
        <f t="array" ref="T266">IFERROR(SMALL(IF((案件入力!$A$2:$A$301&lt;&gt;"")*(案件入力!$R$2:$R$301&lt;&gt;"完了"),ROW(案件入力!$A$2:$A$301)),ROW()-1),"")</f>
        <v/>
      </c>
    </row>
    <row r="267">
      <c r="A267" s="35">
        <f>IF($T267="","",INDEX(案件入力!$A$2:$A$301,$T267-1))</f>
        <v/>
      </c>
      <c r="B267" s="36">
        <f>IF($T267="","",INDEX(案件入力!$B$2:$B$301,$T267-1))</f>
        <v/>
      </c>
      <c r="C267" s="35">
        <f>IF($T267="","",INDEX(案件入力!$C$2:$C$301,$T267-1))</f>
        <v/>
      </c>
      <c r="D267" s="37">
        <f>IF($T267="","",INDEX(案件入力!$D$2:$D$301,$T267-1))</f>
        <v/>
      </c>
      <c r="E267" s="35">
        <f>IF($T267="","",INDEX(案件入力!$E$2:$E$301,$T267-1))</f>
        <v/>
      </c>
      <c r="F267" s="35">
        <f>IF($T267="","",INDEX(案件入力!$F$2:$F$301,$T267-1))</f>
        <v/>
      </c>
      <c r="G267" s="35">
        <f>IF($T267="","",INDEX(案件入力!$G$2:$G$301,$T267-1))</f>
        <v/>
      </c>
      <c r="H267" s="49">
        <f>IF($T267="","",INDEX(案件入力!$H$2:$H$301,$T267-1))</f>
        <v/>
      </c>
      <c r="I267" s="49">
        <f>IF($T267="","",INDEX(案件入力!$I$2:$I$301,$T267-1))</f>
        <v/>
      </c>
      <c r="J267" s="39">
        <f>IF($T267="","",INDEX(案件入力!$J$2:$J$301,$T267-1))</f>
        <v/>
      </c>
      <c r="K267" s="36">
        <f>IF($T267="","",INDEX(案件入力!$K$2:$K$301,$T267-1))</f>
        <v/>
      </c>
      <c r="L267" s="49">
        <f>IF($T267="","",INDEX(案件入力!$L$2:$L$301,$T267-1))</f>
        <v/>
      </c>
      <c r="M267" s="49">
        <f>IF($T267="","",INDEX(案件入力!$M$2:$M$301,$T267-1))</f>
        <v/>
      </c>
      <c r="N267" s="39">
        <f>IF($T267="","",INDEX(案件入力!$N$2:$N$301,$T267-1))</f>
        <v/>
      </c>
      <c r="O267" s="36">
        <f>IF($T267="","",INDEX(案件入力!$O$2:$O$301,$T267-1))</f>
        <v/>
      </c>
      <c r="P267" s="37">
        <f>IF($T267="","",INDEX(案件入力!$P$2:$P$301,$T267-1))</f>
        <v/>
      </c>
      <c r="Q267" s="35">
        <f>IF($T267="","",INDEX(案件入力!$Q$2:$Q$301,$T267-1))</f>
        <v/>
      </c>
      <c r="R267" s="35">
        <f>IF($T267="","",INDEX(案件入力!$R$2:$R$301,$T267-1))</f>
        <v/>
      </c>
      <c r="S267" s="35">
        <f>IF($T267="","",INDEX(案件入力!$S$2:$S$301,$T267-1))</f>
        <v/>
      </c>
      <c r="T267">
        <f t="array" ref="T267">IFERROR(SMALL(IF((案件入力!$A$2:$A$301&lt;&gt;"")*(案件入力!$R$2:$R$301&lt;&gt;"完了"),ROW(案件入力!$A$2:$A$301)),ROW()-1),"")</f>
        <v/>
      </c>
    </row>
    <row r="268">
      <c r="A268" s="35">
        <f>IF($T268="","",INDEX(案件入力!$A$2:$A$301,$T268-1))</f>
        <v/>
      </c>
      <c r="B268" s="36">
        <f>IF($T268="","",INDEX(案件入力!$B$2:$B$301,$T268-1))</f>
        <v/>
      </c>
      <c r="C268" s="35">
        <f>IF($T268="","",INDEX(案件入力!$C$2:$C$301,$T268-1))</f>
        <v/>
      </c>
      <c r="D268" s="37">
        <f>IF($T268="","",INDEX(案件入力!$D$2:$D$301,$T268-1))</f>
        <v/>
      </c>
      <c r="E268" s="35">
        <f>IF($T268="","",INDEX(案件入力!$E$2:$E$301,$T268-1))</f>
        <v/>
      </c>
      <c r="F268" s="35">
        <f>IF($T268="","",INDEX(案件入力!$F$2:$F$301,$T268-1))</f>
        <v/>
      </c>
      <c r="G268" s="35">
        <f>IF($T268="","",INDEX(案件入力!$G$2:$G$301,$T268-1))</f>
        <v/>
      </c>
      <c r="H268" s="49">
        <f>IF($T268="","",INDEX(案件入力!$H$2:$H$301,$T268-1))</f>
        <v/>
      </c>
      <c r="I268" s="49">
        <f>IF($T268="","",INDEX(案件入力!$I$2:$I$301,$T268-1))</f>
        <v/>
      </c>
      <c r="J268" s="39">
        <f>IF($T268="","",INDEX(案件入力!$J$2:$J$301,$T268-1))</f>
        <v/>
      </c>
      <c r="K268" s="36">
        <f>IF($T268="","",INDEX(案件入力!$K$2:$K$301,$T268-1))</f>
        <v/>
      </c>
      <c r="L268" s="49">
        <f>IF($T268="","",INDEX(案件入力!$L$2:$L$301,$T268-1))</f>
        <v/>
      </c>
      <c r="M268" s="49">
        <f>IF($T268="","",INDEX(案件入力!$M$2:$M$301,$T268-1))</f>
        <v/>
      </c>
      <c r="N268" s="39">
        <f>IF($T268="","",INDEX(案件入力!$N$2:$N$301,$T268-1))</f>
        <v/>
      </c>
      <c r="O268" s="36">
        <f>IF($T268="","",INDEX(案件入力!$O$2:$O$301,$T268-1))</f>
        <v/>
      </c>
      <c r="P268" s="37">
        <f>IF($T268="","",INDEX(案件入力!$P$2:$P$301,$T268-1))</f>
        <v/>
      </c>
      <c r="Q268" s="35">
        <f>IF($T268="","",INDEX(案件入力!$Q$2:$Q$301,$T268-1))</f>
        <v/>
      </c>
      <c r="R268" s="35">
        <f>IF($T268="","",INDEX(案件入力!$R$2:$R$301,$T268-1))</f>
        <v/>
      </c>
      <c r="S268" s="35">
        <f>IF($T268="","",INDEX(案件入力!$S$2:$S$301,$T268-1))</f>
        <v/>
      </c>
      <c r="T268">
        <f t="array" ref="T268">IFERROR(SMALL(IF((案件入力!$A$2:$A$301&lt;&gt;"")*(案件入力!$R$2:$R$301&lt;&gt;"完了"),ROW(案件入力!$A$2:$A$301)),ROW()-1),"")</f>
        <v/>
      </c>
    </row>
    <row r="269">
      <c r="A269" s="35">
        <f>IF($T269="","",INDEX(案件入力!$A$2:$A$301,$T269-1))</f>
        <v/>
      </c>
      <c r="B269" s="36">
        <f>IF($T269="","",INDEX(案件入力!$B$2:$B$301,$T269-1))</f>
        <v/>
      </c>
      <c r="C269" s="35">
        <f>IF($T269="","",INDEX(案件入力!$C$2:$C$301,$T269-1))</f>
        <v/>
      </c>
      <c r="D269" s="37">
        <f>IF($T269="","",INDEX(案件入力!$D$2:$D$301,$T269-1))</f>
        <v/>
      </c>
      <c r="E269" s="35">
        <f>IF($T269="","",INDEX(案件入力!$E$2:$E$301,$T269-1))</f>
        <v/>
      </c>
      <c r="F269" s="35">
        <f>IF($T269="","",INDEX(案件入力!$F$2:$F$301,$T269-1))</f>
        <v/>
      </c>
      <c r="G269" s="35">
        <f>IF($T269="","",INDEX(案件入力!$G$2:$G$301,$T269-1))</f>
        <v/>
      </c>
      <c r="H269" s="49">
        <f>IF($T269="","",INDEX(案件入力!$H$2:$H$301,$T269-1))</f>
        <v/>
      </c>
      <c r="I269" s="49">
        <f>IF($T269="","",INDEX(案件入力!$I$2:$I$301,$T269-1))</f>
        <v/>
      </c>
      <c r="J269" s="39">
        <f>IF($T269="","",INDEX(案件入力!$J$2:$J$301,$T269-1))</f>
        <v/>
      </c>
      <c r="K269" s="36">
        <f>IF($T269="","",INDEX(案件入力!$K$2:$K$301,$T269-1))</f>
        <v/>
      </c>
      <c r="L269" s="49">
        <f>IF($T269="","",INDEX(案件入力!$L$2:$L$301,$T269-1))</f>
        <v/>
      </c>
      <c r="M269" s="49">
        <f>IF($T269="","",INDEX(案件入力!$M$2:$M$301,$T269-1))</f>
        <v/>
      </c>
      <c r="N269" s="39">
        <f>IF($T269="","",INDEX(案件入力!$N$2:$N$301,$T269-1))</f>
        <v/>
      </c>
      <c r="O269" s="36">
        <f>IF($T269="","",INDEX(案件入力!$O$2:$O$301,$T269-1))</f>
        <v/>
      </c>
      <c r="P269" s="37">
        <f>IF($T269="","",INDEX(案件入力!$P$2:$P$301,$T269-1))</f>
        <v/>
      </c>
      <c r="Q269" s="35">
        <f>IF($T269="","",INDEX(案件入力!$Q$2:$Q$301,$T269-1))</f>
        <v/>
      </c>
      <c r="R269" s="35">
        <f>IF($T269="","",INDEX(案件入力!$R$2:$R$301,$T269-1))</f>
        <v/>
      </c>
      <c r="S269" s="35">
        <f>IF($T269="","",INDEX(案件入力!$S$2:$S$301,$T269-1))</f>
        <v/>
      </c>
      <c r="T269">
        <f t="array" ref="T269">IFERROR(SMALL(IF((案件入力!$A$2:$A$301&lt;&gt;"")*(案件入力!$R$2:$R$301&lt;&gt;"完了"),ROW(案件入力!$A$2:$A$301)),ROW()-1),"")</f>
        <v/>
      </c>
    </row>
    <row r="270">
      <c r="A270" s="35">
        <f>IF($T270="","",INDEX(案件入力!$A$2:$A$301,$T270-1))</f>
        <v/>
      </c>
      <c r="B270" s="36">
        <f>IF($T270="","",INDEX(案件入力!$B$2:$B$301,$T270-1))</f>
        <v/>
      </c>
      <c r="C270" s="35">
        <f>IF($T270="","",INDEX(案件入力!$C$2:$C$301,$T270-1))</f>
        <v/>
      </c>
      <c r="D270" s="37">
        <f>IF($T270="","",INDEX(案件入力!$D$2:$D$301,$T270-1))</f>
        <v/>
      </c>
      <c r="E270" s="35">
        <f>IF($T270="","",INDEX(案件入力!$E$2:$E$301,$T270-1))</f>
        <v/>
      </c>
      <c r="F270" s="35">
        <f>IF($T270="","",INDEX(案件入力!$F$2:$F$301,$T270-1))</f>
        <v/>
      </c>
      <c r="G270" s="35">
        <f>IF($T270="","",INDEX(案件入力!$G$2:$G$301,$T270-1))</f>
        <v/>
      </c>
      <c r="H270" s="49">
        <f>IF($T270="","",INDEX(案件入力!$H$2:$H$301,$T270-1))</f>
        <v/>
      </c>
      <c r="I270" s="49">
        <f>IF($T270="","",INDEX(案件入力!$I$2:$I$301,$T270-1))</f>
        <v/>
      </c>
      <c r="J270" s="39">
        <f>IF($T270="","",INDEX(案件入力!$J$2:$J$301,$T270-1))</f>
        <v/>
      </c>
      <c r="K270" s="36">
        <f>IF($T270="","",INDEX(案件入力!$K$2:$K$301,$T270-1))</f>
        <v/>
      </c>
      <c r="L270" s="49">
        <f>IF($T270="","",INDEX(案件入力!$L$2:$L$301,$T270-1))</f>
        <v/>
      </c>
      <c r="M270" s="49">
        <f>IF($T270="","",INDEX(案件入力!$M$2:$M$301,$T270-1))</f>
        <v/>
      </c>
      <c r="N270" s="39">
        <f>IF($T270="","",INDEX(案件入力!$N$2:$N$301,$T270-1))</f>
        <v/>
      </c>
      <c r="O270" s="36">
        <f>IF($T270="","",INDEX(案件入力!$O$2:$O$301,$T270-1))</f>
        <v/>
      </c>
      <c r="P270" s="37">
        <f>IF($T270="","",INDEX(案件入力!$P$2:$P$301,$T270-1))</f>
        <v/>
      </c>
      <c r="Q270" s="35">
        <f>IF($T270="","",INDEX(案件入力!$Q$2:$Q$301,$T270-1))</f>
        <v/>
      </c>
      <c r="R270" s="35">
        <f>IF($T270="","",INDEX(案件入力!$R$2:$R$301,$T270-1))</f>
        <v/>
      </c>
      <c r="S270" s="35">
        <f>IF($T270="","",INDEX(案件入力!$S$2:$S$301,$T270-1))</f>
        <v/>
      </c>
      <c r="T270">
        <f t="array" ref="T270">IFERROR(SMALL(IF((案件入力!$A$2:$A$301&lt;&gt;"")*(案件入力!$R$2:$R$301&lt;&gt;"完了"),ROW(案件入力!$A$2:$A$301)),ROW()-1),"")</f>
        <v/>
      </c>
    </row>
    <row r="271">
      <c r="A271" s="35">
        <f>IF($T271="","",INDEX(案件入力!$A$2:$A$301,$T271-1))</f>
        <v/>
      </c>
      <c r="B271" s="36">
        <f>IF($T271="","",INDEX(案件入力!$B$2:$B$301,$T271-1))</f>
        <v/>
      </c>
      <c r="C271" s="35">
        <f>IF($T271="","",INDEX(案件入力!$C$2:$C$301,$T271-1))</f>
        <v/>
      </c>
      <c r="D271" s="37">
        <f>IF($T271="","",INDEX(案件入力!$D$2:$D$301,$T271-1))</f>
        <v/>
      </c>
      <c r="E271" s="35">
        <f>IF($T271="","",INDEX(案件入力!$E$2:$E$301,$T271-1))</f>
        <v/>
      </c>
      <c r="F271" s="35">
        <f>IF($T271="","",INDEX(案件入力!$F$2:$F$301,$T271-1))</f>
        <v/>
      </c>
      <c r="G271" s="35">
        <f>IF($T271="","",INDEX(案件入力!$G$2:$G$301,$T271-1))</f>
        <v/>
      </c>
      <c r="H271" s="49">
        <f>IF($T271="","",INDEX(案件入力!$H$2:$H$301,$T271-1))</f>
        <v/>
      </c>
      <c r="I271" s="49">
        <f>IF($T271="","",INDEX(案件入力!$I$2:$I$301,$T271-1))</f>
        <v/>
      </c>
      <c r="J271" s="39">
        <f>IF($T271="","",INDEX(案件入力!$J$2:$J$301,$T271-1))</f>
        <v/>
      </c>
      <c r="K271" s="36">
        <f>IF($T271="","",INDEX(案件入力!$K$2:$K$301,$T271-1))</f>
        <v/>
      </c>
      <c r="L271" s="49">
        <f>IF($T271="","",INDEX(案件入力!$L$2:$L$301,$T271-1))</f>
        <v/>
      </c>
      <c r="M271" s="49">
        <f>IF($T271="","",INDEX(案件入力!$M$2:$M$301,$T271-1))</f>
        <v/>
      </c>
      <c r="N271" s="39">
        <f>IF($T271="","",INDEX(案件入力!$N$2:$N$301,$T271-1))</f>
        <v/>
      </c>
      <c r="O271" s="36">
        <f>IF($T271="","",INDEX(案件入力!$O$2:$O$301,$T271-1))</f>
        <v/>
      </c>
      <c r="P271" s="37">
        <f>IF($T271="","",INDEX(案件入力!$P$2:$P$301,$T271-1))</f>
        <v/>
      </c>
      <c r="Q271" s="35">
        <f>IF($T271="","",INDEX(案件入力!$Q$2:$Q$301,$T271-1))</f>
        <v/>
      </c>
      <c r="R271" s="35">
        <f>IF($T271="","",INDEX(案件入力!$R$2:$R$301,$T271-1))</f>
        <v/>
      </c>
      <c r="S271" s="35">
        <f>IF($T271="","",INDEX(案件入力!$S$2:$S$301,$T271-1))</f>
        <v/>
      </c>
      <c r="T271">
        <f t="array" ref="T271">IFERROR(SMALL(IF((案件入力!$A$2:$A$301&lt;&gt;"")*(案件入力!$R$2:$R$301&lt;&gt;"完了"),ROW(案件入力!$A$2:$A$301)),ROW()-1),"")</f>
        <v/>
      </c>
    </row>
    <row r="272">
      <c r="A272" s="35">
        <f>IF($T272="","",INDEX(案件入力!$A$2:$A$301,$T272-1))</f>
        <v/>
      </c>
      <c r="B272" s="36">
        <f>IF($T272="","",INDEX(案件入力!$B$2:$B$301,$T272-1))</f>
        <v/>
      </c>
      <c r="C272" s="35">
        <f>IF($T272="","",INDEX(案件入力!$C$2:$C$301,$T272-1))</f>
        <v/>
      </c>
      <c r="D272" s="37">
        <f>IF($T272="","",INDEX(案件入力!$D$2:$D$301,$T272-1))</f>
        <v/>
      </c>
      <c r="E272" s="35">
        <f>IF($T272="","",INDEX(案件入力!$E$2:$E$301,$T272-1))</f>
        <v/>
      </c>
      <c r="F272" s="35">
        <f>IF($T272="","",INDEX(案件入力!$F$2:$F$301,$T272-1))</f>
        <v/>
      </c>
      <c r="G272" s="35">
        <f>IF($T272="","",INDEX(案件入力!$G$2:$G$301,$T272-1))</f>
        <v/>
      </c>
      <c r="H272" s="49">
        <f>IF($T272="","",INDEX(案件入力!$H$2:$H$301,$T272-1))</f>
        <v/>
      </c>
      <c r="I272" s="49">
        <f>IF($T272="","",INDEX(案件入力!$I$2:$I$301,$T272-1))</f>
        <v/>
      </c>
      <c r="J272" s="39">
        <f>IF($T272="","",INDEX(案件入力!$J$2:$J$301,$T272-1))</f>
        <v/>
      </c>
      <c r="K272" s="36">
        <f>IF($T272="","",INDEX(案件入力!$K$2:$K$301,$T272-1))</f>
        <v/>
      </c>
      <c r="L272" s="49">
        <f>IF($T272="","",INDEX(案件入力!$L$2:$L$301,$T272-1))</f>
        <v/>
      </c>
      <c r="M272" s="49">
        <f>IF($T272="","",INDEX(案件入力!$M$2:$M$301,$T272-1))</f>
        <v/>
      </c>
      <c r="N272" s="39">
        <f>IF($T272="","",INDEX(案件入力!$N$2:$N$301,$T272-1))</f>
        <v/>
      </c>
      <c r="O272" s="36">
        <f>IF($T272="","",INDEX(案件入力!$O$2:$O$301,$T272-1))</f>
        <v/>
      </c>
      <c r="P272" s="37">
        <f>IF($T272="","",INDEX(案件入力!$P$2:$P$301,$T272-1))</f>
        <v/>
      </c>
      <c r="Q272" s="35">
        <f>IF($T272="","",INDEX(案件入力!$Q$2:$Q$301,$T272-1))</f>
        <v/>
      </c>
      <c r="R272" s="35">
        <f>IF($T272="","",INDEX(案件入力!$R$2:$R$301,$T272-1))</f>
        <v/>
      </c>
      <c r="S272" s="35">
        <f>IF($T272="","",INDEX(案件入力!$S$2:$S$301,$T272-1))</f>
        <v/>
      </c>
      <c r="T272">
        <f t="array" ref="T272">IFERROR(SMALL(IF((案件入力!$A$2:$A$301&lt;&gt;"")*(案件入力!$R$2:$R$301&lt;&gt;"完了"),ROW(案件入力!$A$2:$A$301)),ROW()-1),"")</f>
        <v/>
      </c>
    </row>
    <row r="273">
      <c r="A273" s="35">
        <f>IF($T273="","",INDEX(案件入力!$A$2:$A$301,$T273-1))</f>
        <v/>
      </c>
      <c r="B273" s="36">
        <f>IF($T273="","",INDEX(案件入力!$B$2:$B$301,$T273-1))</f>
        <v/>
      </c>
      <c r="C273" s="35">
        <f>IF($T273="","",INDEX(案件入力!$C$2:$C$301,$T273-1))</f>
        <v/>
      </c>
      <c r="D273" s="37">
        <f>IF($T273="","",INDEX(案件入力!$D$2:$D$301,$T273-1))</f>
        <v/>
      </c>
      <c r="E273" s="35">
        <f>IF($T273="","",INDEX(案件入力!$E$2:$E$301,$T273-1))</f>
        <v/>
      </c>
      <c r="F273" s="35">
        <f>IF($T273="","",INDEX(案件入力!$F$2:$F$301,$T273-1))</f>
        <v/>
      </c>
      <c r="G273" s="35">
        <f>IF($T273="","",INDEX(案件入力!$G$2:$G$301,$T273-1))</f>
        <v/>
      </c>
      <c r="H273" s="49">
        <f>IF($T273="","",INDEX(案件入力!$H$2:$H$301,$T273-1))</f>
        <v/>
      </c>
      <c r="I273" s="49">
        <f>IF($T273="","",INDEX(案件入力!$I$2:$I$301,$T273-1))</f>
        <v/>
      </c>
      <c r="J273" s="39">
        <f>IF($T273="","",INDEX(案件入力!$J$2:$J$301,$T273-1))</f>
        <v/>
      </c>
      <c r="K273" s="36">
        <f>IF($T273="","",INDEX(案件入力!$K$2:$K$301,$T273-1))</f>
        <v/>
      </c>
      <c r="L273" s="49">
        <f>IF($T273="","",INDEX(案件入力!$L$2:$L$301,$T273-1))</f>
        <v/>
      </c>
      <c r="M273" s="49">
        <f>IF($T273="","",INDEX(案件入力!$M$2:$M$301,$T273-1))</f>
        <v/>
      </c>
      <c r="N273" s="39">
        <f>IF($T273="","",INDEX(案件入力!$N$2:$N$301,$T273-1))</f>
        <v/>
      </c>
      <c r="O273" s="36">
        <f>IF($T273="","",INDEX(案件入力!$O$2:$O$301,$T273-1))</f>
        <v/>
      </c>
      <c r="P273" s="37">
        <f>IF($T273="","",INDEX(案件入力!$P$2:$P$301,$T273-1))</f>
        <v/>
      </c>
      <c r="Q273" s="35">
        <f>IF($T273="","",INDEX(案件入力!$Q$2:$Q$301,$T273-1))</f>
        <v/>
      </c>
      <c r="R273" s="35">
        <f>IF($T273="","",INDEX(案件入力!$R$2:$R$301,$T273-1))</f>
        <v/>
      </c>
      <c r="S273" s="35">
        <f>IF($T273="","",INDEX(案件入力!$S$2:$S$301,$T273-1))</f>
        <v/>
      </c>
      <c r="T273">
        <f t="array" ref="T273">IFERROR(SMALL(IF((案件入力!$A$2:$A$301&lt;&gt;"")*(案件入力!$R$2:$R$301&lt;&gt;"完了"),ROW(案件入力!$A$2:$A$301)),ROW()-1),"")</f>
        <v/>
      </c>
    </row>
    <row r="274">
      <c r="A274" s="35">
        <f>IF($T274="","",INDEX(案件入力!$A$2:$A$301,$T274-1))</f>
        <v/>
      </c>
      <c r="B274" s="36">
        <f>IF($T274="","",INDEX(案件入力!$B$2:$B$301,$T274-1))</f>
        <v/>
      </c>
      <c r="C274" s="35">
        <f>IF($T274="","",INDEX(案件入力!$C$2:$C$301,$T274-1))</f>
        <v/>
      </c>
      <c r="D274" s="37">
        <f>IF($T274="","",INDEX(案件入力!$D$2:$D$301,$T274-1))</f>
        <v/>
      </c>
      <c r="E274" s="35">
        <f>IF($T274="","",INDEX(案件入力!$E$2:$E$301,$T274-1))</f>
        <v/>
      </c>
      <c r="F274" s="35">
        <f>IF($T274="","",INDEX(案件入力!$F$2:$F$301,$T274-1))</f>
        <v/>
      </c>
      <c r="G274" s="35">
        <f>IF($T274="","",INDEX(案件入力!$G$2:$G$301,$T274-1))</f>
        <v/>
      </c>
      <c r="H274" s="49">
        <f>IF($T274="","",INDEX(案件入力!$H$2:$H$301,$T274-1))</f>
        <v/>
      </c>
      <c r="I274" s="49">
        <f>IF($T274="","",INDEX(案件入力!$I$2:$I$301,$T274-1))</f>
        <v/>
      </c>
      <c r="J274" s="39">
        <f>IF($T274="","",INDEX(案件入力!$J$2:$J$301,$T274-1))</f>
        <v/>
      </c>
      <c r="K274" s="36">
        <f>IF($T274="","",INDEX(案件入力!$K$2:$K$301,$T274-1))</f>
        <v/>
      </c>
      <c r="L274" s="49">
        <f>IF($T274="","",INDEX(案件入力!$L$2:$L$301,$T274-1))</f>
        <v/>
      </c>
      <c r="M274" s="49">
        <f>IF($T274="","",INDEX(案件入力!$M$2:$M$301,$T274-1))</f>
        <v/>
      </c>
      <c r="N274" s="39">
        <f>IF($T274="","",INDEX(案件入力!$N$2:$N$301,$T274-1))</f>
        <v/>
      </c>
      <c r="O274" s="36">
        <f>IF($T274="","",INDEX(案件入力!$O$2:$O$301,$T274-1))</f>
        <v/>
      </c>
      <c r="P274" s="37">
        <f>IF($T274="","",INDEX(案件入力!$P$2:$P$301,$T274-1))</f>
        <v/>
      </c>
      <c r="Q274" s="35">
        <f>IF($T274="","",INDEX(案件入力!$Q$2:$Q$301,$T274-1))</f>
        <v/>
      </c>
      <c r="R274" s="35">
        <f>IF($T274="","",INDEX(案件入力!$R$2:$R$301,$T274-1))</f>
        <v/>
      </c>
      <c r="S274" s="35">
        <f>IF($T274="","",INDEX(案件入力!$S$2:$S$301,$T274-1))</f>
        <v/>
      </c>
      <c r="T274">
        <f t="array" ref="T274">IFERROR(SMALL(IF((案件入力!$A$2:$A$301&lt;&gt;"")*(案件入力!$R$2:$R$301&lt;&gt;"完了"),ROW(案件入力!$A$2:$A$301)),ROW()-1),"")</f>
        <v/>
      </c>
    </row>
    <row r="275">
      <c r="A275" s="35">
        <f>IF($T275="","",INDEX(案件入力!$A$2:$A$301,$T275-1))</f>
        <v/>
      </c>
      <c r="B275" s="36">
        <f>IF($T275="","",INDEX(案件入力!$B$2:$B$301,$T275-1))</f>
        <v/>
      </c>
      <c r="C275" s="35">
        <f>IF($T275="","",INDEX(案件入力!$C$2:$C$301,$T275-1))</f>
        <v/>
      </c>
      <c r="D275" s="37">
        <f>IF($T275="","",INDEX(案件入力!$D$2:$D$301,$T275-1))</f>
        <v/>
      </c>
      <c r="E275" s="35">
        <f>IF($T275="","",INDEX(案件入力!$E$2:$E$301,$T275-1))</f>
        <v/>
      </c>
      <c r="F275" s="35">
        <f>IF($T275="","",INDEX(案件入力!$F$2:$F$301,$T275-1))</f>
        <v/>
      </c>
      <c r="G275" s="35">
        <f>IF($T275="","",INDEX(案件入力!$G$2:$G$301,$T275-1))</f>
        <v/>
      </c>
      <c r="H275" s="49">
        <f>IF($T275="","",INDEX(案件入力!$H$2:$H$301,$T275-1))</f>
        <v/>
      </c>
      <c r="I275" s="49">
        <f>IF($T275="","",INDEX(案件入力!$I$2:$I$301,$T275-1))</f>
        <v/>
      </c>
      <c r="J275" s="39">
        <f>IF($T275="","",INDEX(案件入力!$J$2:$J$301,$T275-1))</f>
        <v/>
      </c>
      <c r="K275" s="36">
        <f>IF($T275="","",INDEX(案件入力!$K$2:$K$301,$T275-1))</f>
        <v/>
      </c>
      <c r="L275" s="49">
        <f>IF($T275="","",INDEX(案件入力!$L$2:$L$301,$T275-1))</f>
        <v/>
      </c>
      <c r="M275" s="49">
        <f>IF($T275="","",INDEX(案件入力!$M$2:$M$301,$T275-1))</f>
        <v/>
      </c>
      <c r="N275" s="39">
        <f>IF($T275="","",INDEX(案件入力!$N$2:$N$301,$T275-1))</f>
        <v/>
      </c>
      <c r="O275" s="36">
        <f>IF($T275="","",INDEX(案件入力!$O$2:$O$301,$T275-1))</f>
        <v/>
      </c>
      <c r="P275" s="37">
        <f>IF($T275="","",INDEX(案件入力!$P$2:$P$301,$T275-1))</f>
        <v/>
      </c>
      <c r="Q275" s="35">
        <f>IF($T275="","",INDEX(案件入力!$Q$2:$Q$301,$T275-1))</f>
        <v/>
      </c>
      <c r="R275" s="35">
        <f>IF($T275="","",INDEX(案件入力!$R$2:$R$301,$T275-1))</f>
        <v/>
      </c>
      <c r="S275" s="35">
        <f>IF($T275="","",INDEX(案件入力!$S$2:$S$301,$T275-1))</f>
        <v/>
      </c>
      <c r="T275">
        <f t="array" ref="T275">IFERROR(SMALL(IF((案件入力!$A$2:$A$301&lt;&gt;"")*(案件入力!$R$2:$R$301&lt;&gt;"完了"),ROW(案件入力!$A$2:$A$301)),ROW()-1),"")</f>
        <v/>
      </c>
    </row>
    <row r="276">
      <c r="A276" s="35">
        <f>IF($T276="","",INDEX(案件入力!$A$2:$A$301,$T276-1))</f>
        <v/>
      </c>
      <c r="B276" s="36">
        <f>IF($T276="","",INDEX(案件入力!$B$2:$B$301,$T276-1))</f>
        <v/>
      </c>
      <c r="C276" s="35">
        <f>IF($T276="","",INDEX(案件入力!$C$2:$C$301,$T276-1))</f>
        <v/>
      </c>
      <c r="D276" s="37">
        <f>IF($T276="","",INDEX(案件入力!$D$2:$D$301,$T276-1))</f>
        <v/>
      </c>
      <c r="E276" s="35">
        <f>IF($T276="","",INDEX(案件入力!$E$2:$E$301,$T276-1))</f>
        <v/>
      </c>
      <c r="F276" s="35">
        <f>IF($T276="","",INDEX(案件入力!$F$2:$F$301,$T276-1))</f>
        <v/>
      </c>
      <c r="G276" s="35">
        <f>IF($T276="","",INDEX(案件入力!$G$2:$G$301,$T276-1))</f>
        <v/>
      </c>
      <c r="H276" s="49">
        <f>IF($T276="","",INDEX(案件入力!$H$2:$H$301,$T276-1))</f>
        <v/>
      </c>
      <c r="I276" s="49">
        <f>IF($T276="","",INDEX(案件入力!$I$2:$I$301,$T276-1))</f>
        <v/>
      </c>
      <c r="J276" s="39">
        <f>IF($T276="","",INDEX(案件入力!$J$2:$J$301,$T276-1))</f>
        <v/>
      </c>
      <c r="K276" s="36">
        <f>IF($T276="","",INDEX(案件入力!$K$2:$K$301,$T276-1))</f>
        <v/>
      </c>
      <c r="L276" s="49">
        <f>IF($T276="","",INDEX(案件入力!$L$2:$L$301,$T276-1))</f>
        <v/>
      </c>
      <c r="M276" s="49">
        <f>IF($T276="","",INDEX(案件入力!$M$2:$M$301,$T276-1))</f>
        <v/>
      </c>
      <c r="N276" s="39">
        <f>IF($T276="","",INDEX(案件入力!$N$2:$N$301,$T276-1))</f>
        <v/>
      </c>
      <c r="O276" s="36">
        <f>IF($T276="","",INDEX(案件入力!$O$2:$O$301,$T276-1))</f>
        <v/>
      </c>
      <c r="P276" s="37">
        <f>IF($T276="","",INDEX(案件入力!$P$2:$P$301,$T276-1))</f>
        <v/>
      </c>
      <c r="Q276" s="35">
        <f>IF($T276="","",INDEX(案件入力!$Q$2:$Q$301,$T276-1))</f>
        <v/>
      </c>
      <c r="R276" s="35">
        <f>IF($T276="","",INDEX(案件入力!$R$2:$R$301,$T276-1))</f>
        <v/>
      </c>
      <c r="S276" s="35">
        <f>IF($T276="","",INDEX(案件入力!$S$2:$S$301,$T276-1))</f>
        <v/>
      </c>
      <c r="T276">
        <f t="array" ref="T276">IFERROR(SMALL(IF((案件入力!$A$2:$A$301&lt;&gt;"")*(案件入力!$R$2:$R$301&lt;&gt;"完了"),ROW(案件入力!$A$2:$A$301)),ROW()-1),"")</f>
        <v/>
      </c>
    </row>
    <row r="277">
      <c r="A277" s="35">
        <f>IF($T277="","",INDEX(案件入力!$A$2:$A$301,$T277-1))</f>
        <v/>
      </c>
      <c r="B277" s="36">
        <f>IF($T277="","",INDEX(案件入力!$B$2:$B$301,$T277-1))</f>
        <v/>
      </c>
      <c r="C277" s="35">
        <f>IF($T277="","",INDEX(案件入力!$C$2:$C$301,$T277-1))</f>
        <v/>
      </c>
      <c r="D277" s="37">
        <f>IF($T277="","",INDEX(案件入力!$D$2:$D$301,$T277-1))</f>
        <v/>
      </c>
      <c r="E277" s="35">
        <f>IF($T277="","",INDEX(案件入力!$E$2:$E$301,$T277-1))</f>
        <v/>
      </c>
      <c r="F277" s="35">
        <f>IF($T277="","",INDEX(案件入力!$F$2:$F$301,$T277-1))</f>
        <v/>
      </c>
      <c r="G277" s="35">
        <f>IF($T277="","",INDEX(案件入力!$G$2:$G$301,$T277-1))</f>
        <v/>
      </c>
      <c r="H277" s="49">
        <f>IF($T277="","",INDEX(案件入力!$H$2:$H$301,$T277-1))</f>
        <v/>
      </c>
      <c r="I277" s="49">
        <f>IF($T277="","",INDEX(案件入力!$I$2:$I$301,$T277-1))</f>
        <v/>
      </c>
      <c r="J277" s="39">
        <f>IF($T277="","",INDEX(案件入力!$J$2:$J$301,$T277-1))</f>
        <v/>
      </c>
      <c r="K277" s="36">
        <f>IF($T277="","",INDEX(案件入力!$K$2:$K$301,$T277-1))</f>
        <v/>
      </c>
      <c r="L277" s="49">
        <f>IF($T277="","",INDEX(案件入力!$L$2:$L$301,$T277-1))</f>
        <v/>
      </c>
      <c r="M277" s="49">
        <f>IF($T277="","",INDEX(案件入力!$M$2:$M$301,$T277-1))</f>
        <v/>
      </c>
      <c r="N277" s="39">
        <f>IF($T277="","",INDEX(案件入力!$N$2:$N$301,$T277-1))</f>
        <v/>
      </c>
      <c r="O277" s="36">
        <f>IF($T277="","",INDEX(案件入力!$O$2:$O$301,$T277-1))</f>
        <v/>
      </c>
      <c r="P277" s="37">
        <f>IF($T277="","",INDEX(案件入力!$P$2:$P$301,$T277-1))</f>
        <v/>
      </c>
      <c r="Q277" s="35">
        <f>IF($T277="","",INDEX(案件入力!$Q$2:$Q$301,$T277-1))</f>
        <v/>
      </c>
      <c r="R277" s="35">
        <f>IF($T277="","",INDEX(案件入力!$R$2:$R$301,$T277-1))</f>
        <v/>
      </c>
      <c r="S277" s="35">
        <f>IF($T277="","",INDEX(案件入力!$S$2:$S$301,$T277-1))</f>
        <v/>
      </c>
      <c r="T277">
        <f t="array" ref="T277">IFERROR(SMALL(IF((案件入力!$A$2:$A$301&lt;&gt;"")*(案件入力!$R$2:$R$301&lt;&gt;"完了"),ROW(案件入力!$A$2:$A$301)),ROW()-1),"")</f>
        <v/>
      </c>
    </row>
    <row r="278">
      <c r="A278" s="35">
        <f>IF($T278="","",INDEX(案件入力!$A$2:$A$301,$T278-1))</f>
        <v/>
      </c>
      <c r="B278" s="36">
        <f>IF($T278="","",INDEX(案件入力!$B$2:$B$301,$T278-1))</f>
        <v/>
      </c>
      <c r="C278" s="35">
        <f>IF($T278="","",INDEX(案件入力!$C$2:$C$301,$T278-1))</f>
        <v/>
      </c>
      <c r="D278" s="37">
        <f>IF($T278="","",INDEX(案件入力!$D$2:$D$301,$T278-1))</f>
        <v/>
      </c>
      <c r="E278" s="35">
        <f>IF($T278="","",INDEX(案件入力!$E$2:$E$301,$T278-1))</f>
        <v/>
      </c>
      <c r="F278" s="35">
        <f>IF($T278="","",INDEX(案件入力!$F$2:$F$301,$T278-1))</f>
        <v/>
      </c>
      <c r="G278" s="35">
        <f>IF($T278="","",INDEX(案件入力!$G$2:$G$301,$T278-1))</f>
        <v/>
      </c>
      <c r="H278" s="49">
        <f>IF($T278="","",INDEX(案件入力!$H$2:$H$301,$T278-1))</f>
        <v/>
      </c>
      <c r="I278" s="49">
        <f>IF($T278="","",INDEX(案件入力!$I$2:$I$301,$T278-1))</f>
        <v/>
      </c>
      <c r="J278" s="39">
        <f>IF($T278="","",INDEX(案件入力!$J$2:$J$301,$T278-1))</f>
        <v/>
      </c>
      <c r="K278" s="36">
        <f>IF($T278="","",INDEX(案件入力!$K$2:$K$301,$T278-1))</f>
        <v/>
      </c>
      <c r="L278" s="49">
        <f>IF($T278="","",INDEX(案件入力!$L$2:$L$301,$T278-1))</f>
        <v/>
      </c>
      <c r="M278" s="49">
        <f>IF($T278="","",INDEX(案件入力!$M$2:$M$301,$T278-1))</f>
        <v/>
      </c>
      <c r="N278" s="39">
        <f>IF($T278="","",INDEX(案件入力!$N$2:$N$301,$T278-1))</f>
        <v/>
      </c>
      <c r="O278" s="36">
        <f>IF($T278="","",INDEX(案件入力!$O$2:$O$301,$T278-1))</f>
        <v/>
      </c>
      <c r="P278" s="37">
        <f>IF($T278="","",INDEX(案件入力!$P$2:$P$301,$T278-1))</f>
        <v/>
      </c>
      <c r="Q278" s="35">
        <f>IF($T278="","",INDEX(案件入力!$Q$2:$Q$301,$T278-1))</f>
        <v/>
      </c>
      <c r="R278" s="35">
        <f>IF($T278="","",INDEX(案件入力!$R$2:$R$301,$T278-1))</f>
        <v/>
      </c>
      <c r="S278" s="35">
        <f>IF($T278="","",INDEX(案件入力!$S$2:$S$301,$T278-1))</f>
        <v/>
      </c>
      <c r="T278">
        <f t="array" ref="T278">IFERROR(SMALL(IF((案件入力!$A$2:$A$301&lt;&gt;"")*(案件入力!$R$2:$R$301&lt;&gt;"完了"),ROW(案件入力!$A$2:$A$301)),ROW()-1),"")</f>
        <v/>
      </c>
    </row>
    <row r="279">
      <c r="A279" s="35">
        <f>IF($T279="","",INDEX(案件入力!$A$2:$A$301,$T279-1))</f>
        <v/>
      </c>
      <c r="B279" s="36">
        <f>IF($T279="","",INDEX(案件入力!$B$2:$B$301,$T279-1))</f>
        <v/>
      </c>
      <c r="C279" s="35">
        <f>IF($T279="","",INDEX(案件入力!$C$2:$C$301,$T279-1))</f>
        <v/>
      </c>
      <c r="D279" s="37">
        <f>IF($T279="","",INDEX(案件入力!$D$2:$D$301,$T279-1))</f>
        <v/>
      </c>
      <c r="E279" s="35">
        <f>IF($T279="","",INDEX(案件入力!$E$2:$E$301,$T279-1))</f>
        <v/>
      </c>
      <c r="F279" s="35">
        <f>IF($T279="","",INDEX(案件入力!$F$2:$F$301,$T279-1))</f>
        <v/>
      </c>
      <c r="G279" s="35">
        <f>IF($T279="","",INDEX(案件入力!$G$2:$G$301,$T279-1))</f>
        <v/>
      </c>
      <c r="H279" s="49">
        <f>IF($T279="","",INDEX(案件入力!$H$2:$H$301,$T279-1))</f>
        <v/>
      </c>
      <c r="I279" s="49">
        <f>IF($T279="","",INDEX(案件入力!$I$2:$I$301,$T279-1))</f>
        <v/>
      </c>
      <c r="J279" s="39">
        <f>IF($T279="","",INDEX(案件入力!$J$2:$J$301,$T279-1))</f>
        <v/>
      </c>
      <c r="K279" s="36">
        <f>IF($T279="","",INDEX(案件入力!$K$2:$K$301,$T279-1))</f>
        <v/>
      </c>
      <c r="L279" s="49">
        <f>IF($T279="","",INDEX(案件入力!$L$2:$L$301,$T279-1))</f>
        <v/>
      </c>
      <c r="M279" s="49">
        <f>IF($T279="","",INDEX(案件入力!$M$2:$M$301,$T279-1))</f>
        <v/>
      </c>
      <c r="N279" s="39">
        <f>IF($T279="","",INDEX(案件入力!$N$2:$N$301,$T279-1))</f>
        <v/>
      </c>
      <c r="O279" s="36">
        <f>IF($T279="","",INDEX(案件入力!$O$2:$O$301,$T279-1))</f>
        <v/>
      </c>
      <c r="P279" s="37">
        <f>IF($T279="","",INDEX(案件入力!$P$2:$P$301,$T279-1))</f>
        <v/>
      </c>
      <c r="Q279" s="35">
        <f>IF($T279="","",INDEX(案件入力!$Q$2:$Q$301,$T279-1))</f>
        <v/>
      </c>
      <c r="R279" s="35">
        <f>IF($T279="","",INDEX(案件入力!$R$2:$R$301,$T279-1))</f>
        <v/>
      </c>
      <c r="S279" s="35">
        <f>IF($T279="","",INDEX(案件入力!$S$2:$S$301,$T279-1))</f>
        <v/>
      </c>
      <c r="T279">
        <f t="array" ref="T279">IFERROR(SMALL(IF((案件入力!$A$2:$A$301&lt;&gt;"")*(案件入力!$R$2:$R$301&lt;&gt;"完了"),ROW(案件入力!$A$2:$A$301)),ROW()-1),"")</f>
        <v/>
      </c>
    </row>
    <row r="280">
      <c r="A280" s="35">
        <f>IF($T280="","",INDEX(案件入力!$A$2:$A$301,$T280-1))</f>
        <v/>
      </c>
      <c r="B280" s="36">
        <f>IF($T280="","",INDEX(案件入力!$B$2:$B$301,$T280-1))</f>
        <v/>
      </c>
      <c r="C280" s="35">
        <f>IF($T280="","",INDEX(案件入力!$C$2:$C$301,$T280-1))</f>
        <v/>
      </c>
      <c r="D280" s="37">
        <f>IF($T280="","",INDEX(案件入力!$D$2:$D$301,$T280-1))</f>
        <v/>
      </c>
      <c r="E280" s="35">
        <f>IF($T280="","",INDEX(案件入力!$E$2:$E$301,$T280-1))</f>
        <v/>
      </c>
      <c r="F280" s="35">
        <f>IF($T280="","",INDEX(案件入力!$F$2:$F$301,$T280-1))</f>
        <v/>
      </c>
      <c r="G280" s="35">
        <f>IF($T280="","",INDEX(案件入力!$G$2:$G$301,$T280-1))</f>
        <v/>
      </c>
      <c r="H280" s="49">
        <f>IF($T280="","",INDEX(案件入力!$H$2:$H$301,$T280-1))</f>
        <v/>
      </c>
      <c r="I280" s="49">
        <f>IF($T280="","",INDEX(案件入力!$I$2:$I$301,$T280-1))</f>
        <v/>
      </c>
      <c r="J280" s="39">
        <f>IF($T280="","",INDEX(案件入力!$J$2:$J$301,$T280-1))</f>
        <v/>
      </c>
      <c r="K280" s="36">
        <f>IF($T280="","",INDEX(案件入力!$K$2:$K$301,$T280-1))</f>
        <v/>
      </c>
      <c r="L280" s="49">
        <f>IF($T280="","",INDEX(案件入力!$L$2:$L$301,$T280-1))</f>
        <v/>
      </c>
      <c r="M280" s="49">
        <f>IF($T280="","",INDEX(案件入力!$M$2:$M$301,$T280-1))</f>
        <v/>
      </c>
      <c r="N280" s="39">
        <f>IF($T280="","",INDEX(案件入力!$N$2:$N$301,$T280-1))</f>
        <v/>
      </c>
      <c r="O280" s="36">
        <f>IF($T280="","",INDEX(案件入力!$O$2:$O$301,$T280-1))</f>
        <v/>
      </c>
      <c r="P280" s="37">
        <f>IF($T280="","",INDEX(案件入力!$P$2:$P$301,$T280-1))</f>
        <v/>
      </c>
      <c r="Q280" s="35">
        <f>IF($T280="","",INDEX(案件入力!$Q$2:$Q$301,$T280-1))</f>
        <v/>
      </c>
      <c r="R280" s="35">
        <f>IF($T280="","",INDEX(案件入力!$R$2:$R$301,$T280-1))</f>
        <v/>
      </c>
      <c r="S280" s="35">
        <f>IF($T280="","",INDEX(案件入力!$S$2:$S$301,$T280-1))</f>
        <v/>
      </c>
      <c r="T280">
        <f t="array" ref="T280">IFERROR(SMALL(IF((案件入力!$A$2:$A$301&lt;&gt;"")*(案件入力!$R$2:$R$301&lt;&gt;"完了"),ROW(案件入力!$A$2:$A$301)),ROW()-1),"")</f>
        <v/>
      </c>
    </row>
    <row r="281">
      <c r="A281" s="35">
        <f>IF($T281="","",INDEX(案件入力!$A$2:$A$301,$T281-1))</f>
        <v/>
      </c>
      <c r="B281" s="36">
        <f>IF($T281="","",INDEX(案件入力!$B$2:$B$301,$T281-1))</f>
        <v/>
      </c>
      <c r="C281" s="35">
        <f>IF($T281="","",INDEX(案件入力!$C$2:$C$301,$T281-1))</f>
        <v/>
      </c>
      <c r="D281" s="37">
        <f>IF($T281="","",INDEX(案件入力!$D$2:$D$301,$T281-1))</f>
        <v/>
      </c>
      <c r="E281" s="35">
        <f>IF($T281="","",INDEX(案件入力!$E$2:$E$301,$T281-1))</f>
        <v/>
      </c>
      <c r="F281" s="35">
        <f>IF($T281="","",INDEX(案件入力!$F$2:$F$301,$T281-1))</f>
        <v/>
      </c>
      <c r="G281" s="35">
        <f>IF($T281="","",INDEX(案件入力!$G$2:$G$301,$T281-1))</f>
        <v/>
      </c>
      <c r="H281" s="49">
        <f>IF($T281="","",INDEX(案件入力!$H$2:$H$301,$T281-1))</f>
        <v/>
      </c>
      <c r="I281" s="49">
        <f>IF($T281="","",INDEX(案件入力!$I$2:$I$301,$T281-1))</f>
        <v/>
      </c>
      <c r="J281" s="39">
        <f>IF($T281="","",INDEX(案件入力!$J$2:$J$301,$T281-1))</f>
        <v/>
      </c>
      <c r="K281" s="36">
        <f>IF($T281="","",INDEX(案件入力!$K$2:$K$301,$T281-1))</f>
        <v/>
      </c>
      <c r="L281" s="49">
        <f>IF($T281="","",INDEX(案件入力!$L$2:$L$301,$T281-1))</f>
        <v/>
      </c>
      <c r="M281" s="49">
        <f>IF($T281="","",INDEX(案件入力!$M$2:$M$301,$T281-1))</f>
        <v/>
      </c>
      <c r="N281" s="39">
        <f>IF($T281="","",INDEX(案件入力!$N$2:$N$301,$T281-1))</f>
        <v/>
      </c>
      <c r="O281" s="36">
        <f>IF($T281="","",INDEX(案件入力!$O$2:$O$301,$T281-1))</f>
        <v/>
      </c>
      <c r="P281" s="37">
        <f>IF($T281="","",INDEX(案件入力!$P$2:$P$301,$T281-1))</f>
        <v/>
      </c>
      <c r="Q281" s="35">
        <f>IF($T281="","",INDEX(案件入力!$Q$2:$Q$301,$T281-1))</f>
        <v/>
      </c>
      <c r="R281" s="35">
        <f>IF($T281="","",INDEX(案件入力!$R$2:$R$301,$T281-1))</f>
        <v/>
      </c>
      <c r="S281" s="35">
        <f>IF($T281="","",INDEX(案件入力!$S$2:$S$301,$T281-1))</f>
        <v/>
      </c>
      <c r="T281">
        <f t="array" ref="T281">IFERROR(SMALL(IF((案件入力!$A$2:$A$301&lt;&gt;"")*(案件入力!$R$2:$R$301&lt;&gt;"完了"),ROW(案件入力!$A$2:$A$301)),ROW()-1),"")</f>
        <v/>
      </c>
    </row>
    <row r="282">
      <c r="A282" s="35">
        <f>IF($T282="","",INDEX(案件入力!$A$2:$A$301,$T282-1))</f>
        <v/>
      </c>
      <c r="B282" s="36">
        <f>IF($T282="","",INDEX(案件入力!$B$2:$B$301,$T282-1))</f>
        <v/>
      </c>
      <c r="C282" s="35">
        <f>IF($T282="","",INDEX(案件入力!$C$2:$C$301,$T282-1))</f>
        <v/>
      </c>
      <c r="D282" s="37">
        <f>IF($T282="","",INDEX(案件入力!$D$2:$D$301,$T282-1))</f>
        <v/>
      </c>
      <c r="E282" s="35">
        <f>IF($T282="","",INDEX(案件入力!$E$2:$E$301,$T282-1))</f>
        <v/>
      </c>
      <c r="F282" s="35">
        <f>IF($T282="","",INDEX(案件入力!$F$2:$F$301,$T282-1))</f>
        <v/>
      </c>
      <c r="G282" s="35">
        <f>IF($T282="","",INDEX(案件入力!$G$2:$G$301,$T282-1))</f>
        <v/>
      </c>
      <c r="H282" s="49">
        <f>IF($T282="","",INDEX(案件入力!$H$2:$H$301,$T282-1))</f>
        <v/>
      </c>
      <c r="I282" s="49">
        <f>IF($T282="","",INDEX(案件入力!$I$2:$I$301,$T282-1))</f>
        <v/>
      </c>
      <c r="J282" s="39">
        <f>IF($T282="","",INDEX(案件入力!$J$2:$J$301,$T282-1))</f>
        <v/>
      </c>
      <c r="K282" s="36">
        <f>IF($T282="","",INDEX(案件入力!$K$2:$K$301,$T282-1))</f>
        <v/>
      </c>
      <c r="L282" s="49">
        <f>IF($T282="","",INDEX(案件入力!$L$2:$L$301,$T282-1))</f>
        <v/>
      </c>
      <c r="M282" s="49">
        <f>IF($T282="","",INDEX(案件入力!$M$2:$M$301,$T282-1))</f>
        <v/>
      </c>
      <c r="N282" s="39">
        <f>IF($T282="","",INDEX(案件入力!$N$2:$N$301,$T282-1))</f>
        <v/>
      </c>
      <c r="O282" s="36">
        <f>IF($T282="","",INDEX(案件入力!$O$2:$O$301,$T282-1))</f>
        <v/>
      </c>
      <c r="P282" s="37">
        <f>IF($T282="","",INDEX(案件入力!$P$2:$P$301,$T282-1))</f>
        <v/>
      </c>
      <c r="Q282" s="35">
        <f>IF($T282="","",INDEX(案件入力!$Q$2:$Q$301,$T282-1))</f>
        <v/>
      </c>
      <c r="R282" s="35">
        <f>IF($T282="","",INDEX(案件入力!$R$2:$R$301,$T282-1))</f>
        <v/>
      </c>
      <c r="S282" s="35">
        <f>IF($T282="","",INDEX(案件入力!$S$2:$S$301,$T282-1))</f>
        <v/>
      </c>
      <c r="T282">
        <f t="array" ref="T282">IFERROR(SMALL(IF((案件入力!$A$2:$A$301&lt;&gt;"")*(案件入力!$R$2:$R$301&lt;&gt;"完了"),ROW(案件入力!$A$2:$A$301)),ROW()-1),"")</f>
        <v/>
      </c>
    </row>
    <row r="283">
      <c r="A283" s="35">
        <f>IF($T283="","",INDEX(案件入力!$A$2:$A$301,$T283-1))</f>
        <v/>
      </c>
      <c r="B283" s="36">
        <f>IF($T283="","",INDEX(案件入力!$B$2:$B$301,$T283-1))</f>
        <v/>
      </c>
      <c r="C283" s="35">
        <f>IF($T283="","",INDEX(案件入力!$C$2:$C$301,$T283-1))</f>
        <v/>
      </c>
      <c r="D283" s="37">
        <f>IF($T283="","",INDEX(案件入力!$D$2:$D$301,$T283-1))</f>
        <v/>
      </c>
      <c r="E283" s="35">
        <f>IF($T283="","",INDEX(案件入力!$E$2:$E$301,$T283-1))</f>
        <v/>
      </c>
      <c r="F283" s="35">
        <f>IF($T283="","",INDEX(案件入力!$F$2:$F$301,$T283-1))</f>
        <v/>
      </c>
      <c r="G283" s="35">
        <f>IF($T283="","",INDEX(案件入力!$G$2:$G$301,$T283-1))</f>
        <v/>
      </c>
      <c r="H283" s="49">
        <f>IF($T283="","",INDEX(案件入力!$H$2:$H$301,$T283-1))</f>
        <v/>
      </c>
      <c r="I283" s="49">
        <f>IF($T283="","",INDEX(案件入力!$I$2:$I$301,$T283-1))</f>
        <v/>
      </c>
      <c r="J283" s="39">
        <f>IF($T283="","",INDEX(案件入力!$J$2:$J$301,$T283-1))</f>
        <v/>
      </c>
      <c r="K283" s="36">
        <f>IF($T283="","",INDEX(案件入力!$K$2:$K$301,$T283-1))</f>
        <v/>
      </c>
      <c r="L283" s="49">
        <f>IF($T283="","",INDEX(案件入力!$L$2:$L$301,$T283-1))</f>
        <v/>
      </c>
      <c r="M283" s="49">
        <f>IF($T283="","",INDEX(案件入力!$M$2:$M$301,$T283-1))</f>
        <v/>
      </c>
      <c r="N283" s="39">
        <f>IF($T283="","",INDEX(案件入力!$N$2:$N$301,$T283-1))</f>
        <v/>
      </c>
      <c r="O283" s="36">
        <f>IF($T283="","",INDEX(案件入力!$O$2:$O$301,$T283-1))</f>
        <v/>
      </c>
      <c r="P283" s="37">
        <f>IF($T283="","",INDEX(案件入力!$P$2:$P$301,$T283-1))</f>
        <v/>
      </c>
      <c r="Q283" s="35">
        <f>IF($T283="","",INDEX(案件入力!$Q$2:$Q$301,$T283-1))</f>
        <v/>
      </c>
      <c r="R283" s="35">
        <f>IF($T283="","",INDEX(案件入力!$R$2:$R$301,$T283-1))</f>
        <v/>
      </c>
      <c r="S283" s="35">
        <f>IF($T283="","",INDEX(案件入力!$S$2:$S$301,$T283-1))</f>
        <v/>
      </c>
      <c r="T283">
        <f t="array" ref="T283">IFERROR(SMALL(IF((案件入力!$A$2:$A$301&lt;&gt;"")*(案件入力!$R$2:$R$301&lt;&gt;"完了"),ROW(案件入力!$A$2:$A$301)),ROW()-1),"")</f>
        <v/>
      </c>
    </row>
    <row r="284">
      <c r="A284" s="35">
        <f>IF($T284="","",INDEX(案件入力!$A$2:$A$301,$T284-1))</f>
        <v/>
      </c>
      <c r="B284" s="36">
        <f>IF($T284="","",INDEX(案件入力!$B$2:$B$301,$T284-1))</f>
        <v/>
      </c>
      <c r="C284" s="35">
        <f>IF($T284="","",INDEX(案件入力!$C$2:$C$301,$T284-1))</f>
        <v/>
      </c>
      <c r="D284" s="37">
        <f>IF($T284="","",INDEX(案件入力!$D$2:$D$301,$T284-1))</f>
        <v/>
      </c>
      <c r="E284" s="35">
        <f>IF($T284="","",INDEX(案件入力!$E$2:$E$301,$T284-1))</f>
        <v/>
      </c>
      <c r="F284" s="35">
        <f>IF($T284="","",INDEX(案件入力!$F$2:$F$301,$T284-1))</f>
        <v/>
      </c>
      <c r="G284" s="35">
        <f>IF($T284="","",INDEX(案件入力!$G$2:$G$301,$T284-1))</f>
        <v/>
      </c>
      <c r="H284" s="49">
        <f>IF($T284="","",INDEX(案件入力!$H$2:$H$301,$T284-1))</f>
        <v/>
      </c>
      <c r="I284" s="49">
        <f>IF($T284="","",INDEX(案件入力!$I$2:$I$301,$T284-1))</f>
        <v/>
      </c>
      <c r="J284" s="39">
        <f>IF($T284="","",INDEX(案件入力!$J$2:$J$301,$T284-1))</f>
        <v/>
      </c>
      <c r="K284" s="36">
        <f>IF($T284="","",INDEX(案件入力!$K$2:$K$301,$T284-1))</f>
        <v/>
      </c>
      <c r="L284" s="49">
        <f>IF($T284="","",INDEX(案件入力!$L$2:$L$301,$T284-1))</f>
        <v/>
      </c>
      <c r="M284" s="49">
        <f>IF($T284="","",INDEX(案件入力!$M$2:$M$301,$T284-1))</f>
        <v/>
      </c>
      <c r="N284" s="39">
        <f>IF($T284="","",INDEX(案件入力!$N$2:$N$301,$T284-1))</f>
        <v/>
      </c>
      <c r="O284" s="36">
        <f>IF($T284="","",INDEX(案件入力!$O$2:$O$301,$T284-1))</f>
        <v/>
      </c>
      <c r="P284" s="37">
        <f>IF($T284="","",INDEX(案件入力!$P$2:$P$301,$T284-1))</f>
        <v/>
      </c>
      <c r="Q284" s="35">
        <f>IF($T284="","",INDEX(案件入力!$Q$2:$Q$301,$T284-1))</f>
        <v/>
      </c>
      <c r="R284" s="35">
        <f>IF($T284="","",INDEX(案件入力!$R$2:$R$301,$T284-1))</f>
        <v/>
      </c>
      <c r="S284" s="35">
        <f>IF($T284="","",INDEX(案件入力!$S$2:$S$301,$T284-1))</f>
        <v/>
      </c>
      <c r="T284">
        <f t="array" ref="T284">IFERROR(SMALL(IF((案件入力!$A$2:$A$301&lt;&gt;"")*(案件入力!$R$2:$R$301&lt;&gt;"完了"),ROW(案件入力!$A$2:$A$301)),ROW()-1),"")</f>
        <v/>
      </c>
    </row>
    <row r="285">
      <c r="A285" s="35">
        <f>IF($T285="","",INDEX(案件入力!$A$2:$A$301,$T285-1))</f>
        <v/>
      </c>
      <c r="B285" s="36">
        <f>IF($T285="","",INDEX(案件入力!$B$2:$B$301,$T285-1))</f>
        <v/>
      </c>
      <c r="C285" s="35">
        <f>IF($T285="","",INDEX(案件入力!$C$2:$C$301,$T285-1))</f>
        <v/>
      </c>
      <c r="D285" s="37">
        <f>IF($T285="","",INDEX(案件入力!$D$2:$D$301,$T285-1))</f>
        <v/>
      </c>
      <c r="E285" s="35">
        <f>IF($T285="","",INDEX(案件入力!$E$2:$E$301,$T285-1))</f>
        <v/>
      </c>
      <c r="F285" s="35">
        <f>IF($T285="","",INDEX(案件入力!$F$2:$F$301,$T285-1))</f>
        <v/>
      </c>
      <c r="G285" s="35">
        <f>IF($T285="","",INDEX(案件入力!$G$2:$G$301,$T285-1))</f>
        <v/>
      </c>
      <c r="H285" s="49">
        <f>IF($T285="","",INDEX(案件入力!$H$2:$H$301,$T285-1))</f>
        <v/>
      </c>
      <c r="I285" s="49">
        <f>IF($T285="","",INDEX(案件入力!$I$2:$I$301,$T285-1))</f>
        <v/>
      </c>
      <c r="J285" s="39">
        <f>IF($T285="","",INDEX(案件入力!$J$2:$J$301,$T285-1))</f>
        <v/>
      </c>
      <c r="K285" s="36">
        <f>IF($T285="","",INDEX(案件入力!$K$2:$K$301,$T285-1))</f>
        <v/>
      </c>
      <c r="L285" s="49">
        <f>IF($T285="","",INDEX(案件入力!$L$2:$L$301,$T285-1))</f>
        <v/>
      </c>
      <c r="M285" s="49">
        <f>IF($T285="","",INDEX(案件入力!$M$2:$M$301,$T285-1))</f>
        <v/>
      </c>
      <c r="N285" s="39">
        <f>IF($T285="","",INDEX(案件入力!$N$2:$N$301,$T285-1))</f>
        <v/>
      </c>
      <c r="O285" s="36">
        <f>IF($T285="","",INDEX(案件入力!$O$2:$O$301,$T285-1))</f>
        <v/>
      </c>
      <c r="P285" s="37">
        <f>IF($T285="","",INDEX(案件入力!$P$2:$P$301,$T285-1))</f>
        <v/>
      </c>
      <c r="Q285" s="35">
        <f>IF($T285="","",INDEX(案件入力!$Q$2:$Q$301,$T285-1))</f>
        <v/>
      </c>
      <c r="R285" s="35">
        <f>IF($T285="","",INDEX(案件入力!$R$2:$R$301,$T285-1))</f>
        <v/>
      </c>
      <c r="S285" s="35">
        <f>IF($T285="","",INDEX(案件入力!$S$2:$S$301,$T285-1))</f>
        <v/>
      </c>
      <c r="T285">
        <f t="array" ref="T285">IFERROR(SMALL(IF((案件入力!$A$2:$A$301&lt;&gt;"")*(案件入力!$R$2:$R$301&lt;&gt;"完了"),ROW(案件入力!$A$2:$A$301)),ROW()-1),"")</f>
        <v/>
      </c>
    </row>
    <row r="286">
      <c r="A286" s="35">
        <f>IF($T286="","",INDEX(案件入力!$A$2:$A$301,$T286-1))</f>
        <v/>
      </c>
      <c r="B286" s="36">
        <f>IF($T286="","",INDEX(案件入力!$B$2:$B$301,$T286-1))</f>
        <v/>
      </c>
      <c r="C286" s="35">
        <f>IF($T286="","",INDEX(案件入力!$C$2:$C$301,$T286-1))</f>
        <v/>
      </c>
      <c r="D286" s="37">
        <f>IF($T286="","",INDEX(案件入力!$D$2:$D$301,$T286-1))</f>
        <v/>
      </c>
      <c r="E286" s="35">
        <f>IF($T286="","",INDEX(案件入力!$E$2:$E$301,$T286-1))</f>
        <v/>
      </c>
      <c r="F286" s="35">
        <f>IF($T286="","",INDEX(案件入力!$F$2:$F$301,$T286-1))</f>
        <v/>
      </c>
      <c r="G286" s="35">
        <f>IF($T286="","",INDEX(案件入力!$G$2:$G$301,$T286-1))</f>
        <v/>
      </c>
      <c r="H286" s="49">
        <f>IF($T286="","",INDEX(案件入力!$H$2:$H$301,$T286-1))</f>
        <v/>
      </c>
      <c r="I286" s="49">
        <f>IF($T286="","",INDEX(案件入力!$I$2:$I$301,$T286-1))</f>
        <v/>
      </c>
      <c r="J286" s="39">
        <f>IF($T286="","",INDEX(案件入力!$J$2:$J$301,$T286-1))</f>
        <v/>
      </c>
      <c r="K286" s="36">
        <f>IF($T286="","",INDEX(案件入力!$K$2:$K$301,$T286-1))</f>
        <v/>
      </c>
      <c r="L286" s="49">
        <f>IF($T286="","",INDEX(案件入力!$L$2:$L$301,$T286-1))</f>
        <v/>
      </c>
      <c r="M286" s="49">
        <f>IF($T286="","",INDEX(案件入力!$M$2:$M$301,$T286-1))</f>
        <v/>
      </c>
      <c r="N286" s="39">
        <f>IF($T286="","",INDEX(案件入力!$N$2:$N$301,$T286-1))</f>
        <v/>
      </c>
      <c r="O286" s="36">
        <f>IF($T286="","",INDEX(案件入力!$O$2:$O$301,$T286-1))</f>
        <v/>
      </c>
      <c r="P286" s="37">
        <f>IF($T286="","",INDEX(案件入力!$P$2:$P$301,$T286-1))</f>
        <v/>
      </c>
      <c r="Q286" s="35">
        <f>IF($T286="","",INDEX(案件入力!$Q$2:$Q$301,$T286-1))</f>
        <v/>
      </c>
      <c r="R286" s="35">
        <f>IF($T286="","",INDEX(案件入力!$R$2:$R$301,$T286-1))</f>
        <v/>
      </c>
      <c r="S286" s="35">
        <f>IF($T286="","",INDEX(案件入力!$S$2:$S$301,$T286-1))</f>
        <v/>
      </c>
      <c r="T286">
        <f t="array" ref="T286">IFERROR(SMALL(IF((案件入力!$A$2:$A$301&lt;&gt;"")*(案件入力!$R$2:$R$301&lt;&gt;"完了"),ROW(案件入力!$A$2:$A$301)),ROW()-1),"")</f>
        <v/>
      </c>
    </row>
    <row r="287">
      <c r="A287" s="35">
        <f>IF($T287="","",INDEX(案件入力!$A$2:$A$301,$T287-1))</f>
        <v/>
      </c>
      <c r="B287" s="36">
        <f>IF($T287="","",INDEX(案件入力!$B$2:$B$301,$T287-1))</f>
        <v/>
      </c>
      <c r="C287" s="35">
        <f>IF($T287="","",INDEX(案件入力!$C$2:$C$301,$T287-1))</f>
        <v/>
      </c>
      <c r="D287" s="37">
        <f>IF($T287="","",INDEX(案件入力!$D$2:$D$301,$T287-1))</f>
        <v/>
      </c>
      <c r="E287" s="35">
        <f>IF($T287="","",INDEX(案件入力!$E$2:$E$301,$T287-1))</f>
        <v/>
      </c>
      <c r="F287" s="35">
        <f>IF($T287="","",INDEX(案件入力!$F$2:$F$301,$T287-1))</f>
        <v/>
      </c>
      <c r="G287" s="35">
        <f>IF($T287="","",INDEX(案件入力!$G$2:$G$301,$T287-1))</f>
        <v/>
      </c>
      <c r="H287" s="49">
        <f>IF($T287="","",INDEX(案件入力!$H$2:$H$301,$T287-1))</f>
        <v/>
      </c>
      <c r="I287" s="49">
        <f>IF($T287="","",INDEX(案件入力!$I$2:$I$301,$T287-1))</f>
        <v/>
      </c>
      <c r="J287" s="39">
        <f>IF($T287="","",INDEX(案件入力!$J$2:$J$301,$T287-1))</f>
        <v/>
      </c>
      <c r="K287" s="36">
        <f>IF($T287="","",INDEX(案件入力!$K$2:$K$301,$T287-1))</f>
        <v/>
      </c>
      <c r="L287" s="49">
        <f>IF($T287="","",INDEX(案件入力!$L$2:$L$301,$T287-1))</f>
        <v/>
      </c>
      <c r="M287" s="49">
        <f>IF($T287="","",INDEX(案件入力!$M$2:$M$301,$T287-1))</f>
        <v/>
      </c>
      <c r="N287" s="39">
        <f>IF($T287="","",INDEX(案件入力!$N$2:$N$301,$T287-1))</f>
        <v/>
      </c>
      <c r="O287" s="36">
        <f>IF($T287="","",INDEX(案件入力!$O$2:$O$301,$T287-1))</f>
        <v/>
      </c>
      <c r="P287" s="37">
        <f>IF($T287="","",INDEX(案件入力!$P$2:$P$301,$T287-1))</f>
        <v/>
      </c>
      <c r="Q287" s="35">
        <f>IF($T287="","",INDEX(案件入力!$Q$2:$Q$301,$T287-1))</f>
        <v/>
      </c>
      <c r="R287" s="35">
        <f>IF($T287="","",INDEX(案件入力!$R$2:$R$301,$T287-1))</f>
        <v/>
      </c>
      <c r="S287" s="35">
        <f>IF($T287="","",INDEX(案件入力!$S$2:$S$301,$T287-1))</f>
        <v/>
      </c>
      <c r="T287">
        <f t="array" ref="T287">IFERROR(SMALL(IF((案件入力!$A$2:$A$301&lt;&gt;"")*(案件入力!$R$2:$R$301&lt;&gt;"完了"),ROW(案件入力!$A$2:$A$301)),ROW()-1),"")</f>
        <v/>
      </c>
    </row>
    <row r="288">
      <c r="A288" s="35">
        <f>IF($T288="","",INDEX(案件入力!$A$2:$A$301,$T288-1))</f>
        <v/>
      </c>
      <c r="B288" s="36">
        <f>IF($T288="","",INDEX(案件入力!$B$2:$B$301,$T288-1))</f>
        <v/>
      </c>
      <c r="C288" s="35">
        <f>IF($T288="","",INDEX(案件入力!$C$2:$C$301,$T288-1))</f>
        <v/>
      </c>
      <c r="D288" s="37">
        <f>IF($T288="","",INDEX(案件入力!$D$2:$D$301,$T288-1))</f>
        <v/>
      </c>
      <c r="E288" s="35">
        <f>IF($T288="","",INDEX(案件入力!$E$2:$E$301,$T288-1))</f>
        <v/>
      </c>
      <c r="F288" s="35">
        <f>IF($T288="","",INDEX(案件入力!$F$2:$F$301,$T288-1))</f>
        <v/>
      </c>
      <c r="G288" s="35">
        <f>IF($T288="","",INDEX(案件入力!$G$2:$G$301,$T288-1))</f>
        <v/>
      </c>
      <c r="H288" s="49">
        <f>IF($T288="","",INDEX(案件入力!$H$2:$H$301,$T288-1))</f>
        <v/>
      </c>
      <c r="I288" s="49">
        <f>IF($T288="","",INDEX(案件入力!$I$2:$I$301,$T288-1))</f>
        <v/>
      </c>
      <c r="J288" s="39">
        <f>IF($T288="","",INDEX(案件入力!$J$2:$J$301,$T288-1))</f>
        <v/>
      </c>
      <c r="K288" s="36">
        <f>IF($T288="","",INDEX(案件入力!$K$2:$K$301,$T288-1))</f>
        <v/>
      </c>
      <c r="L288" s="49">
        <f>IF($T288="","",INDEX(案件入力!$L$2:$L$301,$T288-1))</f>
        <v/>
      </c>
      <c r="M288" s="49">
        <f>IF($T288="","",INDEX(案件入力!$M$2:$M$301,$T288-1))</f>
        <v/>
      </c>
      <c r="N288" s="39">
        <f>IF($T288="","",INDEX(案件入力!$N$2:$N$301,$T288-1))</f>
        <v/>
      </c>
      <c r="O288" s="36">
        <f>IF($T288="","",INDEX(案件入力!$O$2:$O$301,$T288-1))</f>
        <v/>
      </c>
      <c r="P288" s="37">
        <f>IF($T288="","",INDEX(案件入力!$P$2:$P$301,$T288-1))</f>
        <v/>
      </c>
      <c r="Q288" s="35">
        <f>IF($T288="","",INDEX(案件入力!$Q$2:$Q$301,$T288-1))</f>
        <v/>
      </c>
      <c r="R288" s="35">
        <f>IF($T288="","",INDEX(案件入力!$R$2:$R$301,$T288-1))</f>
        <v/>
      </c>
      <c r="S288" s="35">
        <f>IF($T288="","",INDEX(案件入力!$S$2:$S$301,$T288-1))</f>
        <v/>
      </c>
      <c r="T288">
        <f t="array" ref="T288">IFERROR(SMALL(IF((案件入力!$A$2:$A$301&lt;&gt;"")*(案件入力!$R$2:$R$301&lt;&gt;"完了"),ROW(案件入力!$A$2:$A$301)),ROW()-1),"")</f>
        <v/>
      </c>
    </row>
    <row r="289">
      <c r="A289" s="35">
        <f>IF($T289="","",INDEX(案件入力!$A$2:$A$301,$T289-1))</f>
        <v/>
      </c>
      <c r="B289" s="36">
        <f>IF($T289="","",INDEX(案件入力!$B$2:$B$301,$T289-1))</f>
        <v/>
      </c>
      <c r="C289" s="35">
        <f>IF($T289="","",INDEX(案件入力!$C$2:$C$301,$T289-1))</f>
        <v/>
      </c>
      <c r="D289" s="37">
        <f>IF($T289="","",INDEX(案件入力!$D$2:$D$301,$T289-1))</f>
        <v/>
      </c>
      <c r="E289" s="35">
        <f>IF($T289="","",INDEX(案件入力!$E$2:$E$301,$T289-1))</f>
        <v/>
      </c>
      <c r="F289" s="35">
        <f>IF($T289="","",INDEX(案件入力!$F$2:$F$301,$T289-1))</f>
        <v/>
      </c>
      <c r="G289" s="35">
        <f>IF($T289="","",INDEX(案件入力!$G$2:$G$301,$T289-1))</f>
        <v/>
      </c>
      <c r="H289" s="49">
        <f>IF($T289="","",INDEX(案件入力!$H$2:$H$301,$T289-1))</f>
        <v/>
      </c>
      <c r="I289" s="49">
        <f>IF($T289="","",INDEX(案件入力!$I$2:$I$301,$T289-1))</f>
        <v/>
      </c>
      <c r="J289" s="39">
        <f>IF($T289="","",INDEX(案件入力!$J$2:$J$301,$T289-1))</f>
        <v/>
      </c>
      <c r="K289" s="36">
        <f>IF($T289="","",INDEX(案件入力!$K$2:$K$301,$T289-1))</f>
        <v/>
      </c>
      <c r="L289" s="49">
        <f>IF($T289="","",INDEX(案件入力!$L$2:$L$301,$T289-1))</f>
        <v/>
      </c>
      <c r="M289" s="49">
        <f>IF($T289="","",INDEX(案件入力!$M$2:$M$301,$T289-1))</f>
        <v/>
      </c>
      <c r="N289" s="39">
        <f>IF($T289="","",INDEX(案件入力!$N$2:$N$301,$T289-1))</f>
        <v/>
      </c>
      <c r="O289" s="36">
        <f>IF($T289="","",INDEX(案件入力!$O$2:$O$301,$T289-1))</f>
        <v/>
      </c>
      <c r="P289" s="37">
        <f>IF($T289="","",INDEX(案件入力!$P$2:$P$301,$T289-1))</f>
        <v/>
      </c>
      <c r="Q289" s="35">
        <f>IF($T289="","",INDEX(案件入力!$Q$2:$Q$301,$T289-1))</f>
        <v/>
      </c>
      <c r="R289" s="35">
        <f>IF($T289="","",INDEX(案件入力!$R$2:$R$301,$T289-1))</f>
        <v/>
      </c>
      <c r="S289" s="35">
        <f>IF($T289="","",INDEX(案件入力!$S$2:$S$301,$T289-1))</f>
        <v/>
      </c>
      <c r="T289">
        <f t="array" ref="T289">IFERROR(SMALL(IF((案件入力!$A$2:$A$301&lt;&gt;"")*(案件入力!$R$2:$R$301&lt;&gt;"完了"),ROW(案件入力!$A$2:$A$301)),ROW()-1),"")</f>
        <v/>
      </c>
    </row>
    <row r="290">
      <c r="A290" s="35">
        <f>IF($T290="","",INDEX(案件入力!$A$2:$A$301,$T290-1))</f>
        <v/>
      </c>
      <c r="B290" s="36">
        <f>IF($T290="","",INDEX(案件入力!$B$2:$B$301,$T290-1))</f>
        <v/>
      </c>
      <c r="C290" s="35">
        <f>IF($T290="","",INDEX(案件入力!$C$2:$C$301,$T290-1))</f>
        <v/>
      </c>
      <c r="D290" s="37">
        <f>IF($T290="","",INDEX(案件入力!$D$2:$D$301,$T290-1))</f>
        <v/>
      </c>
      <c r="E290" s="35">
        <f>IF($T290="","",INDEX(案件入力!$E$2:$E$301,$T290-1))</f>
        <v/>
      </c>
      <c r="F290" s="35">
        <f>IF($T290="","",INDEX(案件入力!$F$2:$F$301,$T290-1))</f>
        <v/>
      </c>
      <c r="G290" s="35">
        <f>IF($T290="","",INDEX(案件入力!$G$2:$G$301,$T290-1))</f>
        <v/>
      </c>
      <c r="H290" s="49">
        <f>IF($T290="","",INDEX(案件入力!$H$2:$H$301,$T290-1))</f>
        <v/>
      </c>
      <c r="I290" s="49">
        <f>IF($T290="","",INDEX(案件入力!$I$2:$I$301,$T290-1))</f>
        <v/>
      </c>
      <c r="J290" s="39">
        <f>IF($T290="","",INDEX(案件入力!$J$2:$J$301,$T290-1))</f>
        <v/>
      </c>
      <c r="K290" s="36">
        <f>IF($T290="","",INDEX(案件入力!$K$2:$K$301,$T290-1))</f>
        <v/>
      </c>
      <c r="L290" s="49">
        <f>IF($T290="","",INDEX(案件入力!$L$2:$L$301,$T290-1))</f>
        <v/>
      </c>
      <c r="M290" s="49">
        <f>IF($T290="","",INDEX(案件入力!$M$2:$M$301,$T290-1))</f>
        <v/>
      </c>
      <c r="N290" s="39">
        <f>IF($T290="","",INDEX(案件入力!$N$2:$N$301,$T290-1))</f>
        <v/>
      </c>
      <c r="O290" s="36">
        <f>IF($T290="","",INDEX(案件入力!$O$2:$O$301,$T290-1))</f>
        <v/>
      </c>
      <c r="P290" s="37">
        <f>IF($T290="","",INDEX(案件入力!$P$2:$P$301,$T290-1))</f>
        <v/>
      </c>
      <c r="Q290" s="35">
        <f>IF($T290="","",INDEX(案件入力!$Q$2:$Q$301,$T290-1))</f>
        <v/>
      </c>
      <c r="R290" s="35">
        <f>IF($T290="","",INDEX(案件入力!$R$2:$R$301,$T290-1))</f>
        <v/>
      </c>
      <c r="S290" s="35">
        <f>IF($T290="","",INDEX(案件入力!$S$2:$S$301,$T290-1))</f>
        <v/>
      </c>
      <c r="T290">
        <f t="array" ref="T290">IFERROR(SMALL(IF((案件入力!$A$2:$A$301&lt;&gt;"")*(案件入力!$R$2:$R$301&lt;&gt;"完了"),ROW(案件入力!$A$2:$A$301)),ROW()-1),"")</f>
        <v/>
      </c>
    </row>
    <row r="291">
      <c r="A291" s="35">
        <f>IF($T291="","",INDEX(案件入力!$A$2:$A$301,$T291-1))</f>
        <v/>
      </c>
      <c r="B291" s="36">
        <f>IF($T291="","",INDEX(案件入力!$B$2:$B$301,$T291-1))</f>
        <v/>
      </c>
      <c r="C291" s="35">
        <f>IF($T291="","",INDEX(案件入力!$C$2:$C$301,$T291-1))</f>
        <v/>
      </c>
      <c r="D291" s="37">
        <f>IF($T291="","",INDEX(案件入力!$D$2:$D$301,$T291-1))</f>
        <v/>
      </c>
      <c r="E291" s="35">
        <f>IF($T291="","",INDEX(案件入力!$E$2:$E$301,$T291-1))</f>
        <v/>
      </c>
      <c r="F291" s="35">
        <f>IF($T291="","",INDEX(案件入力!$F$2:$F$301,$T291-1))</f>
        <v/>
      </c>
      <c r="G291" s="35">
        <f>IF($T291="","",INDEX(案件入力!$G$2:$G$301,$T291-1))</f>
        <v/>
      </c>
      <c r="H291" s="49">
        <f>IF($T291="","",INDEX(案件入力!$H$2:$H$301,$T291-1))</f>
        <v/>
      </c>
      <c r="I291" s="49">
        <f>IF($T291="","",INDEX(案件入力!$I$2:$I$301,$T291-1))</f>
        <v/>
      </c>
      <c r="J291" s="39">
        <f>IF($T291="","",INDEX(案件入力!$J$2:$J$301,$T291-1))</f>
        <v/>
      </c>
      <c r="K291" s="36">
        <f>IF($T291="","",INDEX(案件入力!$K$2:$K$301,$T291-1))</f>
        <v/>
      </c>
      <c r="L291" s="49">
        <f>IF($T291="","",INDEX(案件入力!$L$2:$L$301,$T291-1))</f>
        <v/>
      </c>
      <c r="M291" s="49">
        <f>IF($T291="","",INDEX(案件入力!$M$2:$M$301,$T291-1))</f>
        <v/>
      </c>
      <c r="N291" s="39">
        <f>IF($T291="","",INDEX(案件入力!$N$2:$N$301,$T291-1))</f>
        <v/>
      </c>
      <c r="O291" s="36">
        <f>IF($T291="","",INDEX(案件入力!$O$2:$O$301,$T291-1))</f>
        <v/>
      </c>
      <c r="P291" s="37">
        <f>IF($T291="","",INDEX(案件入力!$P$2:$P$301,$T291-1))</f>
        <v/>
      </c>
      <c r="Q291" s="35">
        <f>IF($T291="","",INDEX(案件入力!$Q$2:$Q$301,$T291-1))</f>
        <v/>
      </c>
      <c r="R291" s="35">
        <f>IF($T291="","",INDEX(案件入力!$R$2:$R$301,$T291-1))</f>
        <v/>
      </c>
      <c r="S291" s="35">
        <f>IF($T291="","",INDEX(案件入力!$S$2:$S$301,$T291-1))</f>
        <v/>
      </c>
      <c r="T291">
        <f t="array" ref="T291">IFERROR(SMALL(IF((案件入力!$A$2:$A$301&lt;&gt;"")*(案件入力!$R$2:$R$301&lt;&gt;"完了"),ROW(案件入力!$A$2:$A$301)),ROW()-1),"")</f>
        <v/>
      </c>
    </row>
    <row r="292">
      <c r="A292" s="35">
        <f>IF($T292="","",INDEX(案件入力!$A$2:$A$301,$T292-1))</f>
        <v/>
      </c>
      <c r="B292" s="36">
        <f>IF($T292="","",INDEX(案件入力!$B$2:$B$301,$T292-1))</f>
        <v/>
      </c>
      <c r="C292" s="35">
        <f>IF($T292="","",INDEX(案件入力!$C$2:$C$301,$T292-1))</f>
        <v/>
      </c>
      <c r="D292" s="37">
        <f>IF($T292="","",INDEX(案件入力!$D$2:$D$301,$T292-1))</f>
        <v/>
      </c>
      <c r="E292" s="35">
        <f>IF($T292="","",INDEX(案件入力!$E$2:$E$301,$T292-1))</f>
        <v/>
      </c>
      <c r="F292" s="35">
        <f>IF($T292="","",INDEX(案件入力!$F$2:$F$301,$T292-1))</f>
        <v/>
      </c>
      <c r="G292" s="35">
        <f>IF($T292="","",INDEX(案件入力!$G$2:$G$301,$T292-1))</f>
        <v/>
      </c>
      <c r="H292" s="49">
        <f>IF($T292="","",INDEX(案件入力!$H$2:$H$301,$T292-1))</f>
        <v/>
      </c>
      <c r="I292" s="49">
        <f>IF($T292="","",INDEX(案件入力!$I$2:$I$301,$T292-1))</f>
        <v/>
      </c>
      <c r="J292" s="39">
        <f>IF($T292="","",INDEX(案件入力!$J$2:$J$301,$T292-1))</f>
        <v/>
      </c>
      <c r="K292" s="36">
        <f>IF($T292="","",INDEX(案件入力!$K$2:$K$301,$T292-1))</f>
        <v/>
      </c>
      <c r="L292" s="49">
        <f>IF($T292="","",INDEX(案件入力!$L$2:$L$301,$T292-1))</f>
        <v/>
      </c>
      <c r="M292" s="49">
        <f>IF($T292="","",INDEX(案件入力!$M$2:$M$301,$T292-1))</f>
        <v/>
      </c>
      <c r="N292" s="39">
        <f>IF($T292="","",INDEX(案件入力!$N$2:$N$301,$T292-1))</f>
        <v/>
      </c>
      <c r="O292" s="36">
        <f>IF($T292="","",INDEX(案件入力!$O$2:$O$301,$T292-1))</f>
        <v/>
      </c>
      <c r="P292" s="37">
        <f>IF($T292="","",INDEX(案件入力!$P$2:$P$301,$T292-1))</f>
        <v/>
      </c>
      <c r="Q292" s="35">
        <f>IF($T292="","",INDEX(案件入力!$Q$2:$Q$301,$T292-1))</f>
        <v/>
      </c>
      <c r="R292" s="35">
        <f>IF($T292="","",INDEX(案件入力!$R$2:$R$301,$T292-1))</f>
        <v/>
      </c>
      <c r="S292" s="35">
        <f>IF($T292="","",INDEX(案件入力!$S$2:$S$301,$T292-1))</f>
        <v/>
      </c>
      <c r="T292">
        <f t="array" ref="T292">IFERROR(SMALL(IF((案件入力!$A$2:$A$301&lt;&gt;"")*(案件入力!$R$2:$R$301&lt;&gt;"完了"),ROW(案件入力!$A$2:$A$301)),ROW()-1),"")</f>
        <v/>
      </c>
    </row>
    <row r="293">
      <c r="A293" s="35">
        <f>IF($T293="","",INDEX(案件入力!$A$2:$A$301,$T293-1))</f>
        <v/>
      </c>
      <c r="B293" s="36">
        <f>IF($T293="","",INDEX(案件入力!$B$2:$B$301,$T293-1))</f>
        <v/>
      </c>
      <c r="C293" s="35">
        <f>IF($T293="","",INDEX(案件入力!$C$2:$C$301,$T293-1))</f>
        <v/>
      </c>
      <c r="D293" s="37">
        <f>IF($T293="","",INDEX(案件入力!$D$2:$D$301,$T293-1))</f>
        <v/>
      </c>
      <c r="E293" s="35">
        <f>IF($T293="","",INDEX(案件入力!$E$2:$E$301,$T293-1))</f>
        <v/>
      </c>
      <c r="F293" s="35">
        <f>IF($T293="","",INDEX(案件入力!$F$2:$F$301,$T293-1))</f>
        <v/>
      </c>
      <c r="G293" s="35">
        <f>IF($T293="","",INDEX(案件入力!$G$2:$G$301,$T293-1))</f>
        <v/>
      </c>
      <c r="H293" s="49">
        <f>IF($T293="","",INDEX(案件入力!$H$2:$H$301,$T293-1))</f>
        <v/>
      </c>
      <c r="I293" s="49">
        <f>IF($T293="","",INDEX(案件入力!$I$2:$I$301,$T293-1))</f>
        <v/>
      </c>
      <c r="J293" s="39">
        <f>IF($T293="","",INDEX(案件入力!$J$2:$J$301,$T293-1))</f>
        <v/>
      </c>
      <c r="K293" s="36">
        <f>IF($T293="","",INDEX(案件入力!$K$2:$K$301,$T293-1))</f>
        <v/>
      </c>
      <c r="L293" s="49">
        <f>IF($T293="","",INDEX(案件入力!$L$2:$L$301,$T293-1))</f>
        <v/>
      </c>
      <c r="M293" s="49">
        <f>IF($T293="","",INDEX(案件入力!$M$2:$M$301,$T293-1))</f>
        <v/>
      </c>
      <c r="N293" s="39">
        <f>IF($T293="","",INDEX(案件入力!$N$2:$N$301,$T293-1))</f>
        <v/>
      </c>
      <c r="O293" s="36">
        <f>IF($T293="","",INDEX(案件入力!$O$2:$O$301,$T293-1))</f>
        <v/>
      </c>
      <c r="P293" s="37">
        <f>IF($T293="","",INDEX(案件入力!$P$2:$P$301,$T293-1))</f>
        <v/>
      </c>
      <c r="Q293" s="35">
        <f>IF($T293="","",INDEX(案件入力!$Q$2:$Q$301,$T293-1))</f>
        <v/>
      </c>
      <c r="R293" s="35">
        <f>IF($T293="","",INDEX(案件入力!$R$2:$R$301,$T293-1))</f>
        <v/>
      </c>
      <c r="S293" s="35">
        <f>IF($T293="","",INDEX(案件入力!$S$2:$S$301,$T293-1))</f>
        <v/>
      </c>
      <c r="T293">
        <f t="array" ref="T293">IFERROR(SMALL(IF((案件入力!$A$2:$A$301&lt;&gt;"")*(案件入力!$R$2:$R$301&lt;&gt;"完了"),ROW(案件入力!$A$2:$A$301)),ROW()-1),"")</f>
        <v/>
      </c>
    </row>
    <row r="294">
      <c r="A294" s="35">
        <f>IF($T294="","",INDEX(案件入力!$A$2:$A$301,$T294-1))</f>
        <v/>
      </c>
      <c r="B294" s="36">
        <f>IF($T294="","",INDEX(案件入力!$B$2:$B$301,$T294-1))</f>
        <v/>
      </c>
      <c r="C294" s="35">
        <f>IF($T294="","",INDEX(案件入力!$C$2:$C$301,$T294-1))</f>
        <v/>
      </c>
      <c r="D294" s="37">
        <f>IF($T294="","",INDEX(案件入力!$D$2:$D$301,$T294-1))</f>
        <v/>
      </c>
      <c r="E294" s="35">
        <f>IF($T294="","",INDEX(案件入力!$E$2:$E$301,$T294-1))</f>
        <v/>
      </c>
      <c r="F294" s="35">
        <f>IF($T294="","",INDEX(案件入力!$F$2:$F$301,$T294-1))</f>
        <v/>
      </c>
      <c r="G294" s="35">
        <f>IF($T294="","",INDEX(案件入力!$G$2:$G$301,$T294-1))</f>
        <v/>
      </c>
      <c r="H294" s="49">
        <f>IF($T294="","",INDEX(案件入力!$H$2:$H$301,$T294-1))</f>
        <v/>
      </c>
      <c r="I294" s="49">
        <f>IF($T294="","",INDEX(案件入力!$I$2:$I$301,$T294-1))</f>
        <v/>
      </c>
      <c r="J294" s="39">
        <f>IF($T294="","",INDEX(案件入力!$J$2:$J$301,$T294-1))</f>
        <v/>
      </c>
      <c r="K294" s="36">
        <f>IF($T294="","",INDEX(案件入力!$K$2:$K$301,$T294-1))</f>
        <v/>
      </c>
      <c r="L294" s="49">
        <f>IF($T294="","",INDEX(案件入力!$L$2:$L$301,$T294-1))</f>
        <v/>
      </c>
      <c r="M294" s="49">
        <f>IF($T294="","",INDEX(案件入力!$M$2:$M$301,$T294-1))</f>
        <v/>
      </c>
      <c r="N294" s="39">
        <f>IF($T294="","",INDEX(案件入力!$N$2:$N$301,$T294-1))</f>
        <v/>
      </c>
      <c r="O294" s="36">
        <f>IF($T294="","",INDEX(案件入力!$O$2:$O$301,$T294-1))</f>
        <v/>
      </c>
      <c r="P294" s="37">
        <f>IF($T294="","",INDEX(案件入力!$P$2:$P$301,$T294-1))</f>
        <v/>
      </c>
      <c r="Q294" s="35">
        <f>IF($T294="","",INDEX(案件入力!$Q$2:$Q$301,$T294-1))</f>
        <v/>
      </c>
      <c r="R294" s="35">
        <f>IF($T294="","",INDEX(案件入力!$R$2:$R$301,$T294-1))</f>
        <v/>
      </c>
      <c r="S294" s="35">
        <f>IF($T294="","",INDEX(案件入力!$S$2:$S$301,$T294-1))</f>
        <v/>
      </c>
      <c r="T294">
        <f t="array" ref="T294">IFERROR(SMALL(IF((案件入力!$A$2:$A$301&lt;&gt;"")*(案件入力!$R$2:$R$301&lt;&gt;"完了"),ROW(案件入力!$A$2:$A$301)),ROW()-1),"")</f>
        <v/>
      </c>
    </row>
    <row r="295">
      <c r="A295" s="35">
        <f>IF($T295="","",INDEX(案件入力!$A$2:$A$301,$T295-1))</f>
        <v/>
      </c>
      <c r="B295" s="36">
        <f>IF($T295="","",INDEX(案件入力!$B$2:$B$301,$T295-1))</f>
        <v/>
      </c>
      <c r="C295" s="35">
        <f>IF($T295="","",INDEX(案件入力!$C$2:$C$301,$T295-1))</f>
        <v/>
      </c>
      <c r="D295" s="37">
        <f>IF($T295="","",INDEX(案件入力!$D$2:$D$301,$T295-1))</f>
        <v/>
      </c>
      <c r="E295" s="35">
        <f>IF($T295="","",INDEX(案件入力!$E$2:$E$301,$T295-1))</f>
        <v/>
      </c>
      <c r="F295" s="35">
        <f>IF($T295="","",INDEX(案件入力!$F$2:$F$301,$T295-1))</f>
        <v/>
      </c>
      <c r="G295" s="35">
        <f>IF($T295="","",INDEX(案件入力!$G$2:$G$301,$T295-1))</f>
        <v/>
      </c>
      <c r="H295" s="49">
        <f>IF($T295="","",INDEX(案件入力!$H$2:$H$301,$T295-1))</f>
        <v/>
      </c>
      <c r="I295" s="49">
        <f>IF($T295="","",INDEX(案件入力!$I$2:$I$301,$T295-1))</f>
        <v/>
      </c>
      <c r="J295" s="39">
        <f>IF($T295="","",INDEX(案件入力!$J$2:$J$301,$T295-1))</f>
        <v/>
      </c>
      <c r="K295" s="36">
        <f>IF($T295="","",INDEX(案件入力!$K$2:$K$301,$T295-1))</f>
        <v/>
      </c>
      <c r="L295" s="49">
        <f>IF($T295="","",INDEX(案件入力!$L$2:$L$301,$T295-1))</f>
        <v/>
      </c>
      <c r="M295" s="49">
        <f>IF($T295="","",INDEX(案件入力!$M$2:$M$301,$T295-1))</f>
        <v/>
      </c>
      <c r="N295" s="39">
        <f>IF($T295="","",INDEX(案件入力!$N$2:$N$301,$T295-1))</f>
        <v/>
      </c>
      <c r="O295" s="36">
        <f>IF($T295="","",INDEX(案件入力!$O$2:$O$301,$T295-1))</f>
        <v/>
      </c>
      <c r="P295" s="37">
        <f>IF($T295="","",INDEX(案件入力!$P$2:$P$301,$T295-1))</f>
        <v/>
      </c>
      <c r="Q295" s="35">
        <f>IF($T295="","",INDEX(案件入力!$Q$2:$Q$301,$T295-1))</f>
        <v/>
      </c>
      <c r="R295" s="35">
        <f>IF($T295="","",INDEX(案件入力!$R$2:$R$301,$T295-1))</f>
        <v/>
      </c>
      <c r="S295" s="35">
        <f>IF($T295="","",INDEX(案件入力!$S$2:$S$301,$T295-1))</f>
        <v/>
      </c>
      <c r="T295">
        <f t="array" ref="T295">IFERROR(SMALL(IF((案件入力!$A$2:$A$301&lt;&gt;"")*(案件入力!$R$2:$R$301&lt;&gt;"完了"),ROW(案件入力!$A$2:$A$301)),ROW()-1),"")</f>
        <v/>
      </c>
    </row>
    <row r="296">
      <c r="A296" s="35">
        <f>IF($T296="","",INDEX(案件入力!$A$2:$A$301,$T296-1))</f>
        <v/>
      </c>
      <c r="B296" s="36">
        <f>IF($T296="","",INDEX(案件入力!$B$2:$B$301,$T296-1))</f>
        <v/>
      </c>
      <c r="C296" s="35">
        <f>IF($T296="","",INDEX(案件入力!$C$2:$C$301,$T296-1))</f>
        <v/>
      </c>
      <c r="D296" s="37">
        <f>IF($T296="","",INDEX(案件入力!$D$2:$D$301,$T296-1))</f>
        <v/>
      </c>
      <c r="E296" s="35">
        <f>IF($T296="","",INDEX(案件入力!$E$2:$E$301,$T296-1))</f>
        <v/>
      </c>
      <c r="F296" s="35">
        <f>IF($T296="","",INDEX(案件入力!$F$2:$F$301,$T296-1))</f>
        <v/>
      </c>
      <c r="G296" s="35">
        <f>IF($T296="","",INDEX(案件入力!$G$2:$G$301,$T296-1))</f>
        <v/>
      </c>
      <c r="H296" s="49">
        <f>IF($T296="","",INDEX(案件入力!$H$2:$H$301,$T296-1))</f>
        <v/>
      </c>
      <c r="I296" s="49">
        <f>IF($T296="","",INDEX(案件入力!$I$2:$I$301,$T296-1))</f>
        <v/>
      </c>
      <c r="J296" s="39">
        <f>IF($T296="","",INDEX(案件入力!$J$2:$J$301,$T296-1))</f>
        <v/>
      </c>
      <c r="K296" s="36">
        <f>IF($T296="","",INDEX(案件入力!$K$2:$K$301,$T296-1))</f>
        <v/>
      </c>
      <c r="L296" s="49">
        <f>IF($T296="","",INDEX(案件入力!$L$2:$L$301,$T296-1))</f>
        <v/>
      </c>
      <c r="M296" s="49">
        <f>IF($T296="","",INDEX(案件入力!$M$2:$M$301,$T296-1))</f>
        <v/>
      </c>
      <c r="N296" s="39">
        <f>IF($T296="","",INDEX(案件入力!$N$2:$N$301,$T296-1))</f>
        <v/>
      </c>
      <c r="O296" s="36">
        <f>IF($T296="","",INDEX(案件入力!$O$2:$O$301,$T296-1))</f>
        <v/>
      </c>
      <c r="P296" s="37">
        <f>IF($T296="","",INDEX(案件入力!$P$2:$P$301,$T296-1))</f>
        <v/>
      </c>
      <c r="Q296" s="35">
        <f>IF($T296="","",INDEX(案件入力!$Q$2:$Q$301,$T296-1))</f>
        <v/>
      </c>
      <c r="R296" s="35">
        <f>IF($T296="","",INDEX(案件入力!$R$2:$R$301,$T296-1))</f>
        <v/>
      </c>
      <c r="S296" s="35">
        <f>IF($T296="","",INDEX(案件入力!$S$2:$S$301,$T296-1))</f>
        <v/>
      </c>
      <c r="T296">
        <f t="array" ref="T296">IFERROR(SMALL(IF((案件入力!$A$2:$A$301&lt;&gt;"")*(案件入力!$R$2:$R$301&lt;&gt;"完了"),ROW(案件入力!$A$2:$A$301)),ROW()-1),"")</f>
        <v/>
      </c>
    </row>
    <row r="297">
      <c r="A297" s="35">
        <f>IF($T297="","",INDEX(案件入力!$A$2:$A$301,$T297-1))</f>
        <v/>
      </c>
      <c r="B297" s="36">
        <f>IF($T297="","",INDEX(案件入力!$B$2:$B$301,$T297-1))</f>
        <v/>
      </c>
      <c r="C297" s="35">
        <f>IF($T297="","",INDEX(案件入力!$C$2:$C$301,$T297-1))</f>
        <v/>
      </c>
      <c r="D297" s="37">
        <f>IF($T297="","",INDEX(案件入力!$D$2:$D$301,$T297-1))</f>
        <v/>
      </c>
      <c r="E297" s="35">
        <f>IF($T297="","",INDEX(案件入力!$E$2:$E$301,$T297-1))</f>
        <v/>
      </c>
      <c r="F297" s="35">
        <f>IF($T297="","",INDEX(案件入力!$F$2:$F$301,$T297-1))</f>
        <v/>
      </c>
      <c r="G297" s="35">
        <f>IF($T297="","",INDEX(案件入力!$G$2:$G$301,$T297-1))</f>
        <v/>
      </c>
      <c r="H297" s="49">
        <f>IF($T297="","",INDEX(案件入力!$H$2:$H$301,$T297-1))</f>
        <v/>
      </c>
      <c r="I297" s="49">
        <f>IF($T297="","",INDEX(案件入力!$I$2:$I$301,$T297-1))</f>
        <v/>
      </c>
      <c r="J297" s="39">
        <f>IF($T297="","",INDEX(案件入力!$J$2:$J$301,$T297-1))</f>
        <v/>
      </c>
      <c r="K297" s="36">
        <f>IF($T297="","",INDEX(案件入力!$K$2:$K$301,$T297-1))</f>
        <v/>
      </c>
      <c r="L297" s="49">
        <f>IF($T297="","",INDEX(案件入力!$L$2:$L$301,$T297-1))</f>
        <v/>
      </c>
      <c r="M297" s="49">
        <f>IF($T297="","",INDEX(案件入力!$M$2:$M$301,$T297-1))</f>
        <v/>
      </c>
      <c r="N297" s="39">
        <f>IF($T297="","",INDEX(案件入力!$N$2:$N$301,$T297-1))</f>
        <v/>
      </c>
      <c r="O297" s="36">
        <f>IF($T297="","",INDEX(案件入力!$O$2:$O$301,$T297-1))</f>
        <v/>
      </c>
      <c r="P297" s="37">
        <f>IF($T297="","",INDEX(案件入力!$P$2:$P$301,$T297-1))</f>
        <v/>
      </c>
      <c r="Q297" s="35">
        <f>IF($T297="","",INDEX(案件入力!$Q$2:$Q$301,$T297-1))</f>
        <v/>
      </c>
      <c r="R297" s="35">
        <f>IF($T297="","",INDEX(案件入力!$R$2:$R$301,$T297-1))</f>
        <v/>
      </c>
      <c r="S297" s="35">
        <f>IF($T297="","",INDEX(案件入力!$S$2:$S$301,$T297-1))</f>
        <v/>
      </c>
      <c r="T297">
        <f t="array" ref="T297">IFERROR(SMALL(IF((案件入力!$A$2:$A$301&lt;&gt;"")*(案件入力!$R$2:$R$301&lt;&gt;"完了"),ROW(案件入力!$A$2:$A$301)),ROW()-1),"")</f>
        <v/>
      </c>
    </row>
    <row r="298">
      <c r="A298" s="35">
        <f>IF($T298="","",INDEX(案件入力!$A$2:$A$301,$T298-1))</f>
        <v/>
      </c>
      <c r="B298" s="36">
        <f>IF($T298="","",INDEX(案件入力!$B$2:$B$301,$T298-1))</f>
        <v/>
      </c>
      <c r="C298" s="35">
        <f>IF($T298="","",INDEX(案件入力!$C$2:$C$301,$T298-1))</f>
        <v/>
      </c>
      <c r="D298" s="37">
        <f>IF($T298="","",INDEX(案件入力!$D$2:$D$301,$T298-1))</f>
        <v/>
      </c>
      <c r="E298" s="35">
        <f>IF($T298="","",INDEX(案件入力!$E$2:$E$301,$T298-1))</f>
        <v/>
      </c>
      <c r="F298" s="35">
        <f>IF($T298="","",INDEX(案件入力!$F$2:$F$301,$T298-1))</f>
        <v/>
      </c>
      <c r="G298" s="35">
        <f>IF($T298="","",INDEX(案件入力!$G$2:$G$301,$T298-1))</f>
        <v/>
      </c>
      <c r="H298" s="49">
        <f>IF($T298="","",INDEX(案件入力!$H$2:$H$301,$T298-1))</f>
        <v/>
      </c>
      <c r="I298" s="49">
        <f>IF($T298="","",INDEX(案件入力!$I$2:$I$301,$T298-1))</f>
        <v/>
      </c>
      <c r="J298" s="39">
        <f>IF($T298="","",INDEX(案件入力!$J$2:$J$301,$T298-1))</f>
        <v/>
      </c>
      <c r="K298" s="36">
        <f>IF($T298="","",INDEX(案件入力!$K$2:$K$301,$T298-1))</f>
        <v/>
      </c>
      <c r="L298" s="49">
        <f>IF($T298="","",INDEX(案件入力!$L$2:$L$301,$T298-1))</f>
        <v/>
      </c>
      <c r="M298" s="49">
        <f>IF($T298="","",INDEX(案件入力!$M$2:$M$301,$T298-1))</f>
        <v/>
      </c>
      <c r="N298" s="39">
        <f>IF($T298="","",INDEX(案件入力!$N$2:$N$301,$T298-1))</f>
        <v/>
      </c>
      <c r="O298" s="36">
        <f>IF($T298="","",INDEX(案件入力!$O$2:$O$301,$T298-1))</f>
        <v/>
      </c>
      <c r="P298" s="37">
        <f>IF($T298="","",INDEX(案件入力!$P$2:$P$301,$T298-1))</f>
        <v/>
      </c>
      <c r="Q298" s="35">
        <f>IF($T298="","",INDEX(案件入力!$Q$2:$Q$301,$T298-1))</f>
        <v/>
      </c>
      <c r="R298" s="35">
        <f>IF($T298="","",INDEX(案件入力!$R$2:$R$301,$T298-1))</f>
        <v/>
      </c>
      <c r="S298" s="35">
        <f>IF($T298="","",INDEX(案件入力!$S$2:$S$301,$T298-1))</f>
        <v/>
      </c>
      <c r="T298">
        <f t="array" ref="T298">IFERROR(SMALL(IF((案件入力!$A$2:$A$301&lt;&gt;"")*(案件入力!$R$2:$R$301&lt;&gt;"完了"),ROW(案件入力!$A$2:$A$301)),ROW()-1),"")</f>
        <v/>
      </c>
    </row>
    <row r="299">
      <c r="A299" s="35">
        <f>IF($T299="","",INDEX(案件入力!$A$2:$A$301,$T299-1))</f>
        <v/>
      </c>
      <c r="B299" s="36">
        <f>IF($T299="","",INDEX(案件入力!$B$2:$B$301,$T299-1))</f>
        <v/>
      </c>
      <c r="C299" s="35">
        <f>IF($T299="","",INDEX(案件入力!$C$2:$C$301,$T299-1))</f>
        <v/>
      </c>
      <c r="D299" s="37">
        <f>IF($T299="","",INDEX(案件入力!$D$2:$D$301,$T299-1))</f>
        <v/>
      </c>
      <c r="E299" s="35">
        <f>IF($T299="","",INDEX(案件入力!$E$2:$E$301,$T299-1))</f>
        <v/>
      </c>
      <c r="F299" s="35">
        <f>IF($T299="","",INDEX(案件入力!$F$2:$F$301,$T299-1))</f>
        <v/>
      </c>
      <c r="G299" s="35">
        <f>IF($T299="","",INDEX(案件入力!$G$2:$G$301,$T299-1))</f>
        <v/>
      </c>
      <c r="H299" s="49">
        <f>IF($T299="","",INDEX(案件入力!$H$2:$H$301,$T299-1))</f>
        <v/>
      </c>
      <c r="I299" s="49">
        <f>IF($T299="","",INDEX(案件入力!$I$2:$I$301,$T299-1))</f>
        <v/>
      </c>
      <c r="J299" s="39">
        <f>IF($T299="","",INDEX(案件入力!$J$2:$J$301,$T299-1))</f>
        <v/>
      </c>
      <c r="K299" s="36">
        <f>IF($T299="","",INDEX(案件入力!$K$2:$K$301,$T299-1))</f>
        <v/>
      </c>
      <c r="L299" s="49">
        <f>IF($T299="","",INDEX(案件入力!$L$2:$L$301,$T299-1))</f>
        <v/>
      </c>
      <c r="M299" s="49">
        <f>IF($T299="","",INDEX(案件入力!$M$2:$M$301,$T299-1))</f>
        <v/>
      </c>
      <c r="N299" s="39">
        <f>IF($T299="","",INDEX(案件入力!$N$2:$N$301,$T299-1))</f>
        <v/>
      </c>
      <c r="O299" s="36">
        <f>IF($T299="","",INDEX(案件入力!$O$2:$O$301,$T299-1))</f>
        <v/>
      </c>
      <c r="P299" s="37">
        <f>IF($T299="","",INDEX(案件入力!$P$2:$P$301,$T299-1))</f>
        <v/>
      </c>
      <c r="Q299" s="35">
        <f>IF($T299="","",INDEX(案件入力!$Q$2:$Q$301,$T299-1))</f>
        <v/>
      </c>
      <c r="R299" s="35">
        <f>IF($T299="","",INDEX(案件入力!$R$2:$R$301,$T299-1))</f>
        <v/>
      </c>
      <c r="S299" s="35">
        <f>IF($T299="","",INDEX(案件入力!$S$2:$S$301,$T299-1))</f>
        <v/>
      </c>
      <c r="T299">
        <f t="array" ref="T299">IFERROR(SMALL(IF((案件入力!$A$2:$A$301&lt;&gt;"")*(案件入力!$R$2:$R$301&lt;&gt;"完了"),ROW(案件入力!$A$2:$A$301)),ROW()-1),"")</f>
        <v/>
      </c>
    </row>
    <row r="300">
      <c r="A300" s="35">
        <f>IF($T300="","",INDEX(案件入力!$A$2:$A$301,$T300-1))</f>
        <v/>
      </c>
      <c r="B300" s="36">
        <f>IF($T300="","",INDEX(案件入力!$B$2:$B$301,$T300-1))</f>
        <v/>
      </c>
      <c r="C300" s="35">
        <f>IF($T300="","",INDEX(案件入力!$C$2:$C$301,$T300-1))</f>
        <v/>
      </c>
      <c r="D300" s="37">
        <f>IF($T300="","",INDEX(案件入力!$D$2:$D$301,$T300-1))</f>
        <v/>
      </c>
      <c r="E300" s="35">
        <f>IF($T300="","",INDEX(案件入力!$E$2:$E$301,$T300-1))</f>
        <v/>
      </c>
      <c r="F300" s="35">
        <f>IF($T300="","",INDEX(案件入力!$F$2:$F$301,$T300-1))</f>
        <v/>
      </c>
      <c r="G300" s="35">
        <f>IF($T300="","",INDEX(案件入力!$G$2:$G$301,$T300-1))</f>
        <v/>
      </c>
      <c r="H300" s="49">
        <f>IF($T300="","",INDEX(案件入力!$H$2:$H$301,$T300-1))</f>
        <v/>
      </c>
      <c r="I300" s="49">
        <f>IF($T300="","",INDEX(案件入力!$I$2:$I$301,$T300-1))</f>
        <v/>
      </c>
      <c r="J300" s="39">
        <f>IF($T300="","",INDEX(案件入力!$J$2:$J$301,$T300-1))</f>
        <v/>
      </c>
      <c r="K300" s="36">
        <f>IF($T300="","",INDEX(案件入力!$K$2:$K$301,$T300-1))</f>
        <v/>
      </c>
      <c r="L300" s="49">
        <f>IF($T300="","",INDEX(案件入力!$L$2:$L$301,$T300-1))</f>
        <v/>
      </c>
      <c r="M300" s="49">
        <f>IF($T300="","",INDEX(案件入力!$M$2:$M$301,$T300-1))</f>
        <v/>
      </c>
      <c r="N300" s="39">
        <f>IF($T300="","",INDEX(案件入力!$N$2:$N$301,$T300-1))</f>
        <v/>
      </c>
      <c r="O300" s="36">
        <f>IF($T300="","",INDEX(案件入力!$O$2:$O$301,$T300-1))</f>
        <v/>
      </c>
      <c r="P300" s="37">
        <f>IF($T300="","",INDEX(案件入力!$P$2:$P$301,$T300-1))</f>
        <v/>
      </c>
      <c r="Q300" s="35">
        <f>IF($T300="","",INDEX(案件入力!$Q$2:$Q$301,$T300-1))</f>
        <v/>
      </c>
      <c r="R300" s="35">
        <f>IF($T300="","",INDEX(案件入力!$R$2:$R$301,$T300-1))</f>
        <v/>
      </c>
      <c r="S300" s="35">
        <f>IF($T300="","",INDEX(案件入力!$S$2:$S$301,$T300-1))</f>
        <v/>
      </c>
      <c r="T300">
        <f t="array" ref="T300">IFERROR(SMALL(IF((案件入力!$A$2:$A$301&lt;&gt;"")*(案件入力!$R$2:$R$301&lt;&gt;"完了"),ROW(案件入力!$A$2:$A$301)),ROW()-1),"")</f>
        <v/>
      </c>
    </row>
    <row r="301">
      <c r="A301" s="35">
        <f>IF($T301="","",INDEX(案件入力!$A$2:$A$301,$T301-1))</f>
        <v/>
      </c>
      <c r="B301" s="36">
        <f>IF($T301="","",INDEX(案件入力!$B$2:$B$301,$T301-1))</f>
        <v/>
      </c>
      <c r="C301" s="35">
        <f>IF($T301="","",INDEX(案件入力!$C$2:$C$301,$T301-1))</f>
        <v/>
      </c>
      <c r="D301" s="37">
        <f>IF($T301="","",INDEX(案件入力!$D$2:$D$301,$T301-1))</f>
        <v/>
      </c>
      <c r="E301" s="35">
        <f>IF($T301="","",INDEX(案件入力!$E$2:$E$301,$T301-1))</f>
        <v/>
      </c>
      <c r="F301" s="35">
        <f>IF($T301="","",INDEX(案件入力!$F$2:$F$301,$T301-1))</f>
        <v/>
      </c>
      <c r="G301" s="35">
        <f>IF($T301="","",INDEX(案件入力!$G$2:$G$301,$T301-1))</f>
        <v/>
      </c>
      <c r="H301" s="49">
        <f>IF($T301="","",INDEX(案件入力!$H$2:$H$301,$T301-1))</f>
        <v/>
      </c>
      <c r="I301" s="49">
        <f>IF($T301="","",INDEX(案件入力!$I$2:$I$301,$T301-1))</f>
        <v/>
      </c>
      <c r="J301" s="39">
        <f>IF($T301="","",INDEX(案件入力!$J$2:$J$301,$T301-1))</f>
        <v/>
      </c>
      <c r="K301" s="36">
        <f>IF($T301="","",INDEX(案件入力!$K$2:$K$301,$T301-1))</f>
        <v/>
      </c>
      <c r="L301" s="49">
        <f>IF($T301="","",INDEX(案件入力!$L$2:$L$301,$T301-1))</f>
        <v/>
      </c>
      <c r="M301" s="49">
        <f>IF($T301="","",INDEX(案件入力!$M$2:$M$301,$T301-1))</f>
        <v/>
      </c>
      <c r="N301" s="39">
        <f>IF($T301="","",INDEX(案件入力!$N$2:$N$301,$T301-1))</f>
        <v/>
      </c>
      <c r="O301" s="36">
        <f>IF($T301="","",INDEX(案件入力!$O$2:$O$301,$T301-1))</f>
        <v/>
      </c>
      <c r="P301" s="37">
        <f>IF($T301="","",INDEX(案件入力!$P$2:$P$301,$T301-1))</f>
        <v/>
      </c>
      <c r="Q301" s="35">
        <f>IF($T301="","",INDEX(案件入力!$Q$2:$Q$301,$T301-1))</f>
        <v/>
      </c>
      <c r="R301" s="35">
        <f>IF($T301="","",INDEX(案件入力!$R$2:$R$301,$T301-1))</f>
        <v/>
      </c>
      <c r="S301" s="35">
        <f>IF($T301="","",INDEX(案件入力!$S$2:$S$301,$T301-1))</f>
        <v/>
      </c>
      <c r="T301">
        <f t="array" ref="T301">IFERROR(SMALL(IF((案件入力!$A$2:$A$301&lt;&gt;"")*(案件入力!$R$2:$R$301&lt;&gt;"完了"),ROW(案件入力!$A$2:$A$301)),ROW()-1),"")</f>
        <v/>
      </c>
    </row>
    <row r="304">
      <c r="A304" s="6" t="inlineStr">
        <is>
          <t>※ このシートは「完了」列が未記入の案件だけを自動的に上から詰めて表示します（Excel 2007以降で動作）。</t>
        </is>
      </c>
    </row>
  </sheetData>
  <conditionalFormatting sqref="A2:S301">
    <cfRule type="expression" priority="1" dxfId="0" stopIfTrue="1">
      <formula>$R2="完了"</formula>
    </cfRule>
    <cfRule type="expression" priority="2" dxfId="1" stopIfTrue="1">
      <formula>AND($R2&lt;&gt;"完了",$K2&lt;&gt;"",$K2&lt;TODAY())</formula>
    </cfRule>
    <cfRule type="expression" priority="3" dxfId="2" stopIfTrue="1">
      <formula>AND($R2&lt;&gt;"完了",$K2&lt;&gt;"",$K2&gt;TODAY())</formula>
    </cfRule>
    <cfRule type="expression" priority="4" dxfId="3" stopIfTrue="1">
      <formula>AND($Q2="済",$R2&lt;&gt;"完了")</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2026-07-08T00:51:33Z</dcterms:created>
  <dcterms:modified xsi:type="dcterms:W3CDTF">2026-08-31T07:12:21Z</dcterms:modified>
</cp:coreProperties>
</file>