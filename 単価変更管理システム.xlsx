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案件入力" sheetId="2" state="visible" r:id="rId2"/>
    <sheet name="仕入先マスタ" sheetId="3" state="visible" r:id="rId3"/>
    <sheet name="得意先マスタ" sheetId="4" state="visible" r:id="rId4"/>
    <sheet name="商品マスタ" sheetId="5" state="visible" r:id="rId5"/>
    <sheet name="荷姿マスタ" sheetId="6" state="visible" r:id="rId6"/>
    <sheet name="仕入変更カード" sheetId="7" state="visible" r:id="rId7"/>
    <sheet name="得意先変更カード" sheetId="8" state="visible" r:id="rId8"/>
    <sheet name="履歴一覧" sheetId="9" state="visible" r:id="rId9"/>
    <sheet name="未完了一覧" sheetId="10" state="visible" r:id="rId10"/>
  </sheets>
  <definedNames>
    <definedName name="商品リスト">商品マスタ!$B$2:$B$201</definedName>
    <definedName name="仕入先リスト">仕入先マスタ!$B$2:$B$201</definedName>
    <definedName name="得意先リスト">得意先マスタ!$B$2:$B$201</definedName>
    <definedName name="荷姿リスト">荷姿マスタ!$B$2:$B$201</definedName>
    <definedName name="商品マスタ範囲">商品マスタ!$B$2:$G$201</definedName>
    <definedName name="案件入力範囲">案件入力!$A$2:$P$301</definedName>
    <definedName name="管理番号リスト">案件入力!$A$2:$A$301</definedName>
    <definedName name="_xlnm._FilterDatabase" localSheetId="1" hidden="1">'案件入力'!$A$1:$P$301</definedName>
    <definedName name="_xlnm.Print_Area" localSheetId="6">'仕入変更カード'!$A$1:$F$20</definedName>
    <definedName name="_xlnm.Print_Area" localSheetId="7">'得意先変更カード'!$A$1:$F$20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sz val="16"/>
    </font>
    <font>
      <name val="游ゴシック"/>
      <b val="1"/>
      <sz val="10"/>
    </font>
    <font>
      <name val="游ゴシック"/>
      <i val="1"/>
      <color rgb="00808080"/>
      <sz val="9"/>
    </font>
    <font>
      <name val="游ゴシック"/>
      <b val="1"/>
      <color rgb="002F5597"/>
      <sz val="18"/>
    </font>
    <font>
      <name val="游ゴシック"/>
      <i val="1"/>
      <color rgb="00595959"/>
      <sz val="11"/>
    </font>
    <font>
      <name val="游ゴシック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333333"/>
      </left>
      <right style="thin">
        <color rgb="00999999"/>
      </right>
      <top style="medium">
        <color rgb="00333333"/>
      </top>
      <bottom style="thin">
        <color rgb="00999999"/>
      </bottom>
    </border>
    <border>
      <left style="medium">
        <color rgb="00333333"/>
      </left>
      <right style="thin">
        <color rgb="00999999"/>
      </right>
      <top style="thin">
        <color rgb="00999999"/>
      </top>
      <bottom style="medium">
        <color rgb="00333333"/>
      </bottom>
    </border>
    <border>
      <left style="thin">
        <color rgb="00999999"/>
      </left>
      <right style="thin">
        <color rgb="00999999"/>
      </right>
      <top style="medium">
        <color rgb="00333333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  <border>
      <left style="thin">
        <color rgb="00999999"/>
      </left>
      <right style="medium">
        <color rgb="00333333"/>
      </right>
      <top style="medium">
        <color rgb="00333333"/>
      </top>
      <bottom style="thin">
        <color rgb="00999999"/>
      </bottom>
    </border>
    <border>
      <left style="thin">
        <color rgb="00999999"/>
      </left>
      <right style="medium">
        <color rgb="00333333"/>
      </right>
      <top style="thin">
        <color rgb="00999999"/>
      </top>
      <bottom style="medium">
        <color rgb="00333333"/>
      </bottom>
    </border>
    <border>
      <left style="medium">
        <color rgb="00333333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medium">
        <color rgb="00333333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3" fontId="2" fillId="3" borderId="1" pivotButton="0" quotePrefix="0" xfId="0"/>
    <xf numFmtId="3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9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6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履歴テーブル" displayName="履歴テーブル" ref="A1:P301" headerRowCount="1">
  <autoFilter ref="A1:P301"/>
  <tableColumns count="16">
    <tableColumn id="1" name="管理番号"/>
    <tableColumn id="2" name="記入日"/>
    <tableColumn id="3" name="商品名"/>
    <tableColumn id="4" name="荷姿"/>
    <tableColumn id="5" name="仕入先"/>
    <tableColumn id="6" name="得意先"/>
    <tableColumn id="7" name="旧仕入値"/>
    <tableColumn id="8" name="新仕入値"/>
    <tableColumn id="9" name="仕入適用日"/>
    <tableColumn id="10" name="旧売価"/>
    <tableColumn id="11" name="新売価"/>
    <tableColumn id="12" name="売価適用日"/>
    <tableColumn id="13" name="備考"/>
    <tableColumn id="14" name="カード印刷済"/>
    <tableColumn id="15" name="完了"/>
    <tableColumn id="16" name="担当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B1" s="1" t="inlineStr">
        <is>
          <t>単価変更管理システム 操作ガイド</t>
        </is>
      </c>
    </row>
    <row r="2" ht="22" customHeight="1">
      <c r="B2" s="2" t="inlineStr">
        <is>
          <t>手書き台帳を廃止し、「案件入力」シートへの1回入力だけでカード印刷・履歴管理までを行うための表です。</t>
        </is>
      </c>
    </row>
    <row r="3" ht="22" customHeight="1">
      <c r="B3" s="3" t="inlineStr">
        <is>
          <t>■ 全体の流れ（従来運用との対応）</t>
        </is>
      </c>
    </row>
    <row r="4" ht="18" customHeight="1">
      <c r="B4" s="4" t="inlineStr">
        <is>
          <t>①「案件入力」シートに1行で入力する（従来の単価変更カード作成＋台帳記入を統合）</t>
        </is>
      </c>
    </row>
    <row r="5" ht="18" customHeight="1">
      <c r="B5" s="4" t="inlineStr">
        <is>
          <t>②「仕入変更カード」「得意先変更カード」シートで管理番号を選び、印刷 or PDF保存する（従来のカード様式を再現）</t>
        </is>
      </c>
    </row>
    <row r="6" ht="18" customHeight="1">
      <c r="B6" s="4" t="inlineStr">
        <is>
          <t>③ 事務へはこれまで通り印刷したカードを提出する（事務側の運用は変更なし）</t>
        </is>
      </c>
    </row>
    <row r="7" ht="18" customHeight="1">
      <c r="B7" s="4" t="inlineStr">
        <is>
          <t>④ 入力内容は自動的に「履歴一覧」に反映され、検索・フィルターができる（台帳は不要）</t>
        </is>
      </c>
    </row>
    <row r="8" ht="22" customHeight="1">
      <c r="B8" s="3" t="inlineStr">
        <is>
          <t>■ 初回準備（マスタ登録）</t>
        </is>
      </c>
    </row>
    <row r="9" ht="18" customHeight="1">
      <c r="B9" s="4" t="inlineStr">
        <is>
          <t>「仕入先マスタ」「得意先マスタ」「荷姿マスタ」「商品マスタ」の黄色いサンプル行を削除し、自社のデータに置き換えてください。</t>
        </is>
      </c>
    </row>
    <row r="10" ht="18" customHeight="1">
      <c r="B10" s="4" t="inlineStr">
        <is>
          <t>「商品マスタ」には、商品ごとの標準仕入先・標準得意先・標準荷姿・現行仕入価格・現行売価を登録します。</t>
        </is>
      </c>
    </row>
    <row r="11" ht="18" customHeight="1">
      <c r="B11" s="4" t="inlineStr">
        <is>
          <t>ここに登録した内容が「案件入力」シートで商品名を選んだ際に自動反映されます。</t>
        </is>
      </c>
    </row>
    <row r="12" ht="22" customHeight="1">
      <c r="B12" s="3" t="inlineStr">
        <is>
          <t>■ 日々の入力手順（案件入力シート）</t>
        </is>
      </c>
    </row>
    <row r="13" ht="18" customHeight="1">
      <c r="B13" s="4" t="inlineStr">
        <is>
          <t>1. 「記入日」を入力すると「管理番号」が自動採番されます（例: 2026-001, 2026-002 ...）。</t>
        </is>
      </c>
    </row>
    <row r="14" ht="18" customHeight="1">
      <c r="B14" s="4" t="inlineStr">
        <is>
          <t>2. 「商品名」をプルダウンから選択すると、仕入先・得意先・荷姿・旧仕入値・旧売価が自動表示されます。</t>
        </is>
      </c>
    </row>
    <row r="15" ht="18" customHeight="1">
      <c r="B15" s="4" t="inlineStr">
        <is>
          <t xml:space="preserve">   （商品マスタと異なる仕入先・得意先・荷姿の場合は、その場でプルダウンから選び直せます）</t>
        </is>
      </c>
    </row>
    <row r="16" ht="18" customHeight="1">
      <c r="B16" s="4" t="inlineStr">
        <is>
          <t>3. 「新仕入値」「仕入適用日」「新売価」「売価適用日」「備考」を入力します。「担当者」は藤田・中岡・白石からプルダウンで選択します。</t>
        </is>
      </c>
    </row>
    <row r="17" ht="18" customHeight="1">
      <c r="B17" s="4" t="inlineStr">
        <is>
          <t>4. カードを印刷したら「カード印刷済」を「済」に、事務への提出・処理が完了したら「完了」を「完了」に変更します。</t>
        </is>
      </c>
    </row>
    <row r="18" ht="22" customHeight="1">
      <c r="B18" s="3" t="inlineStr">
        <is>
          <t>■ カードの印刷・PDF保存</t>
        </is>
      </c>
    </row>
    <row r="19" ht="18" customHeight="1">
      <c r="B19" s="4" t="inlineStr">
        <is>
          <t>「仕入変更カード」または「得意先変更カード」シートを開き、上段の「管理番号」プルダウンで案件を選択します。</t>
        </is>
      </c>
    </row>
    <row r="20" ht="18" customHeight="1">
      <c r="B20" s="4" t="inlineStr">
        <is>
          <t>同じ内容が下段（切り取り用の複製）にも自動表示されます。印刷はA4縦1ページに収まるよう設定済みです。</t>
        </is>
      </c>
    </row>
    <row r="21" ht="18" customHeight="1">
      <c r="B21" s="4" t="inlineStr">
        <is>
          <t>印刷: Ctrl+P を押すだけで、あらかじめ設定した印刷範囲・用紙設定（A4縦・1ページ収まり）で印刷されます。</t>
        </is>
      </c>
    </row>
    <row r="22" ht="18" customHeight="1">
      <c r="B22" s="4" t="inlineStr">
        <is>
          <t>PDF保存: 印刷画面のプリンター選択で「Microsoft Print to PDF」等を選ぶか、</t>
        </is>
      </c>
    </row>
    <row r="23" ht="18" customHeight="1">
      <c r="B23" s="4" t="inlineStr">
        <is>
          <t xml:space="preserve">　　　　[ファイル]→[エクスポート]→[PDF/XPSドキュメントの作成] からPDF化できます。</t>
        </is>
      </c>
    </row>
    <row r="24" ht="18" customHeight="1">
      <c r="B24" s="4" t="inlineStr">
        <is>
          <t>※ ワンクリックの「印刷ボタン」「PDF保存ボタン」をVBAマクロで実装したい場合は、</t>
        </is>
      </c>
    </row>
    <row r="25" ht="18" customHeight="1">
      <c r="B25" s="4" t="inlineStr">
        <is>
          <t xml:space="preserve">　　IT担当者にてマクロ有効ブック（.xlsm）化のうえボタンを追加することも可能です（別途対応）。</t>
        </is>
      </c>
    </row>
    <row r="26" ht="22" customHeight="1">
      <c r="B26" s="3" t="inlineStr">
        <is>
          <t>■ 履歴の検索</t>
        </is>
      </c>
    </row>
    <row r="27" ht="18" customHeight="1">
      <c r="B27" s="4" t="inlineStr">
        <is>
          <t>「履歴一覧」シートはテーブル化されており、各見出しの▼から商品名・仕入先・得意先・適用日で絞り込み検索できます。</t>
        </is>
      </c>
    </row>
    <row r="28" ht="22" customHeight="1">
      <c r="B28" s="3" t="inlineStr">
        <is>
          <t>■ 未完了案件の確認</t>
        </is>
      </c>
    </row>
    <row r="29" ht="18" customHeight="1">
      <c r="B29" s="4" t="inlineStr">
        <is>
          <t>「未完了一覧」シートに「完了」列が未記入の案件だけが自動的に一覧表示されます（Excel 365/2021以降）。</t>
        </is>
      </c>
    </row>
    <row r="30" ht="22" customHeight="1">
      <c r="B30" s="3" t="inlineStr">
        <is>
          <t>■ 色分けの意味（案件入力・履歴一覧・未完了一覧で共通）</t>
        </is>
      </c>
    </row>
    <row r="31" ht="18" customHeight="1">
      <c r="B31" s="4" t="inlineStr">
        <is>
          <t>白　　　＝ 未印刷</t>
        </is>
      </c>
    </row>
    <row r="32" ht="18" customHeight="1">
      <c r="B32" s="4" t="inlineStr">
        <is>
          <t>水色　　＝ カード印刷済</t>
        </is>
      </c>
    </row>
    <row r="33" ht="18" customHeight="1">
      <c r="B33" s="4" t="inlineStr">
        <is>
          <t>黄色　　＝ 仕入適用日が未到来（これから適用）</t>
        </is>
      </c>
    </row>
    <row r="34" ht="18" customHeight="1">
      <c r="B34" s="4" t="inlineStr">
        <is>
          <t>緑　　　＝ 完了</t>
        </is>
      </c>
    </row>
    <row r="35" ht="18" customHeight="1">
      <c r="B35" s="4" t="inlineStr">
        <is>
          <t>赤　　　＝ 期限超過（仕入適用日を過ぎても未完了）</t>
        </is>
      </c>
    </row>
    <row r="36" ht="22" customHeight="1">
      <c r="B36" s="3" t="inlineStr">
        <is>
          <t>■ 拡張について</t>
        </is>
      </c>
    </row>
    <row r="37" ht="18" customHeight="1">
      <c r="B37" s="4" t="inlineStr">
        <is>
          <t>既定では300件分の入力行・数式・プルダウンをあらかじめ用意しています。</t>
        </is>
      </c>
    </row>
    <row r="38" ht="18" customHeight="1">
      <c r="B38" s="4" t="inlineStr">
        <is>
          <t>行が不足した場合は、最終行の書式・数式をそのまま下へコピーするだけで拡張できます。</t>
        </is>
      </c>
    </row>
    <row r="39" ht="18" customHeight="1">
      <c r="B39" s="4" t="inlineStr">
        <is>
          <t>マスタや案件入力の行数を大きく増やす場合は、各シートの名前付き範囲（数式タブ→名前の管理）の参照範囲を広げてください。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20" customWidth="1" min="5" max="5"/>
    <col width="2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24" customWidth="1" min="13" max="13"/>
    <col width="12" customWidth="1" min="14" max="14"/>
    <col width="10" customWidth="1" min="15" max="15"/>
    <col width="12" customWidth="1" min="16" max="16"/>
  </cols>
  <sheetData>
    <row r="1" ht="26" customHeight="1">
      <c r="A1" s="5" t="inlineStr">
        <is>
          <t>管理番号</t>
        </is>
      </c>
      <c r="B1" s="5" t="inlineStr">
        <is>
          <t>記入日</t>
        </is>
      </c>
      <c r="C1" s="5" t="inlineStr">
        <is>
          <t>商品名</t>
        </is>
      </c>
      <c r="D1" s="5" t="inlineStr">
        <is>
          <t>荷姿</t>
        </is>
      </c>
      <c r="E1" s="5" t="inlineStr">
        <is>
          <t>仕入先</t>
        </is>
      </c>
      <c r="F1" s="5" t="inlineStr">
        <is>
          <t>得意先</t>
        </is>
      </c>
      <c r="G1" s="5" t="inlineStr">
        <is>
          <t>旧仕入値</t>
        </is>
      </c>
      <c r="H1" s="5" t="inlineStr">
        <is>
          <t>新仕入値</t>
        </is>
      </c>
      <c r="I1" s="5" t="inlineStr">
        <is>
          <t>仕入適用日</t>
        </is>
      </c>
      <c r="J1" s="5" t="inlineStr">
        <is>
          <t>旧売価</t>
        </is>
      </c>
      <c r="K1" s="5" t="inlineStr">
        <is>
          <t>新売価</t>
        </is>
      </c>
      <c r="L1" s="5" t="inlineStr">
        <is>
          <t>売価適用日</t>
        </is>
      </c>
      <c r="M1" s="5" t="inlineStr">
        <is>
          <t>備考</t>
        </is>
      </c>
      <c r="N1" s="5" t="inlineStr">
        <is>
          <t>カード印刷済</t>
        </is>
      </c>
      <c r="O1" s="5" t="inlineStr">
        <is>
          <t>完了</t>
        </is>
      </c>
      <c r="P1" s="5" t="inlineStr">
        <is>
          <t>担当者</t>
        </is>
      </c>
    </row>
    <row r="2">
      <c r="A2" s="6">
        <f>IF($B2="","",TEXT(YEAR($B2),"0000")&amp;"-"&amp;TEXT(SUMPRODUCT((YEAR($B$2:$B2)=YEAR($B2))*($B$2:$B2&lt;&gt;"")),"000"))</f>
        <v/>
      </c>
      <c r="B2" s="7" t="n"/>
      <c r="C2" s="8" t="n"/>
      <c r="D2" s="6">
        <f>IFERROR(VLOOKUP($C2,商品マスタ範囲,4,FALSE),"")</f>
        <v/>
      </c>
      <c r="E2" s="6">
        <f>IFERROR(VLOOKUP($C2,商品マスタ範囲,2,FALSE),"")</f>
        <v/>
      </c>
      <c r="F2" s="6">
        <f>IFERROR(VLOOKUP($C2,商品マスタ範囲,3,FALSE),"")</f>
        <v/>
      </c>
      <c r="G2" s="9">
        <f>IFERROR(VLOOKUP($C2,商品マスタ範囲,5,FALSE),"")</f>
        <v/>
      </c>
      <c r="H2" s="9" t="n"/>
      <c r="I2" s="7" t="n"/>
      <c r="J2" s="9">
        <f>IFERROR(VLOOKUP($C2,商品マスタ範囲,6,FALSE),"")</f>
        <v/>
      </c>
      <c r="K2" s="9" t="n"/>
      <c r="L2" s="7" t="n"/>
      <c r="M2" s="8" t="n"/>
      <c r="N2" s="6" t="n"/>
      <c r="O2" s="6" t="n"/>
      <c r="P2" s="6" t="n"/>
    </row>
    <row r="3">
      <c r="A3" s="6">
        <f>IF($B3="","",TEXT(YEAR($B3),"0000")&amp;"-"&amp;TEXT(SUMPRODUCT((YEAR($B$2:$B3)=YEAR($B3))*($B$2:$B3&lt;&gt;"")),"000"))</f>
        <v/>
      </c>
      <c r="B3" s="7" t="n"/>
      <c r="C3" s="8" t="n"/>
      <c r="D3" s="6">
        <f>IFERROR(VLOOKUP($C3,商品マスタ範囲,4,FALSE),"")</f>
        <v/>
      </c>
      <c r="E3" s="6">
        <f>IFERROR(VLOOKUP($C3,商品マスタ範囲,2,FALSE),"")</f>
        <v/>
      </c>
      <c r="F3" s="6">
        <f>IFERROR(VLOOKUP($C3,商品マスタ範囲,3,FALSE),"")</f>
        <v/>
      </c>
      <c r="G3" s="9">
        <f>IFERROR(VLOOKUP($C3,商品マスタ範囲,5,FALSE),"")</f>
        <v/>
      </c>
      <c r="H3" s="9" t="n"/>
      <c r="I3" s="7" t="n"/>
      <c r="J3" s="9">
        <f>IFERROR(VLOOKUP($C3,商品マスタ範囲,6,FALSE),"")</f>
        <v/>
      </c>
      <c r="K3" s="9" t="n"/>
      <c r="L3" s="7" t="n"/>
      <c r="M3" s="8" t="n"/>
      <c r="N3" s="6" t="n"/>
      <c r="O3" s="6" t="n"/>
      <c r="P3" s="6" t="n"/>
    </row>
    <row r="4">
      <c r="A4" s="6">
        <f>IF($B4="","",TEXT(YEAR($B4),"0000")&amp;"-"&amp;TEXT(SUMPRODUCT((YEAR($B$2:$B4)=YEAR($B4))*($B$2:$B4&lt;&gt;"")),"000"))</f>
        <v/>
      </c>
      <c r="B4" s="7" t="n"/>
      <c r="C4" s="8" t="n"/>
      <c r="D4" s="6">
        <f>IFERROR(VLOOKUP($C4,商品マスタ範囲,4,FALSE),"")</f>
        <v/>
      </c>
      <c r="E4" s="6">
        <f>IFERROR(VLOOKUP($C4,商品マスタ範囲,2,FALSE),"")</f>
        <v/>
      </c>
      <c r="F4" s="6">
        <f>IFERROR(VLOOKUP($C4,商品マスタ範囲,3,FALSE),"")</f>
        <v/>
      </c>
      <c r="G4" s="9">
        <f>IFERROR(VLOOKUP($C4,商品マスタ範囲,5,FALSE),"")</f>
        <v/>
      </c>
      <c r="H4" s="9" t="n"/>
      <c r="I4" s="7" t="n"/>
      <c r="J4" s="9">
        <f>IFERROR(VLOOKUP($C4,商品マスタ範囲,6,FALSE),"")</f>
        <v/>
      </c>
      <c r="K4" s="9" t="n"/>
      <c r="L4" s="7" t="n"/>
      <c r="M4" s="8" t="n"/>
      <c r="N4" s="6" t="n"/>
      <c r="O4" s="6" t="n"/>
      <c r="P4" s="6" t="n"/>
    </row>
    <row r="5">
      <c r="A5" s="6">
        <f>IF($B5="","",TEXT(YEAR($B5),"0000")&amp;"-"&amp;TEXT(SUMPRODUCT((YEAR($B$2:$B5)=YEAR($B5))*($B$2:$B5&lt;&gt;"")),"000"))</f>
        <v/>
      </c>
      <c r="B5" s="7" t="n"/>
      <c r="C5" s="8" t="n"/>
      <c r="D5" s="6">
        <f>IFERROR(VLOOKUP($C5,商品マスタ範囲,4,FALSE),"")</f>
        <v/>
      </c>
      <c r="E5" s="6">
        <f>IFERROR(VLOOKUP($C5,商品マスタ範囲,2,FALSE),"")</f>
        <v/>
      </c>
      <c r="F5" s="6">
        <f>IFERROR(VLOOKUP($C5,商品マスタ範囲,3,FALSE),"")</f>
        <v/>
      </c>
      <c r="G5" s="9">
        <f>IFERROR(VLOOKUP($C5,商品マスタ範囲,5,FALSE),"")</f>
        <v/>
      </c>
      <c r="H5" s="9" t="n"/>
      <c r="I5" s="7" t="n"/>
      <c r="J5" s="9">
        <f>IFERROR(VLOOKUP($C5,商品マスタ範囲,6,FALSE),"")</f>
        <v/>
      </c>
      <c r="K5" s="9" t="n"/>
      <c r="L5" s="7" t="n"/>
      <c r="M5" s="8" t="n"/>
      <c r="N5" s="6" t="n"/>
      <c r="O5" s="6" t="n"/>
      <c r="P5" s="6" t="n"/>
    </row>
    <row r="6">
      <c r="A6" s="6">
        <f>IF($B6="","",TEXT(YEAR($B6),"0000")&amp;"-"&amp;TEXT(SUMPRODUCT((YEAR($B$2:$B6)=YEAR($B6))*($B$2:$B6&lt;&gt;"")),"000"))</f>
        <v/>
      </c>
      <c r="B6" s="7" t="n"/>
      <c r="C6" s="8" t="n"/>
      <c r="D6" s="6">
        <f>IFERROR(VLOOKUP($C6,商品マスタ範囲,4,FALSE),"")</f>
        <v/>
      </c>
      <c r="E6" s="6">
        <f>IFERROR(VLOOKUP($C6,商品マスタ範囲,2,FALSE),"")</f>
        <v/>
      </c>
      <c r="F6" s="6">
        <f>IFERROR(VLOOKUP($C6,商品マスタ範囲,3,FALSE),"")</f>
        <v/>
      </c>
      <c r="G6" s="9">
        <f>IFERROR(VLOOKUP($C6,商品マスタ範囲,5,FALSE),"")</f>
        <v/>
      </c>
      <c r="H6" s="9" t="n"/>
      <c r="I6" s="7" t="n"/>
      <c r="J6" s="9">
        <f>IFERROR(VLOOKUP($C6,商品マスタ範囲,6,FALSE),"")</f>
        <v/>
      </c>
      <c r="K6" s="9" t="n"/>
      <c r="L6" s="7" t="n"/>
      <c r="M6" s="8" t="n"/>
      <c r="N6" s="6" t="n"/>
      <c r="O6" s="6" t="n"/>
      <c r="P6" s="6" t="n"/>
    </row>
    <row r="7">
      <c r="A7" s="6">
        <f>IF($B7="","",TEXT(YEAR($B7),"0000")&amp;"-"&amp;TEXT(SUMPRODUCT((YEAR($B$2:$B7)=YEAR($B7))*($B$2:$B7&lt;&gt;"")),"000"))</f>
        <v/>
      </c>
      <c r="B7" s="7" t="n"/>
      <c r="C7" s="8" t="n"/>
      <c r="D7" s="6">
        <f>IFERROR(VLOOKUP($C7,商品マスタ範囲,4,FALSE),"")</f>
        <v/>
      </c>
      <c r="E7" s="6">
        <f>IFERROR(VLOOKUP($C7,商品マスタ範囲,2,FALSE),"")</f>
        <v/>
      </c>
      <c r="F7" s="6">
        <f>IFERROR(VLOOKUP($C7,商品マスタ範囲,3,FALSE),"")</f>
        <v/>
      </c>
      <c r="G7" s="9">
        <f>IFERROR(VLOOKUP($C7,商品マスタ範囲,5,FALSE),"")</f>
        <v/>
      </c>
      <c r="H7" s="9" t="n"/>
      <c r="I7" s="7" t="n"/>
      <c r="J7" s="9">
        <f>IFERROR(VLOOKUP($C7,商品マスタ範囲,6,FALSE),"")</f>
        <v/>
      </c>
      <c r="K7" s="9" t="n"/>
      <c r="L7" s="7" t="n"/>
      <c r="M7" s="8" t="n"/>
      <c r="N7" s="6" t="n"/>
      <c r="O7" s="6" t="n"/>
      <c r="P7" s="6" t="n"/>
    </row>
    <row r="8">
      <c r="A8" s="6">
        <f>IF($B8="","",TEXT(YEAR($B8),"0000")&amp;"-"&amp;TEXT(SUMPRODUCT((YEAR($B$2:$B8)=YEAR($B8))*($B$2:$B8&lt;&gt;"")),"000"))</f>
        <v/>
      </c>
      <c r="B8" s="7" t="n"/>
      <c r="C8" s="8" t="n"/>
      <c r="D8" s="6">
        <f>IFERROR(VLOOKUP($C8,商品マスタ範囲,4,FALSE),"")</f>
        <v/>
      </c>
      <c r="E8" s="6">
        <f>IFERROR(VLOOKUP($C8,商品マスタ範囲,2,FALSE),"")</f>
        <v/>
      </c>
      <c r="F8" s="6">
        <f>IFERROR(VLOOKUP($C8,商品マスタ範囲,3,FALSE),"")</f>
        <v/>
      </c>
      <c r="G8" s="9">
        <f>IFERROR(VLOOKUP($C8,商品マスタ範囲,5,FALSE),"")</f>
        <v/>
      </c>
      <c r="H8" s="9" t="n"/>
      <c r="I8" s="7" t="n"/>
      <c r="J8" s="9">
        <f>IFERROR(VLOOKUP($C8,商品マスタ範囲,6,FALSE),"")</f>
        <v/>
      </c>
      <c r="K8" s="9" t="n"/>
      <c r="L8" s="7" t="n"/>
      <c r="M8" s="8" t="n"/>
      <c r="N8" s="6" t="n"/>
      <c r="O8" s="6" t="n"/>
      <c r="P8" s="6" t="n"/>
    </row>
    <row r="9">
      <c r="A9" s="6">
        <f>IF($B9="","",TEXT(YEAR($B9),"0000")&amp;"-"&amp;TEXT(SUMPRODUCT((YEAR($B$2:$B9)=YEAR($B9))*($B$2:$B9&lt;&gt;"")),"000"))</f>
        <v/>
      </c>
      <c r="B9" s="7" t="n"/>
      <c r="C9" s="8" t="n"/>
      <c r="D9" s="6">
        <f>IFERROR(VLOOKUP($C9,商品マスタ範囲,4,FALSE),"")</f>
        <v/>
      </c>
      <c r="E9" s="6">
        <f>IFERROR(VLOOKUP($C9,商品マスタ範囲,2,FALSE),"")</f>
        <v/>
      </c>
      <c r="F9" s="6">
        <f>IFERROR(VLOOKUP($C9,商品マスタ範囲,3,FALSE),"")</f>
        <v/>
      </c>
      <c r="G9" s="9">
        <f>IFERROR(VLOOKUP($C9,商品マスタ範囲,5,FALSE),"")</f>
        <v/>
      </c>
      <c r="H9" s="9" t="n"/>
      <c r="I9" s="7" t="n"/>
      <c r="J9" s="9">
        <f>IFERROR(VLOOKUP($C9,商品マスタ範囲,6,FALSE),"")</f>
        <v/>
      </c>
      <c r="K9" s="9" t="n"/>
      <c r="L9" s="7" t="n"/>
      <c r="M9" s="8" t="n"/>
      <c r="N9" s="6" t="n"/>
      <c r="O9" s="6" t="n"/>
      <c r="P9" s="6" t="n"/>
    </row>
    <row r="10">
      <c r="A10" s="6">
        <f>IF($B10="","",TEXT(YEAR($B10),"0000")&amp;"-"&amp;TEXT(SUMPRODUCT((YEAR($B$2:$B10)=YEAR($B10))*($B$2:$B10&lt;&gt;"")),"000"))</f>
        <v/>
      </c>
      <c r="B10" s="7" t="n"/>
      <c r="C10" s="8" t="n"/>
      <c r="D10" s="6">
        <f>IFERROR(VLOOKUP($C10,商品マスタ範囲,4,FALSE),"")</f>
        <v/>
      </c>
      <c r="E10" s="6">
        <f>IFERROR(VLOOKUP($C10,商品マスタ範囲,2,FALSE),"")</f>
        <v/>
      </c>
      <c r="F10" s="6">
        <f>IFERROR(VLOOKUP($C10,商品マスタ範囲,3,FALSE),"")</f>
        <v/>
      </c>
      <c r="G10" s="9">
        <f>IFERROR(VLOOKUP($C10,商品マスタ範囲,5,FALSE),"")</f>
        <v/>
      </c>
      <c r="H10" s="9" t="n"/>
      <c r="I10" s="7" t="n"/>
      <c r="J10" s="9">
        <f>IFERROR(VLOOKUP($C10,商品マスタ範囲,6,FALSE),"")</f>
        <v/>
      </c>
      <c r="K10" s="9" t="n"/>
      <c r="L10" s="7" t="n"/>
      <c r="M10" s="8" t="n"/>
      <c r="N10" s="6" t="n"/>
      <c r="O10" s="6" t="n"/>
      <c r="P10" s="6" t="n"/>
    </row>
    <row r="11">
      <c r="A11" s="6">
        <f>IF($B11="","",TEXT(YEAR($B11),"0000")&amp;"-"&amp;TEXT(SUMPRODUCT((YEAR($B$2:$B11)=YEAR($B11))*($B$2:$B11&lt;&gt;"")),"000"))</f>
        <v/>
      </c>
      <c r="B11" s="7" t="n"/>
      <c r="C11" s="8" t="n"/>
      <c r="D11" s="6">
        <f>IFERROR(VLOOKUP($C11,商品マスタ範囲,4,FALSE),"")</f>
        <v/>
      </c>
      <c r="E11" s="6">
        <f>IFERROR(VLOOKUP($C11,商品マスタ範囲,2,FALSE),"")</f>
        <v/>
      </c>
      <c r="F11" s="6">
        <f>IFERROR(VLOOKUP($C11,商品マスタ範囲,3,FALSE),"")</f>
        <v/>
      </c>
      <c r="G11" s="9">
        <f>IFERROR(VLOOKUP($C11,商品マスタ範囲,5,FALSE),"")</f>
        <v/>
      </c>
      <c r="H11" s="9" t="n"/>
      <c r="I11" s="7" t="n"/>
      <c r="J11" s="9">
        <f>IFERROR(VLOOKUP($C11,商品マスタ範囲,6,FALSE),"")</f>
        <v/>
      </c>
      <c r="K11" s="9" t="n"/>
      <c r="L11" s="7" t="n"/>
      <c r="M11" s="8" t="n"/>
      <c r="N11" s="6" t="n"/>
      <c r="O11" s="6" t="n"/>
      <c r="P11" s="6" t="n"/>
    </row>
    <row r="12">
      <c r="A12" s="6">
        <f>IF($B12="","",TEXT(YEAR($B12),"0000")&amp;"-"&amp;TEXT(SUMPRODUCT((YEAR($B$2:$B12)=YEAR($B12))*($B$2:$B12&lt;&gt;"")),"000"))</f>
        <v/>
      </c>
      <c r="B12" s="7" t="n"/>
      <c r="C12" s="8" t="n"/>
      <c r="D12" s="6">
        <f>IFERROR(VLOOKUP($C12,商品マスタ範囲,4,FALSE),"")</f>
        <v/>
      </c>
      <c r="E12" s="6">
        <f>IFERROR(VLOOKUP($C12,商品マスタ範囲,2,FALSE),"")</f>
        <v/>
      </c>
      <c r="F12" s="6">
        <f>IFERROR(VLOOKUP($C12,商品マスタ範囲,3,FALSE),"")</f>
        <v/>
      </c>
      <c r="G12" s="9">
        <f>IFERROR(VLOOKUP($C12,商品マスタ範囲,5,FALSE),"")</f>
        <v/>
      </c>
      <c r="H12" s="9" t="n"/>
      <c r="I12" s="7" t="n"/>
      <c r="J12" s="9">
        <f>IFERROR(VLOOKUP($C12,商品マスタ範囲,6,FALSE),"")</f>
        <v/>
      </c>
      <c r="K12" s="9" t="n"/>
      <c r="L12" s="7" t="n"/>
      <c r="M12" s="8" t="n"/>
      <c r="N12" s="6" t="n"/>
      <c r="O12" s="6" t="n"/>
      <c r="P12" s="6" t="n"/>
    </row>
    <row r="13">
      <c r="A13" s="6">
        <f>IF($B13="","",TEXT(YEAR($B13),"0000")&amp;"-"&amp;TEXT(SUMPRODUCT((YEAR($B$2:$B13)=YEAR($B13))*($B$2:$B13&lt;&gt;"")),"000"))</f>
        <v/>
      </c>
      <c r="B13" s="7" t="n"/>
      <c r="C13" s="8" t="n"/>
      <c r="D13" s="6">
        <f>IFERROR(VLOOKUP($C13,商品マスタ範囲,4,FALSE),"")</f>
        <v/>
      </c>
      <c r="E13" s="6">
        <f>IFERROR(VLOOKUP($C13,商品マスタ範囲,2,FALSE),"")</f>
        <v/>
      </c>
      <c r="F13" s="6">
        <f>IFERROR(VLOOKUP($C13,商品マスタ範囲,3,FALSE),"")</f>
        <v/>
      </c>
      <c r="G13" s="9">
        <f>IFERROR(VLOOKUP($C13,商品マスタ範囲,5,FALSE),"")</f>
        <v/>
      </c>
      <c r="H13" s="9" t="n"/>
      <c r="I13" s="7" t="n"/>
      <c r="J13" s="9">
        <f>IFERROR(VLOOKUP($C13,商品マスタ範囲,6,FALSE),"")</f>
        <v/>
      </c>
      <c r="K13" s="9" t="n"/>
      <c r="L13" s="7" t="n"/>
      <c r="M13" s="8" t="n"/>
      <c r="N13" s="6" t="n"/>
      <c r="O13" s="6" t="n"/>
      <c r="P13" s="6" t="n"/>
    </row>
    <row r="14">
      <c r="A14" s="6">
        <f>IF($B14="","",TEXT(YEAR($B14),"0000")&amp;"-"&amp;TEXT(SUMPRODUCT((YEAR($B$2:$B14)=YEAR($B14))*($B$2:$B14&lt;&gt;"")),"000"))</f>
        <v/>
      </c>
      <c r="B14" s="7" t="n"/>
      <c r="C14" s="8" t="n"/>
      <c r="D14" s="6">
        <f>IFERROR(VLOOKUP($C14,商品マスタ範囲,4,FALSE),"")</f>
        <v/>
      </c>
      <c r="E14" s="6">
        <f>IFERROR(VLOOKUP($C14,商品マスタ範囲,2,FALSE),"")</f>
        <v/>
      </c>
      <c r="F14" s="6">
        <f>IFERROR(VLOOKUP($C14,商品マスタ範囲,3,FALSE),"")</f>
        <v/>
      </c>
      <c r="G14" s="9">
        <f>IFERROR(VLOOKUP($C14,商品マスタ範囲,5,FALSE),"")</f>
        <v/>
      </c>
      <c r="H14" s="9" t="n"/>
      <c r="I14" s="7" t="n"/>
      <c r="J14" s="9">
        <f>IFERROR(VLOOKUP($C14,商品マスタ範囲,6,FALSE),"")</f>
        <v/>
      </c>
      <c r="K14" s="9" t="n"/>
      <c r="L14" s="7" t="n"/>
      <c r="M14" s="8" t="n"/>
      <c r="N14" s="6" t="n"/>
      <c r="O14" s="6" t="n"/>
      <c r="P14" s="6" t="n"/>
    </row>
    <row r="15">
      <c r="A15" s="6">
        <f>IF($B15="","",TEXT(YEAR($B15),"0000")&amp;"-"&amp;TEXT(SUMPRODUCT((YEAR($B$2:$B15)=YEAR($B15))*($B$2:$B15&lt;&gt;"")),"000"))</f>
        <v/>
      </c>
      <c r="B15" s="7" t="n"/>
      <c r="C15" s="8" t="n"/>
      <c r="D15" s="6">
        <f>IFERROR(VLOOKUP($C15,商品マスタ範囲,4,FALSE),"")</f>
        <v/>
      </c>
      <c r="E15" s="6">
        <f>IFERROR(VLOOKUP($C15,商品マスタ範囲,2,FALSE),"")</f>
        <v/>
      </c>
      <c r="F15" s="6">
        <f>IFERROR(VLOOKUP($C15,商品マスタ範囲,3,FALSE),"")</f>
        <v/>
      </c>
      <c r="G15" s="9">
        <f>IFERROR(VLOOKUP($C15,商品マスタ範囲,5,FALSE),"")</f>
        <v/>
      </c>
      <c r="H15" s="9" t="n"/>
      <c r="I15" s="7" t="n"/>
      <c r="J15" s="9">
        <f>IFERROR(VLOOKUP($C15,商品マスタ範囲,6,FALSE),"")</f>
        <v/>
      </c>
      <c r="K15" s="9" t="n"/>
      <c r="L15" s="7" t="n"/>
      <c r="M15" s="8" t="n"/>
      <c r="N15" s="6" t="n"/>
      <c r="O15" s="6" t="n"/>
      <c r="P15" s="6" t="n"/>
    </row>
    <row r="16">
      <c r="A16" s="6">
        <f>IF($B16="","",TEXT(YEAR($B16),"0000")&amp;"-"&amp;TEXT(SUMPRODUCT((YEAR($B$2:$B16)=YEAR($B16))*($B$2:$B16&lt;&gt;"")),"000"))</f>
        <v/>
      </c>
      <c r="B16" s="7" t="n"/>
      <c r="C16" s="8" t="n"/>
      <c r="D16" s="6">
        <f>IFERROR(VLOOKUP($C16,商品マスタ範囲,4,FALSE),"")</f>
        <v/>
      </c>
      <c r="E16" s="6">
        <f>IFERROR(VLOOKUP($C16,商品マスタ範囲,2,FALSE),"")</f>
        <v/>
      </c>
      <c r="F16" s="6">
        <f>IFERROR(VLOOKUP($C16,商品マスタ範囲,3,FALSE),"")</f>
        <v/>
      </c>
      <c r="G16" s="9">
        <f>IFERROR(VLOOKUP($C16,商品マスタ範囲,5,FALSE),"")</f>
        <v/>
      </c>
      <c r="H16" s="9" t="n"/>
      <c r="I16" s="7" t="n"/>
      <c r="J16" s="9">
        <f>IFERROR(VLOOKUP($C16,商品マスタ範囲,6,FALSE),"")</f>
        <v/>
      </c>
      <c r="K16" s="9" t="n"/>
      <c r="L16" s="7" t="n"/>
      <c r="M16" s="8" t="n"/>
      <c r="N16" s="6" t="n"/>
      <c r="O16" s="6" t="n"/>
      <c r="P16" s="6" t="n"/>
    </row>
    <row r="17">
      <c r="A17" s="6">
        <f>IF($B17="","",TEXT(YEAR($B17),"0000")&amp;"-"&amp;TEXT(SUMPRODUCT((YEAR($B$2:$B17)=YEAR($B17))*($B$2:$B17&lt;&gt;"")),"000"))</f>
        <v/>
      </c>
      <c r="B17" s="7" t="n"/>
      <c r="C17" s="8" t="n"/>
      <c r="D17" s="6">
        <f>IFERROR(VLOOKUP($C17,商品マスタ範囲,4,FALSE),"")</f>
        <v/>
      </c>
      <c r="E17" s="6">
        <f>IFERROR(VLOOKUP($C17,商品マスタ範囲,2,FALSE),"")</f>
        <v/>
      </c>
      <c r="F17" s="6">
        <f>IFERROR(VLOOKUP($C17,商品マスタ範囲,3,FALSE),"")</f>
        <v/>
      </c>
      <c r="G17" s="9">
        <f>IFERROR(VLOOKUP($C17,商品マスタ範囲,5,FALSE),"")</f>
        <v/>
      </c>
      <c r="H17" s="9" t="n"/>
      <c r="I17" s="7" t="n"/>
      <c r="J17" s="9">
        <f>IFERROR(VLOOKUP($C17,商品マスタ範囲,6,FALSE),"")</f>
        <v/>
      </c>
      <c r="K17" s="9" t="n"/>
      <c r="L17" s="7" t="n"/>
      <c r="M17" s="8" t="n"/>
      <c r="N17" s="6" t="n"/>
      <c r="O17" s="6" t="n"/>
      <c r="P17" s="6" t="n"/>
    </row>
    <row r="18">
      <c r="A18" s="6">
        <f>IF($B18="","",TEXT(YEAR($B18),"0000")&amp;"-"&amp;TEXT(SUMPRODUCT((YEAR($B$2:$B18)=YEAR($B18))*($B$2:$B18&lt;&gt;"")),"000"))</f>
        <v/>
      </c>
      <c r="B18" s="7" t="n"/>
      <c r="C18" s="8" t="n"/>
      <c r="D18" s="6">
        <f>IFERROR(VLOOKUP($C18,商品マスタ範囲,4,FALSE),"")</f>
        <v/>
      </c>
      <c r="E18" s="6">
        <f>IFERROR(VLOOKUP($C18,商品マスタ範囲,2,FALSE),"")</f>
        <v/>
      </c>
      <c r="F18" s="6">
        <f>IFERROR(VLOOKUP($C18,商品マスタ範囲,3,FALSE),"")</f>
        <v/>
      </c>
      <c r="G18" s="9">
        <f>IFERROR(VLOOKUP($C18,商品マスタ範囲,5,FALSE),"")</f>
        <v/>
      </c>
      <c r="H18" s="9" t="n"/>
      <c r="I18" s="7" t="n"/>
      <c r="J18" s="9">
        <f>IFERROR(VLOOKUP($C18,商品マスタ範囲,6,FALSE),"")</f>
        <v/>
      </c>
      <c r="K18" s="9" t="n"/>
      <c r="L18" s="7" t="n"/>
      <c r="M18" s="8" t="n"/>
      <c r="N18" s="6" t="n"/>
      <c r="O18" s="6" t="n"/>
      <c r="P18" s="6" t="n"/>
    </row>
    <row r="19">
      <c r="A19" s="6">
        <f>IF($B19="","",TEXT(YEAR($B19),"0000")&amp;"-"&amp;TEXT(SUMPRODUCT((YEAR($B$2:$B19)=YEAR($B19))*($B$2:$B19&lt;&gt;"")),"000"))</f>
        <v/>
      </c>
      <c r="B19" s="7" t="n"/>
      <c r="C19" s="8" t="n"/>
      <c r="D19" s="6">
        <f>IFERROR(VLOOKUP($C19,商品マスタ範囲,4,FALSE),"")</f>
        <v/>
      </c>
      <c r="E19" s="6">
        <f>IFERROR(VLOOKUP($C19,商品マスタ範囲,2,FALSE),"")</f>
        <v/>
      </c>
      <c r="F19" s="6">
        <f>IFERROR(VLOOKUP($C19,商品マスタ範囲,3,FALSE),"")</f>
        <v/>
      </c>
      <c r="G19" s="9">
        <f>IFERROR(VLOOKUP($C19,商品マスタ範囲,5,FALSE),"")</f>
        <v/>
      </c>
      <c r="H19" s="9" t="n"/>
      <c r="I19" s="7" t="n"/>
      <c r="J19" s="9">
        <f>IFERROR(VLOOKUP($C19,商品マスタ範囲,6,FALSE),"")</f>
        <v/>
      </c>
      <c r="K19" s="9" t="n"/>
      <c r="L19" s="7" t="n"/>
      <c r="M19" s="8" t="n"/>
      <c r="N19" s="6" t="n"/>
      <c r="O19" s="6" t="n"/>
      <c r="P19" s="6" t="n"/>
    </row>
    <row r="20">
      <c r="A20" s="6">
        <f>IF($B20="","",TEXT(YEAR($B20),"0000")&amp;"-"&amp;TEXT(SUMPRODUCT((YEAR($B$2:$B20)=YEAR($B20))*($B$2:$B20&lt;&gt;"")),"000"))</f>
        <v/>
      </c>
      <c r="B20" s="7" t="n"/>
      <c r="C20" s="8" t="n"/>
      <c r="D20" s="6">
        <f>IFERROR(VLOOKUP($C20,商品マスタ範囲,4,FALSE),"")</f>
        <v/>
      </c>
      <c r="E20" s="6">
        <f>IFERROR(VLOOKUP($C20,商品マスタ範囲,2,FALSE),"")</f>
        <v/>
      </c>
      <c r="F20" s="6">
        <f>IFERROR(VLOOKUP($C20,商品マスタ範囲,3,FALSE),"")</f>
        <v/>
      </c>
      <c r="G20" s="9">
        <f>IFERROR(VLOOKUP($C20,商品マスタ範囲,5,FALSE),"")</f>
        <v/>
      </c>
      <c r="H20" s="9" t="n"/>
      <c r="I20" s="7" t="n"/>
      <c r="J20" s="9">
        <f>IFERROR(VLOOKUP($C20,商品マスタ範囲,6,FALSE),"")</f>
        <v/>
      </c>
      <c r="K20" s="9" t="n"/>
      <c r="L20" s="7" t="n"/>
      <c r="M20" s="8" t="n"/>
      <c r="N20" s="6" t="n"/>
      <c r="O20" s="6" t="n"/>
      <c r="P20" s="6" t="n"/>
    </row>
    <row r="21">
      <c r="A21" s="6">
        <f>IF($B21="","",TEXT(YEAR($B21),"0000")&amp;"-"&amp;TEXT(SUMPRODUCT((YEAR($B$2:$B21)=YEAR($B21))*($B$2:$B21&lt;&gt;"")),"000"))</f>
        <v/>
      </c>
      <c r="B21" s="7" t="n"/>
      <c r="C21" s="8" t="n"/>
      <c r="D21" s="6">
        <f>IFERROR(VLOOKUP($C21,商品マスタ範囲,4,FALSE),"")</f>
        <v/>
      </c>
      <c r="E21" s="6">
        <f>IFERROR(VLOOKUP($C21,商品マスタ範囲,2,FALSE),"")</f>
        <v/>
      </c>
      <c r="F21" s="6">
        <f>IFERROR(VLOOKUP($C21,商品マスタ範囲,3,FALSE),"")</f>
        <v/>
      </c>
      <c r="G21" s="9">
        <f>IFERROR(VLOOKUP($C21,商品マスタ範囲,5,FALSE),"")</f>
        <v/>
      </c>
      <c r="H21" s="9" t="n"/>
      <c r="I21" s="7" t="n"/>
      <c r="J21" s="9">
        <f>IFERROR(VLOOKUP($C21,商品マスタ範囲,6,FALSE),"")</f>
        <v/>
      </c>
      <c r="K21" s="9" t="n"/>
      <c r="L21" s="7" t="n"/>
      <c r="M21" s="8" t="n"/>
      <c r="N21" s="6" t="n"/>
      <c r="O21" s="6" t="n"/>
      <c r="P21" s="6" t="n"/>
    </row>
    <row r="22">
      <c r="A22" s="6">
        <f>IF($B22="","",TEXT(YEAR($B22),"0000")&amp;"-"&amp;TEXT(SUMPRODUCT((YEAR($B$2:$B22)=YEAR($B22))*($B$2:$B22&lt;&gt;"")),"000"))</f>
        <v/>
      </c>
      <c r="B22" s="7" t="n"/>
      <c r="C22" s="8" t="n"/>
      <c r="D22" s="6">
        <f>IFERROR(VLOOKUP($C22,商品マスタ範囲,4,FALSE),"")</f>
        <v/>
      </c>
      <c r="E22" s="6">
        <f>IFERROR(VLOOKUP($C22,商品マスタ範囲,2,FALSE),"")</f>
        <v/>
      </c>
      <c r="F22" s="6">
        <f>IFERROR(VLOOKUP($C22,商品マスタ範囲,3,FALSE),"")</f>
        <v/>
      </c>
      <c r="G22" s="9">
        <f>IFERROR(VLOOKUP($C22,商品マスタ範囲,5,FALSE),"")</f>
        <v/>
      </c>
      <c r="H22" s="9" t="n"/>
      <c r="I22" s="7" t="n"/>
      <c r="J22" s="9">
        <f>IFERROR(VLOOKUP($C22,商品マスタ範囲,6,FALSE),"")</f>
        <v/>
      </c>
      <c r="K22" s="9" t="n"/>
      <c r="L22" s="7" t="n"/>
      <c r="M22" s="8" t="n"/>
      <c r="N22" s="6" t="n"/>
      <c r="O22" s="6" t="n"/>
      <c r="P22" s="6" t="n"/>
    </row>
    <row r="23">
      <c r="A23" s="6">
        <f>IF($B23="","",TEXT(YEAR($B23),"0000")&amp;"-"&amp;TEXT(SUMPRODUCT((YEAR($B$2:$B23)=YEAR($B23))*($B$2:$B23&lt;&gt;"")),"000"))</f>
        <v/>
      </c>
      <c r="B23" s="7" t="n"/>
      <c r="C23" s="8" t="n"/>
      <c r="D23" s="6">
        <f>IFERROR(VLOOKUP($C23,商品マスタ範囲,4,FALSE),"")</f>
        <v/>
      </c>
      <c r="E23" s="6">
        <f>IFERROR(VLOOKUP($C23,商品マスタ範囲,2,FALSE),"")</f>
        <v/>
      </c>
      <c r="F23" s="6">
        <f>IFERROR(VLOOKUP($C23,商品マスタ範囲,3,FALSE),"")</f>
        <v/>
      </c>
      <c r="G23" s="9">
        <f>IFERROR(VLOOKUP($C23,商品マスタ範囲,5,FALSE),"")</f>
        <v/>
      </c>
      <c r="H23" s="9" t="n"/>
      <c r="I23" s="7" t="n"/>
      <c r="J23" s="9">
        <f>IFERROR(VLOOKUP($C23,商品マスタ範囲,6,FALSE),"")</f>
        <v/>
      </c>
      <c r="K23" s="9" t="n"/>
      <c r="L23" s="7" t="n"/>
      <c r="M23" s="8" t="n"/>
      <c r="N23" s="6" t="n"/>
      <c r="O23" s="6" t="n"/>
      <c r="P23" s="6" t="n"/>
    </row>
    <row r="24">
      <c r="A24" s="6">
        <f>IF($B24="","",TEXT(YEAR($B24),"0000")&amp;"-"&amp;TEXT(SUMPRODUCT((YEAR($B$2:$B24)=YEAR($B24))*($B$2:$B24&lt;&gt;"")),"000"))</f>
        <v/>
      </c>
      <c r="B24" s="7" t="n"/>
      <c r="C24" s="8" t="n"/>
      <c r="D24" s="6">
        <f>IFERROR(VLOOKUP($C24,商品マスタ範囲,4,FALSE),"")</f>
        <v/>
      </c>
      <c r="E24" s="6">
        <f>IFERROR(VLOOKUP($C24,商品マスタ範囲,2,FALSE),"")</f>
        <v/>
      </c>
      <c r="F24" s="6">
        <f>IFERROR(VLOOKUP($C24,商品マスタ範囲,3,FALSE),"")</f>
        <v/>
      </c>
      <c r="G24" s="9">
        <f>IFERROR(VLOOKUP($C24,商品マスタ範囲,5,FALSE),"")</f>
        <v/>
      </c>
      <c r="H24" s="9" t="n"/>
      <c r="I24" s="7" t="n"/>
      <c r="J24" s="9">
        <f>IFERROR(VLOOKUP($C24,商品マスタ範囲,6,FALSE),"")</f>
        <v/>
      </c>
      <c r="K24" s="9" t="n"/>
      <c r="L24" s="7" t="n"/>
      <c r="M24" s="8" t="n"/>
      <c r="N24" s="6" t="n"/>
      <c r="O24" s="6" t="n"/>
      <c r="P24" s="6" t="n"/>
    </row>
    <row r="25">
      <c r="A25" s="6">
        <f>IF($B25="","",TEXT(YEAR($B25),"0000")&amp;"-"&amp;TEXT(SUMPRODUCT((YEAR($B$2:$B25)=YEAR($B25))*($B$2:$B25&lt;&gt;"")),"000"))</f>
        <v/>
      </c>
      <c r="B25" s="7" t="n"/>
      <c r="C25" s="8" t="n"/>
      <c r="D25" s="6">
        <f>IFERROR(VLOOKUP($C25,商品マスタ範囲,4,FALSE),"")</f>
        <v/>
      </c>
      <c r="E25" s="6">
        <f>IFERROR(VLOOKUP($C25,商品マスタ範囲,2,FALSE),"")</f>
        <v/>
      </c>
      <c r="F25" s="6">
        <f>IFERROR(VLOOKUP($C25,商品マスタ範囲,3,FALSE),"")</f>
        <v/>
      </c>
      <c r="G25" s="9">
        <f>IFERROR(VLOOKUP($C25,商品マスタ範囲,5,FALSE),"")</f>
        <v/>
      </c>
      <c r="H25" s="9" t="n"/>
      <c r="I25" s="7" t="n"/>
      <c r="J25" s="9">
        <f>IFERROR(VLOOKUP($C25,商品マスタ範囲,6,FALSE),"")</f>
        <v/>
      </c>
      <c r="K25" s="9" t="n"/>
      <c r="L25" s="7" t="n"/>
      <c r="M25" s="8" t="n"/>
      <c r="N25" s="6" t="n"/>
      <c r="O25" s="6" t="n"/>
      <c r="P25" s="6" t="n"/>
    </row>
    <row r="26">
      <c r="A26" s="6">
        <f>IF($B26="","",TEXT(YEAR($B26),"0000")&amp;"-"&amp;TEXT(SUMPRODUCT((YEAR($B$2:$B26)=YEAR($B26))*($B$2:$B26&lt;&gt;"")),"000"))</f>
        <v/>
      </c>
      <c r="B26" s="7" t="n"/>
      <c r="C26" s="8" t="n"/>
      <c r="D26" s="6">
        <f>IFERROR(VLOOKUP($C26,商品マスタ範囲,4,FALSE),"")</f>
        <v/>
      </c>
      <c r="E26" s="6">
        <f>IFERROR(VLOOKUP($C26,商品マスタ範囲,2,FALSE),"")</f>
        <v/>
      </c>
      <c r="F26" s="6">
        <f>IFERROR(VLOOKUP($C26,商品マスタ範囲,3,FALSE),"")</f>
        <v/>
      </c>
      <c r="G26" s="9">
        <f>IFERROR(VLOOKUP($C26,商品マスタ範囲,5,FALSE),"")</f>
        <v/>
      </c>
      <c r="H26" s="9" t="n"/>
      <c r="I26" s="7" t="n"/>
      <c r="J26" s="9">
        <f>IFERROR(VLOOKUP($C26,商品マスタ範囲,6,FALSE),"")</f>
        <v/>
      </c>
      <c r="K26" s="9" t="n"/>
      <c r="L26" s="7" t="n"/>
      <c r="M26" s="8" t="n"/>
      <c r="N26" s="6" t="n"/>
      <c r="O26" s="6" t="n"/>
      <c r="P26" s="6" t="n"/>
    </row>
    <row r="27">
      <c r="A27" s="6">
        <f>IF($B27="","",TEXT(YEAR($B27),"0000")&amp;"-"&amp;TEXT(SUMPRODUCT((YEAR($B$2:$B27)=YEAR($B27))*($B$2:$B27&lt;&gt;"")),"000"))</f>
        <v/>
      </c>
      <c r="B27" s="7" t="n"/>
      <c r="C27" s="8" t="n"/>
      <c r="D27" s="6">
        <f>IFERROR(VLOOKUP($C27,商品マスタ範囲,4,FALSE),"")</f>
        <v/>
      </c>
      <c r="E27" s="6">
        <f>IFERROR(VLOOKUP($C27,商品マスタ範囲,2,FALSE),"")</f>
        <v/>
      </c>
      <c r="F27" s="6">
        <f>IFERROR(VLOOKUP($C27,商品マスタ範囲,3,FALSE),"")</f>
        <v/>
      </c>
      <c r="G27" s="9">
        <f>IFERROR(VLOOKUP($C27,商品マスタ範囲,5,FALSE),"")</f>
        <v/>
      </c>
      <c r="H27" s="9" t="n"/>
      <c r="I27" s="7" t="n"/>
      <c r="J27" s="9">
        <f>IFERROR(VLOOKUP($C27,商品マスタ範囲,6,FALSE),"")</f>
        <v/>
      </c>
      <c r="K27" s="9" t="n"/>
      <c r="L27" s="7" t="n"/>
      <c r="M27" s="8" t="n"/>
      <c r="N27" s="6" t="n"/>
      <c r="O27" s="6" t="n"/>
      <c r="P27" s="6" t="n"/>
    </row>
    <row r="28">
      <c r="A28" s="6">
        <f>IF($B28="","",TEXT(YEAR($B28),"0000")&amp;"-"&amp;TEXT(SUMPRODUCT((YEAR($B$2:$B28)=YEAR($B28))*($B$2:$B28&lt;&gt;"")),"000"))</f>
        <v/>
      </c>
      <c r="B28" s="7" t="n"/>
      <c r="C28" s="8" t="n"/>
      <c r="D28" s="6">
        <f>IFERROR(VLOOKUP($C28,商品マスタ範囲,4,FALSE),"")</f>
        <v/>
      </c>
      <c r="E28" s="6">
        <f>IFERROR(VLOOKUP($C28,商品マスタ範囲,2,FALSE),"")</f>
        <v/>
      </c>
      <c r="F28" s="6">
        <f>IFERROR(VLOOKUP($C28,商品マスタ範囲,3,FALSE),"")</f>
        <v/>
      </c>
      <c r="G28" s="9">
        <f>IFERROR(VLOOKUP($C28,商品マスタ範囲,5,FALSE),"")</f>
        <v/>
      </c>
      <c r="H28" s="9" t="n"/>
      <c r="I28" s="7" t="n"/>
      <c r="J28" s="9">
        <f>IFERROR(VLOOKUP($C28,商品マスタ範囲,6,FALSE),"")</f>
        <v/>
      </c>
      <c r="K28" s="9" t="n"/>
      <c r="L28" s="7" t="n"/>
      <c r="M28" s="8" t="n"/>
      <c r="N28" s="6" t="n"/>
      <c r="O28" s="6" t="n"/>
      <c r="P28" s="6" t="n"/>
    </row>
    <row r="29">
      <c r="A29" s="6">
        <f>IF($B29="","",TEXT(YEAR($B29),"0000")&amp;"-"&amp;TEXT(SUMPRODUCT((YEAR($B$2:$B29)=YEAR($B29))*($B$2:$B29&lt;&gt;"")),"000"))</f>
        <v/>
      </c>
      <c r="B29" s="7" t="n"/>
      <c r="C29" s="8" t="n"/>
      <c r="D29" s="6">
        <f>IFERROR(VLOOKUP($C29,商品マスタ範囲,4,FALSE),"")</f>
        <v/>
      </c>
      <c r="E29" s="6">
        <f>IFERROR(VLOOKUP($C29,商品マスタ範囲,2,FALSE),"")</f>
        <v/>
      </c>
      <c r="F29" s="6">
        <f>IFERROR(VLOOKUP($C29,商品マスタ範囲,3,FALSE),"")</f>
        <v/>
      </c>
      <c r="G29" s="9">
        <f>IFERROR(VLOOKUP($C29,商品マスタ範囲,5,FALSE),"")</f>
        <v/>
      </c>
      <c r="H29" s="9" t="n"/>
      <c r="I29" s="7" t="n"/>
      <c r="J29" s="9">
        <f>IFERROR(VLOOKUP($C29,商品マスタ範囲,6,FALSE),"")</f>
        <v/>
      </c>
      <c r="K29" s="9" t="n"/>
      <c r="L29" s="7" t="n"/>
      <c r="M29" s="8" t="n"/>
      <c r="N29" s="6" t="n"/>
      <c r="O29" s="6" t="n"/>
      <c r="P29" s="6" t="n"/>
    </row>
    <row r="30">
      <c r="A30" s="6">
        <f>IF($B30="","",TEXT(YEAR($B30),"0000")&amp;"-"&amp;TEXT(SUMPRODUCT((YEAR($B$2:$B30)=YEAR($B30))*($B$2:$B30&lt;&gt;"")),"000"))</f>
        <v/>
      </c>
      <c r="B30" s="7" t="n"/>
      <c r="C30" s="8" t="n"/>
      <c r="D30" s="6">
        <f>IFERROR(VLOOKUP($C30,商品マスタ範囲,4,FALSE),"")</f>
        <v/>
      </c>
      <c r="E30" s="6">
        <f>IFERROR(VLOOKUP($C30,商品マスタ範囲,2,FALSE),"")</f>
        <v/>
      </c>
      <c r="F30" s="6">
        <f>IFERROR(VLOOKUP($C30,商品マスタ範囲,3,FALSE),"")</f>
        <v/>
      </c>
      <c r="G30" s="9">
        <f>IFERROR(VLOOKUP($C30,商品マスタ範囲,5,FALSE),"")</f>
        <v/>
      </c>
      <c r="H30" s="9" t="n"/>
      <c r="I30" s="7" t="n"/>
      <c r="J30" s="9">
        <f>IFERROR(VLOOKUP($C30,商品マスタ範囲,6,FALSE),"")</f>
        <v/>
      </c>
      <c r="K30" s="9" t="n"/>
      <c r="L30" s="7" t="n"/>
      <c r="M30" s="8" t="n"/>
      <c r="N30" s="6" t="n"/>
      <c r="O30" s="6" t="n"/>
      <c r="P30" s="6" t="n"/>
    </row>
    <row r="31">
      <c r="A31" s="6">
        <f>IF($B31="","",TEXT(YEAR($B31),"0000")&amp;"-"&amp;TEXT(SUMPRODUCT((YEAR($B$2:$B31)=YEAR($B31))*($B$2:$B31&lt;&gt;"")),"000"))</f>
        <v/>
      </c>
      <c r="B31" s="7" t="n"/>
      <c r="C31" s="8" t="n"/>
      <c r="D31" s="6">
        <f>IFERROR(VLOOKUP($C31,商品マスタ範囲,4,FALSE),"")</f>
        <v/>
      </c>
      <c r="E31" s="6">
        <f>IFERROR(VLOOKUP($C31,商品マスタ範囲,2,FALSE),"")</f>
        <v/>
      </c>
      <c r="F31" s="6">
        <f>IFERROR(VLOOKUP($C31,商品マスタ範囲,3,FALSE),"")</f>
        <v/>
      </c>
      <c r="G31" s="9">
        <f>IFERROR(VLOOKUP($C31,商品マスタ範囲,5,FALSE),"")</f>
        <v/>
      </c>
      <c r="H31" s="9" t="n"/>
      <c r="I31" s="7" t="n"/>
      <c r="J31" s="9">
        <f>IFERROR(VLOOKUP($C31,商品マスタ範囲,6,FALSE),"")</f>
        <v/>
      </c>
      <c r="K31" s="9" t="n"/>
      <c r="L31" s="7" t="n"/>
      <c r="M31" s="8" t="n"/>
      <c r="N31" s="6" t="n"/>
      <c r="O31" s="6" t="n"/>
      <c r="P31" s="6" t="n"/>
    </row>
    <row r="32">
      <c r="A32" s="6">
        <f>IF($B32="","",TEXT(YEAR($B32),"0000")&amp;"-"&amp;TEXT(SUMPRODUCT((YEAR($B$2:$B32)=YEAR($B32))*($B$2:$B32&lt;&gt;"")),"000"))</f>
        <v/>
      </c>
      <c r="B32" s="7" t="n"/>
      <c r="C32" s="8" t="n"/>
      <c r="D32" s="6">
        <f>IFERROR(VLOOKUP($C32,商品マスタ範囲,4,FALSE),"")</f>
        <v/>
      </c>
      <c r="E32" s="6">
        <f>IFERROR(VLOOKUP($C32,商品マスタ範囲,2,FALSE),"")</f>
        <v/>
      </c>
      <c r="F32" s="6">
        <f>IFERROR(VLOOKUP($C32,商品マスタ範囲,3,FALSE),"")</f>
        <v/>
      </c>
      <c r="G32" s="9">
        <f>IFERROR(VLOOKUP($C32,商品マスタ範囲,5,FALSE),"")</f>
        <v/>
      </c>
      <c r="H32" s="9" t="n"/>
      <c r="I32" s="7" t="n"/>
      <c r="J32" s="9">
        <f>IFERROR(VLOOKUP($C32,商品マスタ範囲,6,FALSE),"")</f>
        <v/>
      </c>
      <c r="K32" s="9" t="n"/>
      <c r="L32" s="7" t="n"/>
      <c r="M32" s="8" t="n"/>
      <c r="N32" s="6" t="n"/>
      <c r="O32" s="6" t="n"/>
      <c r="P32" s="6" t="n"/>
    </row>
    <row r="33">
      <c r="A33" s="6">
        <f>IF($B33="","",TEXT(YEAR($B33),"0000")&amp;"-"&amp;TEXT(SUMPRODUCT((YEAR($B$2:$B33)=YEAR($B33))*($B$2:$B33&lt;&gt;"")),"000"))</f>
        <v/>
      </c>
      <c r="B33" s="7" t="n"/>
      <c r="C33" s="8" t="n"/>
      <c r="D33" s="6">
        <f>IFERROR(VLOOKUP($C33,商品マスタ範囲,4,FALSE),"")</f>
        <v/>
      </c>
      <c r="E33" s="6">
        <f>IFERROR(VLOOKUP($C33,商品マスタ範囲,2,FALSE),"")</f>
        <v/>
      </c>
      <c r="F33" s="6">
        <f>IFERROR(VLOOKUP($C33,商品マスタ範囲,3,FALSE),"")</f>
        <v/>
      </c>
      <c r="G33" s="9">
        <f>IFERROR(VLOOKUP($C33,商品マスタ範囲,5,FALSE),"")</f>
        <v/>
      </c>
      <c r="H33" s="9" t="n"/>
      <c r="I33" s="7" t="n"/>
      <c r="J33" s="9">
        <f>IFERROR(VLOOKUP($C33,商品マスタ範囲,6,FALSE),"")</f>
        <v/>
      </c>
      <c r="K33" s="9" t="n"/>
      <c r="L33" s="7" t="n"/>
      <c r="M33" s="8" t="n"/>
      <c r="N33" s="6" t="n"/>
      <c r="O33" s="6" t="n"/>
      <c r="P33" s="6" t="n"/>
    </row>
    <row r="34">
      <c r="A34" s="6">
        <f>IF($B34="","",TEXT(YEAR($B34),"0000")&amp;"-"&amp;TEXT(SUMPRODUCT((YEAR($B$2:$B34)=YEAR($B34))*($B$2:$B34&lt;&gt;"")),"000"))</f>
        <v/>
      </c>
      <c r="B34" s="7" t="n"/>
      <c r="C34" s="8" t="n"/>
      <c r="D34" s="6">
        <f>IFERROR(VLOOKUP($C34,商品マスタ範囲,4,FALSE),"")</f>
        <v/>
      </c>
      <c r="E34" s="6">
        <f>IFERROR(VLOOKUP($C34,商品マスタ範囲,2,FALSE),"")</f>
        <v/>
      </c>
      <c r="F34" s="6">
        <f>IFERROR(VLOOKUP($C34,商品マスタ範囲,3,FALSE),"")</f>
        <v/>
      </c>
      <c r="G34" s="9">
        <f>IFERROR(VLOOKUP($C34,商品マスタ範囲,5,FALSE),"")</f>
        <v/>
      </c>
      <c r="H34" s="9" t="n"/>
      <c r="I34" s="7" t="n"/>
      <c r="J34" s="9">
        <f>IFERROR(VLOOKUP($C34,商品マスタ範囲,6,FALSE),"")</f>
        <v/>
      </c>
      <c r="K34" s="9" t="n"/>
      <c r="L34" s="7" t="n"/>
      <c r="M34" s="8" t="n"/>
      <c r="N34" s="6" t="n"/>
      <c r="O34" s="6" t="n"/>
      <c r="P34" s="6" t="n"/>
    </row>
    <row r="35">
      <c r="A35" s="6">
        <f>IF($B35="","",TEXT(YEAR($B35),"0000")&amp;"-"&amp;TEXT(SUMPRODUCT((YEAR($B$2:$B35)=YEAR($B35))*($B$2:$B35&lt;&gt;"")),"000"))</f>
        <v/>
      </c>
      <c r="B35" s="7" t="n"/>
      <c r="C35" s="8" t="n"/>
      <c r="D35" s="6">
        <f>IFERROR(VLOOKUP($C35,商品マスタ範囲,4,FALSE),"")</f>
        <v/>
      </c>
      <c r="E35" s="6">
        <f>IFERROR(VLOOKUP($C35,商品マスタ範囲,2,FALSE),"")</f>
        <v/>
      </c>
      <c r="F35" s="6">
        <f>IFERROR(VLOOKUP($C35,商品マスタ範囲,3,FALSE),"")</f>
        <v/>
      </c>
      <c r="G35" s="9">
        <f>IFERROR(VLOOKUP($C35,商品マスタ範囲,5,FALSE),"")</f>
        <v/>
      </c>
      <c r="H35" s="9" t="n"/>
      <c r="I35" s="7" t="n"/>
      <c r="J35" s="9">
        <f>IFERROR(VLOOKUP($C35,商品マスタ範囲,6,FALSE),"")</f>
        <v/>
      </c>
      <c r="K35" s="9" t="n"/>
      <c r="L35" s="7" t="n"/>
      <c r="M35" s="8" t="n"/>
      <c r="N35" s="6" t="n"/>
      <c r="O35" s="6" t="n"/>
      <c r="P35" s="6" t="n"/>
    </row>
    <row r="36">
      <c r="A36" s="6">
        <f>IF($B36="","",TEXT(YEAR($B36),"0000")&amp;"-"&amp;TEXT(SUMPRODUCT((YEAR($B$2:$B36)=YEAR($B36))*($B$2:$B36&lt;&gt;"")),"000"))</f>
        <v/>
      </c>
      <c r="B36" s="7" t="n"/>
      <c r="C36" s="8" t="n"/>
      <c r="D36" s="6">
        <f>IFERROR(VLOOKUP($C36,商品マスタ範囲,4,FALSE),"")</f>
        <v/>
      </c>
      <c r="E36" s="6">
        <f>IFERROR(VLOOKUP($C36,商品マスタ範囲,2,FALSE),"")</f>
        <v/>
      </c>
      <c r="F36" s="6">
        <f>IFERROR(VLOOKUP($C36,商品マスタ範囲,3,FALSE),"")</f>
        <v/>
      </c>
      <c r="G36" s="9">
        <f>IFERROR(VLOOKUP($C36,商品マスタ範囲,5,FALSE),"")</f>
        <v/>
      </c>
      <c r="H36" s="9" t="n"/>
      <c r="I36" s="7" t="n"/>
      <c r="J36" s="9">
        <f>IFERROR(VLOOKUP($C36,商品マスタ範囲,6,FALSE),"")</f>
        <v/>
      </c>
      <c r="K36" s="9" t="n"/>
      <c r="L36" s="7" t="n"/>
      <c r="M36" s="8" t="n"/>
      <c r="N36" s="6" t="n"/>
      <c r="O36" s="6" t="n"/>
      <c r="P36" s="6" t="n"/>
    </row>
    <row r="37">
      <c r="A37" s="6">
        <f>IF($B37="","",TEXT(YEAR($B37),"0000")&amp;"-"&amp;TEXT(SUMPRODUCT((YEAR($B$2:$B37)=YEAR($B37))*($B$2:$B37&lt;&gt;"")),"000"))</f>
        <v/>
      </c>
      <c r="B37" s="7" t="n"/>
      <c r="C37" s="8" t="n"/>
      <c r="D37" s="6">
        <f>IFERROR(VLOOKUP($C37,商品マスタ範囲,4,FALSE),"")</f>
        <v/>
      </c>
      <c r="E37" s="6">
        <f>IFERROR(VLOOKUP($C37,商品マスタ範囲,2,FALSE),"")</f>
        <v/>
      </c>
      <c r="F37" s="6">
        <f>IFERROR(VLOOKUP($C37,商品マスタ範囲,3,FALSE),"")</f>
        <v/>
      </c>
      <c r="G37" s="9">
        <f>IFERROR(VLOOKUP($C37,商品マスタ範囲,5,FALSE),"")</f>
        <v/>
      </c>
      <c r="H37" s="9" t="n"/>
      <c r="I37" s="7" t="n"/>
      <c r="J37" s="9">
        <f>IFERROR(VLOOKUP($C37,商品マスタ範囲,6,FALSE),"")</f>
        <v/>
      </c>
      <c r="K37" s="9" t="n"/>
      <c r="L37" s="7" t="n"/>
      <c r="M37" s="8" t="n"/>
      <c r="N37" s="6" t="n"/>
      <c r="O37" s="6" t="n"/>
      <c r="P37" s="6" t="n"/>
    </row>
    <row r="38">
      <c r="A38" s="6">
        <f>IF($B38="","",TEXT(YEAR($B38),"0000")&amp;"-"&amp;TEXT(SUMPRODUCT((YEAR($B$2:$B38)=YEAR($B38))*($B$2:$B38&lt;&gt;"")),"000"))</f>
        <v/>
      </c>
      <c r="B38" s="7" t="n"/>
      <c r="C38" s="8" t="n"/>
      <c r="D38" s="6">
        <f>IFERROR(VLOOKUP($C38,商品マスタ範囲,4,FALSE),"")</f>
        <v/>
      </c>
      <c r="E38" s="6">
        <f>IFERROR(VLOOKUP($C38,商品マスタ範囲,2,FALSE),"")</f>
        <v/>
      </c>
      <c r="F38" s="6">
        <f>IFERROR(VLOOKUP($C38,商品マスタ範囲,3,FALSE),"")</f>
        <v/>
      </c>
      <c r="G38" s="9">
        <f>IFERROR(VLOOKUP($C38,商品マスタ範囲,5,FALSE),"")</f>
        <v/>
      </c>
      <c r="H38" s="9" t="n"/>
      <c r="I38" s="7" t="n"/>
      <c r="J38" s="9">
        <f>IFERROR(VLOOKUP($C38,商品マスタ範囲,6,FALSE),"")</f>
        <v/>
      </c>
      <c r="K38" s="9" t="n"/>
      <c r="L38" s="7" t="n"/>
      <c r="M38" s="8" t="n"/>
      <c r="N38" s="6" t="n"/>
      <c r="O38" s="6" t="n"/>
      <c r="P38" s="6" t="n"/>
    </row>
    <row r="39">
      <c r="A39" s="6">
        <f>IF($B39="","",TEXT(YEAR($B39),"0000")&amp;"-"&amp;TEXT(SUMPRODUCT((YEAR($B$2:$B39)=YEAR($B39))*($B$2:$B39&lt;&gt;"")),"000"))</f>
        <v/>
      </c>
      <c r="B39" s="7" t="n"/>
      <c r="C39" s="8" t="n"/>
      <c r="D39" s="6">
        <f>IFERROR(VLOOKUP($C39,商品マスタ範囲,4,FALSE),"")</f>
        <v/>
      </c>
      <c r="E39" s="6">
        <f>IFERROR(VLOOKUP($C39,商品マスタ範囲,2,FALSE),"")</f>
        <v/>
      </c>
      <c r="F39" s="6">
        <f>IFERROR(VLOOKUP($C39,商品マスタ範囲,3,FALSE),"")</f>
        <v/>
      </c>
      <c r="G39" s="9">
        <f>IFERROR(VLOOKUP($C39,商品マスタ範囲,5,FALSE),"")</f>
        <v/>
      </c>
      <c r="H39" s="9" t="n"/>
      <c r="I39" s="7" t="n"/>
      <c r="J39" s="9">
        <f>IFERROR(VLOOKUP($C39,商品マスタ範囲,6,FALSE),"")</f>
        <v/>
      </c>
      <c r="K39" s="9" t="n"/>
      <c r="L39" s="7" t="n"/>
      <c r="M39" s="8" t="n"/>
      <c r="N39" s="6" t="n"/>
      <c r="O39" s="6" t="n"/>
      <c r="P39" s="6" t="n"/>
    </row>
    <row r="40">
      <c r="A40" s="6">
        <f>IF($B40="","",TEXT(YEAR($B40),"0000")&amp;"-"&amp;TEXT(SUMPRODUCT((YEAR($B$2:$B40)=YEAR($B40))*($B$2:$B40&lt;&gt;"")),"000"))</f>
        <v/>
      </c>
      <c r="B40" s="7" t="n"/>
      <c r="C40" s="8" t="n"/>
      <c r="D40" s="6">
        <f>IFERROR(VLOOKUP($C40,商品マスタ範囲,4,FALSE),"")</f>
        <v/>
      </c>
      <c r="E40" s="6">
        <f>IFERROR(VLOOKUP($C40,商品マスタ範囲,2,FALSE),"")</f>
        <v/>
      </c>
      <c r="F40" s="6">
        <f>IFERROR(VLOOKUP($C40,商品マスタ範囲,3,FALSE),"")</f>
        <v/>
      </c>
      <c r="G40" s="9">
        <f>IFERROR(VLOOKUP($C40,商品マスタ範囲,5,FALSE),"")</f>
        <v/>
      </c>
      <c r="H40" s="9" t="n"/>
      <c r="I40" s="7" t="n"/>
      <c r="J40" s="9">
        <f>IFERROR(VLOOKUP($C40,商品マスタ範囲,6,FALSE),"")</f>
        <v/>
      </c>
      <c r="K40" s="9" t="n"/>
      <c r="L40" s="7" t="n"/>
      <c r="M40" s="8" t="n"/>
      <c r="N40" s="6" t="n"/>
      <c r="O40" s="6" t="n"/>
      <c r="P40" s="6" t="n"/>
    </row>
    <row r="41">
      <c r="A41" s="6">
        <f>IF($B41="","",TEXT(YEAR($B41),"0000")&amp;"-"&amp;TEXT(SUMPRODUCT((YEAR($B$2:$B41)=YEAR($B41))*($B$2:$B41&lt;&gt;"")),"000"))</f>
        <v/>
      </c>
      <c r="B41" s="7" t="n"/>
      <c r="C41" s="8" t="n"/>
      <c r="D41" s="6">
        <f>IFERROR(VLOOKUP($C41,商品マスタ範囲,4,FALSE),"")</f>
        <v/>
      </c>
      <c r="E41" s="6">
        <f>IFERROR(VLOOKUP($C41,商品マスタ範囲,2,FALSE),"")</f>
        <v/>
      </c>
      <c r="F41" s="6">
        <f>IFERROR(VLOOKUP($C41,商品マスタ範囲,3,FALSE),"")</f>
        <v/>
      </c>
      <c r="G41" s="9">
        <f>IFERROR(VLOOKUP($C41,商品マスタ範囲,5,FALSE),"")</f>
        <v/>
      </c>
      <c r="H41" s="9" t="n"/>
      <c r="I41" s="7" t="n"/>
      <c r="J41" s="9">
        <f>IFERROR(VLOOKUP($C41,商品マスタ範囲,6,FALSE),"")</f>
        <v/>
      </c>
      <c r="K41" s="9" t="n"/>
      <c r="L41" s="7" t="n"/>
      <c r="M41" s="8" t="n"/>
      <c r="N41" s="6" t="n"/>
      <c r="O41" s="6" t="n"/>
      <c r="P41" s="6" t="n"/>
    </row>
    <row r="42">
      <c r="A42" s="6">
        <f>IF($B42="","",TEXT(YEAR($B42),"0000")&amp;"-"&amp;TEXT(SUMPRODUCT((YEAR($B$2:$B42)=YEAR($B42))*($B$2:$B42&lt;&gt;"")),"000"))</f>
        <v/>
      </c>
      <c r="B42" s="7" t="n"/>
      <c r="C42" s="8" t="n"/>
      <c r="D42" s="6">
        <f>IFERROR(VLOOKUP($C42,商品マスタ範囲,4,FALSE),"")</f>
        <v/>
      </c>
      <c r="E42" s="6">
        <f>IFERROR(VLOOKUP($C42,商品マスタ範囲,2,FALSE),"")</f>
        <v/>
      </c>
      <c r="F42" s="6">
        <f>IFERROR(VLOOKUP($C42,商品マスタ範囲,3,FALSE),"")</f>
        <v/>
      </c>
      <c r="G42" s="9">
        <f>IFERROR(VLOOKUP($C42,商品マスタ範囲,5,FALSE),"")</f>
        <v/>
      </c>
      <c r="H42" s="9" t="n"/>
      <c r="I42" s="7" t="n"/>
      <c r="J42" s="9">
        <f>IFERROR(VLOOKUP($C42,商品マスタ範囲,6,FALSE),"")</f>
        <v/>
      </c>
      <c r="K42" s="9" t="n"/>
      <c r="L42" s="7" t="n"/>
      <c r="M42" s="8" t="n"/>
      <c r="N42" s="6" t="n"/>
      <c r="O42" s="6" t="n"/>
      <c r="P42" s="6" t="n"/>
    </row>
    <row r="43">
      <c r="A43" s="6">
        <f>IF($B43="","",TEXT(YEAR($B43),"0000")&amp;"-"&amp;TEXT(SUMPRODUCT((YEAR($B$2:$B43)=YEAR($B43))*($B$2:$B43&lt;&gt;"")),"000"))</f>
        <v/>
      </c>
      <c r="B43" s="7" t="n"/>
      <c r="C43" s="8" t="n"/>
      <c r="D43" s="6">
        <f>IFERROR(VLOOKUP($C43,商品マスタ範囲,4,FALSE),"")</f>
        <v/>
      </c>
      <c r="E43" s="6">
        <f>IFERROR(VLOOKUP($C43,商品マスタ範囲,2,FALSE),"")</f>
        <v/>
      </c>
      <c r="F43" s="6">
        <f>IFERROR(VLOOKUP($C43,商品マスタ範囲,3,FALSE),"")</f>
        <v/>
      </c>
      <c r="G43" s="9">
        <f>IFERROR(VLOOKUP($C43,商品マスタ範囲,5,FALSE),"")</f>
        <v/>
      </c>
      <c r="H43" s="9" t="n"/>
      <c r="I43" s="7" t="n"/>
      <c r="J43" s="9">
        <f>IFERROR(VLOOKUP($C43,商品マスタ範囲,6,FALSE),"")</f>
        <v/>
      </c>
      <c r="K43" s="9" t="n"/>
      <c r="L43" s="7" t="n"/>
      <c r="M43" s="8" t="n"/>
      <c r="N43" s="6" t="n"/>
      <c r="O43" s="6" t="n"/>
      <c r="P43" s="6" t="n"/>
    </row>
    <row r="44">
      <c r="A44" s="6">
        <f>IF($B44="","",TEXT(YEAR($B44),"0000")&amp;"-"&amp;TEXT(SUMPRODUCT((YEAR($B$2:$B44)=YEAR($B44))*($B$2:$B44&lt;&gt;"")),"000"))</f>
        <v/>
      </c>
      <c r="B44" s="7" t="n"/>
      <c r="C44" s="8" t="n"/>
      <c r="D44" s="6">
        <f>IFERROR(VLOOKUP($C44,商品マスタ範囲,4,FALSE),"")</f>
        <v/>
      </c>
      <c r="E44" s="6">
        <f>IFERROR(VLOOKUP($C44,商品マスタ範囲,2,FALSE),"")</f>
        <v/>
      </c>
      <c r="F44" s="6">
        <f>IFERROR(VLOOKUP($C44,商品マスタ範囲,3,FALSE),"")</f>
        <v/>
      </c>
      <c r="G44" s="9">
        <f>IFERROR(VLOOKUP($C44,商品マスタ範囲,5,FALSE),"")</f>
        <v/>
      </c>
      <c r="H44" s="9" t="n"/>
      <c r="I44" s="7" t="n"/>
      <c r="J44" s="9">
        <f>IFERROR(VLOOKUP($C44,商品マスタ範囲,6,FALSE),"")</f>
        <v/>
      </c>
      <c r="K44" s="9" t="n"/>
      <c r="L44" s="7" t="n"/>
      <c r="M44" s="8" t="n"/>
      <c r="N44" s="6" t="n"/>
      <c r="O44" s="6" t="n"/>
      <c r="P44" s="6" t="n"/>
    </row>
    <row r="45">
      <c r="A45" s="6">
        <f>IF($B45="","",TEXT(YEAR($B45),"0000")&amp;"-"&amp;TEXT(SUMPRODUCT((YEAR($B$2:$B45)=YEAR($B45))*($B$2:$B45&lt;&gt;"")),"000"))</f>
        <v/>
      </c>
      <c r="B45" s="7" t="n"/>
      <c r="C45" s="8" t="n"/>
      <c r="D45" s="6">
        <f>IFERROR(VLOOKUP($C45,商品マスタ範囲,4,FALSE),"")</f>
        <v/>
      </c>
      <c r="E45" s="6">
        <f>IFERROR(VLOOKUP($C45,商品マスタ範囲,2,FALSE),"")</f>
        <v/>
      </c>
      <c r="F45" s="6">
        <f>IFERROR(VLOOKUP($C45,商品マスタ範囲,3,FALSE),"")</f>
        <v/>
      </c>
      <c r="G45" s="9">
        <f>IFERROR(VLOOKUP($C45,商品マスタ範囲,5,FALSE),"")</f>
        <v/>
      </c>
      <c r="H45" s="9" t="n"/>
      <c r="I45" s="7" t="n"/>
      <c r="J45" s="9">
        <f>IFERROR(VLOOKUP($C45,商品マスタ範囲,6,FALSE),"")</f>
        <v/>
      </c>
      <c r="K45" s="9" t="n"/>
      <c r="L45" s="7" t="n"/>
      <c r="M45" s="8" t="n"/>
      <c r="N45" s="6" t="n"/>
      <c r="O45" s="6" t="n"/>
      <c r="P45" s="6" t="n"/>
    </row>
    <row r="46">
      <c r="A46" s="6">
        <f>IF($B46="","",TEXT(YEAR($B46),"0000")&amp;"-"&amp;TEXT(SUMPRODUCT((YEAR($B$2:$B46)=YEAR($B46))*($B$2:$B46&lt;&gt;"")),"000"))</f>
        <v/>
      </c>
      <c r="B46" s="7" t="n"/>
      <c r="C46" s="8" t="n"/>
      <c r="D46" s="6">
        <f>IFERROR(VLOOKUP($C46,商品マスタ範囲,4,FALSE),"")</f>
        <v/>
      </c>
      <c r="E46" s="6">
        <f>IFERROR(VLOOKUP($C46,商品マスタ範囲,2,FALSE),"")</f>
        <v/>
      </c>
      <c r="F46" s="6">
        <f>IFERROR(VLOOKUP($C46,商品マスタ範囲,3,FALSE),"")</f>
        <v/>
      </c>
      <c r="G46" s="9">
        <f>IFERROR(VLOOKUP($C46,商品マスタ範囲,5,FALSE),"")</f>
        <v/>
      </c>
      <c r="H46" s="9" t="n"/>
      <c r="I46" s="7" t="n"/>
      <c r="J46" s="9">
        <f>IFERROR(VLOOKUP($C46,商品マスタ範囲,6,FALSE),"")</f>
        <v/>
      </c>
      <c r="K46" s="9" t="n"/>
      <c r="L46" s="7" t="n"/>
      <c r="M46" s="8" t="n"/>
      <c r="N46" s="6" t="n"/>
      <c r="O46" s="6" t="n"/>
      <c r="P46" s="6" t="n"/>
    </row>
    <row r="47">
      <c r="A47" s="6">
        <f>IF($B47="","",TEXT(YEAR($B47),"0000")&amp;"-"&amp;TEXT(SUMPRODUCT((YEAR($B$2:$B47)=YEAR($B47))*($B$2:$B47&lt;&gt;"")),"000"))</f>
        <v/>
      </c>
      <c r="B47" s="7" t="n"/>
      <c r="C47" s="8" t="n"/>
      <c r="D47" s="6">
        <f>IFERROR(VLOOKUP($C47,商品マスタ範囲,4,FALSE),"")</f>
        <v/>
      </c>
      <c r="E47" s="6">
        <f>IFERROR(VLOOKUP($C47,商品マスタ範囲,2,FALSE),"")</f>
        <v/>
      </c>
      <c r="F47" s="6">
        <f>IFERROR(VLOOKUP($C47,商品マスタ範囲,3,FALSE),"")</f>
        <v/>
      </c>
      <c r="G47" s="9">
        <f>IFERROR(VLOOKUP($C47,商品マスタ範囲,5,FALSE),"")</f>
        <v/>
      </c>
      <c r="H47" s="9" t="n"/>
      <c r="I47" s="7" t="n"/>
      <c r="J47" s="9">
        <f>IFERROR(VLOOKUP($C47,商品マスタ範囲,6,FALSE),"")</f>
        <v/>
      </c>
      <c r="K47" s="9" t="n"/>
      <c r="L47" s="7" t="n"/>
      <c r="M47" s="8" t="n"/>
      <c r="N47" s="6" t="n"/>
      <c r="O47" s="6" t="n"/>
      <c r="P47" s="6" t="n"/>
    </row>
    <row r="48">
      <c r="A48" s="6">
        <f>IF($B48="","",TEXT(YEAR($B48),"0000")&amp;"-"&amp;TEXT(SUMPRODUCT((YEAR($B$2:$B48)=YEAR($B48))*($B$2:$B48&lt;&gt;"")),"000"))</f>
        <v/>
      </c>
      <c r="B48" s="7" t="n"/>
      <c r="C48" s="8" t="n"/>
      <c r="D48" s="6">
        <f>IFERROR(VLOOKUP($C48,商品マスタ範囲,4,FALSE),"")</f>
        <v/>
      </c>
      <c r="E48" s="6">
        <f>IFERROR(VLOOKUP($C48,商品マスタ範囲,2,FALSE),"")</f>
        <v/>
      </c>
      <c r="F48" s="6">
        <f>IFERROR(VLOOKUP($C48,商品マスタ範囲,3,FALSE),"")</f>
        <v/>
      </c>
      <c r="G48" s="9">
        <f>IFERROR(VLOOKUP($C48,商品マスタ範囲,5,FALSE),"")</f>
        <v/>
      </c>
      <c r="H48" s="9" t="n"/>
      <c r="I48" s="7" t="n"/>
      <c r="J48" s="9">
        <f>IFERROR(VLOOKUP($C48,商品マスタ範囲,6,FALSE),"")</f>
        <v/>
      </c>
      <c r="K48" s="9" t="n"/>
      <c r="L48" s="7" t="n"/>
      <c r="M48" s="8" t="n"/>
      <c r="N48" s="6" t="n"/>
      <c r="O48" s="6" t="n"/>
      <c r="P48" s="6" t="n"/>
    </row>
    <row r="49">
      <c r="A49" s="6">
        <f>IF($B49="","",TEXT(YEAR($B49),"0000")&amp;"-"&amp;TEXT(SUMPRODUCT((YEAR($B$2:$B49)=YEAR($B49))*($B$2:$B49&lt;&gt;"")),"000"))</f>
        <v/>
      </c>
      <c r="B49" s="7" t="n"/>
      <c r="C49" s="8" t="n"/>
      <c r="D49" s="6">
        <f>IFERROR(VLOOKUP($C49,商品マスタ範囲,4,FALSE),"")</f>
        <v/>
      </c>
      <c r="E49" s="6">
        <f>IFERROR(VLOOKUP($C49,商品マスタ範囲,2,FALSE),"")</f>
        <v/>
      </c>
      <c r="F49" s="6">
        <f>IFERROR(VLOOKUP($C49,商品マスタ範囲,3,FALSE),"")</f>
        <v/>
      </c>
      <c r="G49" s="9">
        <f>IFERROR(VLOOKUP($C49,商品マスタ範囲,5,FALSE),"")</f>
        <v/>
      </c>
      <c r="H49" s="9" t="n"/>
      <c r="I49" s="7" t="n"/>
      <c r="J49" s="9">
        <f>IFERROR(VLOOKUP($C49,商品マスタ範囲,6,FALSE),"")</f>
        <v/>
      </c>
      <c r="K49" s="9" t="n"/>
      <c r="L49" s="7" t="n"/>
      <c r="M49" s="8" t="n"/>
      <c r="N49" s="6" t="n"/>
      <c r="O49" s="6" t="n"/>
      <c r="P49" s="6" t="n"/>
    </row>
    <row r="50">
      <c r="A50" s="6">
        <f>IF($B50="","",TEXT(YEAR($B50),"0000")&amp;"-"&amp;TEXT(SUMPRODUCT((YEAR($B$2:$B50)=YEAR($B50))*($B$2:$B50&lt;&gt;"")),"000"))</f>
        <v/>
      </c>
      <c r="B50" s="7" t="n"/>
      <c r="C50" s="8" t="n"/>
      <c r="D50" s="6">
        <f>IFERROR(VLOOKUP($C50,商品マスタ範囲,4,FALSE),"")</f>
        <v/>
      </c>
      <c r="E50" s="6">
        <f>IFERROR(VLOOKUP($C50,商品マスタ範囲,2,FALSE),"")</f>
        <v/>
      </c>
      <c r="F50" s="6">
        <f>IFERROR(VLOOKUP($C50,商品マスタ範囲,3,FALSE),"")</f>
        <v/>
      </c>
      <c r="G50" s="9">
        <f>IFERROR(VLOOKUP($C50,商品マスタ範囲,5,FALSE),"")</f>
        <v/>
      </c>
      <c r="H50" s="9" t="n"/>
      <c r="I50" s="7" t="n"/>
      <c r="J50" s="9">
        <f>IFERROR(VLOOKUP($C50,商品マスタ範囲,6,FALSE),"")</f>
        <v/>
      </c>
      <c r="K50" s="9" t="n"/>
      <c r="L50" s="7" t="n"/>
      <c r="M50" s="8" t="n"/>
      <c r="N50" s="6" t="n"/>
      <c r="O50" s="6" t="n"/>
      <c r="P50" s="6" t="n"/>
    </row>
    <row r="51">
      <c r="A51" s="6">
        <f>IF($B51="","",TEXT(YEAR($B51),"0000")&amp;"-"&amp;TEXT(SUMPRODUCT((YEAR($B$2:$B51)=YEAR($B51))*($B$2:$B51&lt;&gt;"")),"000"))</f>
        <v/>
      </c>
      <c r="B51" s="7" t="n"/>
      <c r="C51" s="8" t="n"/>
      <c r="D51" s="6">
        <f>IFERROR(VLOOKUP($C51,商品マスタ範囲,4,FALSE),"")</f>
        <v/>
      </c>
      <c r="E51" s="6">
        <f>IFERROR(VLOOKUP($C51,商品マスタ範囲,2,FALSE),"")</f>
        <v/>
      </c>
      <c r="F51" s="6">
        <f>IFERROR(VLOOKUP($C51,商品マスタ範囲,3,FALSE),"")</f>
        <v/>
      </c>
      <c r="G51" s="9">
        <f>IFERROR(VLOOKUP($C51,商品マスタ範囲,5,FALSE),"")</f>
        <v/>
      </c>
      <c r="H51" s="9" t="n"/>
      <c r="I51" s="7" t="n"/>
      <c r="J51" s="9">
        <f>IFERROR(VLOOKUP($C51,商品マスタ範囲,6,FALSE),"")</f>
        <v/>
      </c>
      <c r="K51" s="9" t="n"/>
      <c r="L51" s="7" t="n"/>
      <c r="M51" s="8" t="n"/>
      <c r="N51" s="6" t="n"/>
      <c r="O51" s="6" t="n"/>
      <c r="P51" s="6" t="n"/>
    </row>
    <row r="52">
      <c r="A52" s="6">
        <f>IF($B52="","",TEXT(YEAR($B52),"0000")&amp;"-"&amp;TEXT(SUMPRODUCT((YEAR($B$2:$B52)=YEAR($B52))*($B$2:$B52&lt;&gt;"")),"000"))</f>
        <v/>
      </c>
      <c r="B52" s="7" t="n"/>
      <c r="C52" s="8" t="n"/>
      <c r="D52" s="6">
        <f>IFERROR(VLOOKUP($C52,商品マスタ範囲,4,FALSE),"")</f>
        <v/>
      </c>
      <c r="E52" s="6">
        <f>IFERROR(VLOOKUP($C52,商品マスタ範囲,2,FALSE),"")</f>
        <v/>
      </c>
      <c r="F52" s="6">
        <f>IFERROR(VLOOKUP($C52,商品マスタ範囲,3,FALSE),"")</f>
        <v/>
      </c>
      <c r="G52" s="9">
        <f>IFERROR(VLOOKUP($C52,商品マスタ範囲,5,FALSE),"")</f>
        <v/>
      </c>
      <c r="H52" s="9" t="n"/>
      <c r="I52" s="7" t="n"/>
      <c r="J52" s="9">
        <f>IFERROR(VLOOKUP($C52,商品マスタ範囲,6,FALSE),"")</f>
        <v/>
      </c>
      <c r="K52" s="9" t="n"/>
      <c r="L52" s="7" t="n"/>
      <c r="M52" s="8" t="n"/>
      <c r="N52" s="6" t="n"/>
      <c r="O52" s="6" t="n"/>
      <c r="P52" s="6" t="n"/>
    </row>
    <row r="53">
      <c r="A53" s="6">
        <f>IF($B53="","",TEXT(YEAR($B53),"0000")&amp;"-"&amp;TEXT(SUMPRODUCT((YEAR($B$2:$B53)=YEAR($B53))*($B$2:$B53&lt;&gt;"")),"000"))</f>
        <v/>
      </c>
      <c r="B53" s="7" t="n"/>
      <c r="C53" s="8" t="n"/>
      <c r="D53" s="6">
        <f>IFERROR(VLOOKUP($C53,商品マスタ範囲,4,FALSE),"")</f>
        <v/>
      </c>
      <c r="E53" s="6">
        <f>IFERROR(VLOOKUP($C53,商品マスタ範囲,2,FALSE),"")</f>
        <v/>
      </c>
      <c r="F53" s="6">
        <f>IFERROR(VLOOKUP($C53,商品マスタ範囲,3,FALSE),"")</f>
        <v/>
      </c>
      <c r="G53" s="9">
        <f>IFERROR(VLOOKUP($C53,商品マスタ範囲,5,FALSE),"")</f>
        <v/>
      </c>
      <c r="H53" s="9" t="n"/>
      <c r="I53" s="7" t="n"/>
      <c r="J53" s="9">
        <f>IFERROR(VLOOKUP($C53,商品マスタ範囲,6,FALSE),"")</f>
        <v/>
      </c>
      <c r="K53" s="9" t="n"/>
      <c r="L53" s="7" t="n"/>
      <c r="M53" s="8" t="n"/>
      <c r="N53" s="6" t="n"/>
      <c r="O53" s="6" t="n"/>
      <c r="P53" s="6" t="n"/>
    </row>
    <row r="54">
      <c r="A54" s="6">
        <f>IF($B54="","",TEXT(YEAR($B54),"0000")&amp;"-"&amp;TEXT(SUMPRODUCT((YEAR($B$2:$B54)=YEAR($B54))*($B$2:$B54&lt;&gt;"")),"000"))</f>
        <v/>
      </c>
      <c r="B54" s="7" t="n"/>
      <c r="C54" s="8" t="n"/>
      <c r="D54" s="6">
        <f>IFERROR(VLOOKUP($C54,商品マスタ範囲,4,FALSE),"")</f>
        <v/>
      </c>
      <c r="E54" s="6">
        <f>IFERROR(VLOOKUP($C54,商品マスタ範囲,2,FALSE),"")</f>
        <v/>
      </c>
      <c r="F54" s="6">
        <f>IFERROR(VLOOKUP($C54,商品マスタ範囲,3,FALSE),"")</f>
        <v/>
      </c>
      <c r="G54" s="9">
        <f>IFERROR(VLOOKUP($C54,商品マスタ範囲,5,FALSE),"")</f>
        <v/>
      </c>
      <c r="H54" s="9" t="n"/>
      <c r="I54" s="7" t="n"/>
      <c r="J54" s="9">
        <f>IFERROR(VLOOKUP($C54,商品マスタ範囲,6,FALSE),"")</f>
        <v/>
      </c>
      <c r="K54" s="9" t="n"/>
      <c r="L54" s="7" t="n"/>
      <c r="M54" s="8" t="n"/>
      <c r="N54" s="6" t="n"/>
      <c r="O54" s="6" t="n"/>
      <c r="P54" s="6" t="n"/>
    </row>
    <row r="55">
      <c r="A55" s="6">
        <f>IF($B55="","",TEXT(YEAR($B55),"0000")&amp;"-"&amp;TEXT(SUMPRODUCT((YEAR($B$2:$B55)=YEAR($B55))*($B$2:$B55&lt;&gt;"")),"000"))</f>
        <v/>
      </c>
      <c r="B55" s="7" t="n"/>
      <c r="C55" s="8" t="n"/>
      <c r="D55" s="6">
        <f>IFERROR(VLOOKUP($C55,商品マスタ範囲,4,FALSE),"")</f>
        <v/>
      </c>
      <c r="E55" s="6">
        <f>IFERROR(VLOOKUP($C55,商品マスタ範囲,2,FALSE),"")</f>
        <v/>
      </c>
      <c r="F55" s="6">
        <f>IFERROR(VLOOKUP($C55,商品マスタ範囲,3,FALSE),"")</f>
        <v/>
      </c>
      <c r="G55" s="9">
        <f>IFERROR(VLOOKUP($C55,商品マスタ範囲,5,FALSE),"")</f>
        <v/>
      </c>
      <c r="H55" s="9" t="n"/>
      <c r="I55" s="7" t="n"/>
      <c r="J55" s="9">
        <f>IFERROR(VLOOKUP($C55,商品マスタ範囲,6,FALSE),"")</f>
        <v/>
      </c>
      <c r="K55" s="9" t="n"/>
      <c r="L55" s="7" t="n"/>
      <c r="M55" s="8" t="n"/>
      <c r="N55" s="6" t="n"/>
      <c r="O55" s="6" t="n"/>
      <c r="P55" s="6" t="n"/>
    </row>
    <row r="56">
      <c r="A56" s="6">
        <f>IF($B56="","",TEXT(YEAR($B56),"0000")&amp;"-"&amp;TEXT(SUMPRODUCT((YEAR($B$2:$B56)=YEAR($B56))*($B$2:$B56&lt;&gt;"")),"000"))</f>
        <v/>
      </c>
      <c r="B56" s="7" t="n"/>
      <c r="C56" s="8" t="n"/>
      <c r="D56" s="6">
        <f>IFERROR(VLOOKUP($C56,商品マスタ範囲,4,FALSE),"")</f>
        <v/>
      </c>
      <c r="E56" s="6">
        <f>IFERROR(VLOOKUP($C56,商品マスタ範囲,2,FALSE),"")</f>
        <v/>
      </c>
      <c r="F56" s="6">
        <f>IFERROR(VLOOKUP($C56,商品マスタ範囲,3,FALSE),"")</f>
        <v/>
      </c>
      <c r="G56" s="9">
        <f>IFERROR(VLOOKUP($C56,商品マスタ範囲,5,FALSE),"")</f>
        <v/>
      </c>
      <c r="H56" s="9" t="n"/>
      <c r="I56" s="7" t="n"/>
      <c r="J56" s="9">
        <f>IFERROR(VLOOKUP($C56,商品マスタ範囲,6,FALSE),"")</f>
        <v/>
      </c>
      <c r="K56" s="9" t="n"/>
      <c r="L56" s="7" t="n"/>
      <c r="M56" s="8" t="n"/>
      <c r="N56" s="6" t="n"/>
      <c r="O56" s="6" t="n"/>
      <c r="P56" s="6" t="n"/>
    </row>
    <row r="57">
      <c r="A57" s="6">
        <f>IF($B57="","",TEXT(YEAR($B57),"0000")&amp;"-"&amp;TEXT(SUMPRODUCT((YEAR($B$2:$B57)=YEAR($B57))*($B$2:$B57&lt;&gt;"")),"000"))</f>
        <v/>
      </c>
      <c r="B57" s="7" t="n"/>
      <c r="C57" s="8" t="n"/>
      <c r="D57" s="6">
        <f>IFERROR(VLOOKUP($C57,商品マスタ範囲,4,FALSE),"")</f>
        <v/>
      </c>
      <c r="E57" s="6">
        <f>IFERROR(VLOOKUP($C57,商品マスタ範囲,2,FALSE),"")</f>
        <v/>
      </c>
      <c r="F57" s="6">
        <f>IFERROR(VLOOKUP($C57,商品マスタ範囲,3,FALSE),"")</f>
        <v/>
      </c>
      <c r="G57" s="9">
        <f>IFERROR(VLOOKUP($C57,商品マスタ範囲,5,FALSE),"")</f>
        <v/>
      </c>
      <c r="H57" s="9" t="n"/>
      <c r="I57" s="7" t="n"/>
      <c r="J57" s="9">
        <f>IFERROR(VLOOKUP($C57,商品マスタ範囲,6,FALSE),"")</f>
        <v/>
      </c>
      <c r="K57" s="9" t="n"/>
      <c r="L57" s="7" t="n"/>
      <c r="M57" s="8" t="n"/>
      <c r="N57" s="6" t="n"/>
      <c r="O57" s="6" t="n"/>
      <c r="P57" s="6" t="n"/>
    </row>
    <row r="58">
      <c r="A58" s="6">
        <f>IF($B58="","",TEXT(YEAR($B58),"0000")&amp;"-"&amp;TEXT(SUMPRODUCT((YEAR($B$2:$B58)=YEAR($B58))*($B$2:$B58&lt;&gt;"")),"000"))</f>
        <v/>
      </c>
      <c r="B58" s="7" t="n"/>
      <c r="C58" s="8" t="n"/>
      <c r="D58" s="6">
        <f>IFERROR(VLOOKUP($C58,商品マスタ範囲,4,FALSE),"")</f>
        <v/>
      </c>
      <c r="E58" s="6">
        <f>IFERROR(VLOOKUP($C58,商品マスタ範囲,2,FALSE),"")</f>
        <v/>
      </c>
      <c r="F58" s="6">
        <f>IFERROR(VLOOKUP($C58,商品マスタ範囲,3,FALSE),"")</f>
        <v/>
      </c>
      <c r="G58" s="9">
        <f>IFERROR(VLOOKUP($C58,商品マスタ範囲,5,FALSE),"")</f>
        <v/>
      </c>
      <c r="H58" s="9" t="n"/>
      <c r="I58" s="7" t="n"/>
      <c r="J58" s="9">
        <f>IFERROR(VLOOKUP($C58,商品マスタ範囲,6,FALSE),"")</f>
        <v/>
      </c>
      <c r="K58" s="9" t="n"/>
      <c r="L58" s="7" t="n"/>
      <c r="M58" s="8" t="n"/>
      <c r="N58" s="6" t="n"/>
      <c r="O58" s="6" t="n"/>
      <c r="P58" s="6" t="n"/>
    </row>
    <row r="59">
      <c r="A59" s="6">
        <f>IF($B59="","",TEXT(YEAR($B59),"0000")&amp;"-"&amp;TEXT(SUMPRODUCT((YEAR($B$2:$B59)=YEAR($B59))*($B$2:$B59&lt;&gt;"")),"000"))</f>
        <v/>
      </c>
      <c r="B59" s="7" t="n"/>
      <c r="C59" s="8" t="n"/>
      <c r="D59" s="6">
        <f>IFERROR(VLOOKUP($C59,商品マスタ範囲,4,FALSE),"")</f>
        <v/>
      </c>
      <c r="E59" s="6">
        <f>IFERROR(VLOOKUP($C59,商品マスタ範囲,2,FALSE),"")</f>
        <v/>
      </c>
      <c r="F59" s="6">
        <f>IFERROR(VLOOKUP($C59,商品マスタ範囲,3,FALSE),"")</f>
        <v/>
      </c>
      <c r="G59" s="9">
        <f>IFERROR(VLOOKUP($C59,商品マスタ範囲,5,FALSE),"")</f>
        <v/>
      </c>
      <c r="H59" s="9" t="n"/>
      <c r="I59" s="7" t="n"/>
      <c r="J59" s="9">
        <f>IFERROR(VLOOKUP($C59,商品マスタ範囲,6,FALSE),"")</f>
        <v/>
      </c>
      <c r="K59" s="9" t="n"/>
      <c r="L59" s="7" t="n"/>
      <c r="M59" s="8" t="n"/>
      <c r="N59" s="6" t="n"/>
      <c r="O59" s="6" t="n"/>
      <c r="P59" s="6" t="n"/>
    </row>
    <row r="60">
      <c r="A60" s="6">
        <f>IF($B60="","",TEXT(YEAR($B60),"0000")&amp;"-"&amp;TEXT(SUMPRODUCT((YEAR($B$2:$B60)=YEAR($B60))*($B$2:$B60&lt;&gt;"")),"000"))</f>
        <v/>
      </c>
      <c r="B60" s="7" t="n"/>
      <c r="C60" s="8" t="n"/>
      <c r="D60" s="6">
        <f>IFERROR(VLOOKUP($C60,商品マスタ範囲,4,FALSE),"")</f>
        <v/>
      </c>
      <c r="E60" s="6">
        <f>IFERROR(VLOOKUP($C60,商品マスタ範囲,2,FALSE),"")</f>
        <v/>
      </c>
      <c r="F60" s="6">
        <f>IFERROR(VLOOKUP($C60,商品マスタ範囲,3,FALSE),"")</f>
        <v/>
      </c>
      <c r="G60" s="9">
        <f>IFERROR(VLOOKUP($C60,商品マスタ範囲,5,FALSE),"")</f>
        <v/>
      </c>
      <c r="H60" s="9" t="n"/>
      <c r="I60" s="7" t="n"/>
      <c r="J60" s="9">
        <f>IFERROR(VLOOKUP($C60,商品マスタ範囲,6,FALSE),"")</f>
        <v/>
      </c>
      <c r="K60" s="9" t="n"/>
      <c r="L60" s="7" t="n"/>
      <c r="M60" s="8" t="n"/>
      <c r="N60" s="6" t="n"/>
      <c r="O60" s="6" t="n"/>
      <c r="P60" s="6" t="n"/>
    </row>
    <row r="61">
      <c r="A61" s="6">
        <f>IF($B61="","",TEXT(YEAR($B61),"0000")&amp;"-"&amp;TEXT(SUMPRODUCT((YEAR($B$2:$B61)=YEAR($B61))*($B$2:$B61&lt;&gt;"")),"000"))</f>
        <v/>
      </c>
      <c r="B61" s="7" t="n"/>
      <c r="C61" s="8" t="n"/>
      <c r="D61" s="6">
        <f>IFERROR(VLOOKUP($C61,商品マスタ範囲,4,FALSE),"")</f>
        <v/>
      </c>
      <c r="E61" s="6">
        <f>IFERROR(VLOOKUP($C61,商品マスタ範囲,2,FALSE),"")</f>
        <v/>
      </c>
      <c r="F61" s="6">
        <f>IFERROR(VLOOKUP($C61,商品マスタ範囲,3,FALSE),"")</f>
        <v/>
      </c>
      <c r="G61" s="9">
        <f>IFERROR(VLOOKUP($C61,商品マスタ範囲,5,FALSE),"")</f>
        <v/>
      </c>
      <c r="H61" s="9" t="n"/>
      <c r="I61" s="7" t="n"/>
      <c r="J61" s="9">
        <f>IFERROR(VLOOKUP($C61,商品マスタ範囲,6,FALSE),"")</f>
        <v/>
      </c>
      <c r="K61" s="9" t="n"/>
      <c r="L61" s="7" t="n"/>
      <c r="M61" s="8" t="n"/>
      <c r="N61" s="6" t="n"/>
      <c r="O61" s="6" t="n"/>
      <c r="P61" s="6" t="n"/>
    </row>
    <row r="62">
      <c r="A62" s="6">
        <f>IF($B62="","",TEXT(YEAR($B62),"0000")&amp;"-"&amp;TEXT(SUMPRODUCT((YEAR($B$2:$B62)=YEAR($B62))*($B$2:$B62&lt;&gt;"")),"000"))</f>
        <v/>
      </c>
      <c r="B62" s="7" t="n"/>
      <c r="C62" s="8" t="n"/>
      <c r="D62" s="6">
        <f>IFERROR(VLOOKUP($C62,商品マスタ範囲,4,FALSE),"")</f>
        <v/>
      </c>
      <c r="E62" s="6">
        <f>IFERROR(VLOOKUP($C62,商品マスタ範囲,2,FALSE),"")</f>
        <v/>
      </c>
      <c r="F62" s="6">
        <f>IFERROR(VLOOKUP($C62,商品マスタ範囲,3,FALSE),"")</f>
        <v/>
      </c>
      <c r="G62" s="9">
        <f>IFERROR(VLOOKUP($C62,商品マスタ範囲,5,FALSE),"")</f>
        <v/>
      </c>
      <c r="H62" s="9" t="n"/>
      <c r="I62" s="7" t="n"/>
      <c r="J62" s="9">
        <f>IFERROR(VLOOKUP($C62,商品マスタ範囲,6,FALSE),"")</f>
        <v/>
      </c>
      <c r="K62" s="9" t="n"/>
      <c r="L62" s="7" t="n"/>
      <c r="M62" s="8" t="n"/>
      <c r="N62" s="6" t="n"/>
      <c r="O62" s="6" t="n"/>
      <c r="P62" s="6" t="n"/>
    </row>
    <row r="63">
      <c r="A63" s="6">
        <f>IF($B63="","",TEXT(YEAR($B63),"0000")&amp;"-"&amp;TEXT(SUMPRODUCT((YEAR($B$2:$B63)=YEAR($B63))*($B$2:$B63&lt;&gt;"")),"000"))</f>
        <v/>
      </c>
      <c r="B63" s="7" t="n"/>
      <c r="C63" s="8" t="n"/>
      <c r="D63" s="6">
        <f>IFERROR(VLOOKUP($C63,商品マスタ範囲,4,FALSE),"")</f>
        <v/>
      </c>
      <c r="E63" s="6">
        <f>IFERROR(VLOOKUP($C63,商品マスタ範囲,2,FALSE),"")</f>
        <v/>
      </c>
      <c r="F63" s="6">
        <f>IFERROR(VLOOKUP($C63,商品マスタ範囲,3,FALSE),"")</f>
        <v/>
      </c>
      <c r="G63" s="9">
        <f>IFERROR(VLOOKUP($C63,商品マスタ範囲,5,FALSE),"")</f>
        <v/>
      </c>
      <c r="H63" s="9" t="n"/>
      <c r="I63" s="7" t="n"/>
      <c r="J63" s="9">
        <f>IFERROR(VLOOKUP($C63,商品マスタ範囲,6,FALSE),"")</f>
        <v/>
      </c>
      <c r="K63" s="9" t="n"/>
      <c r="L63" s="7" t="n"/>
      <c r="M63" s="8" t="n"/>
      <c r="N63" s="6" t="n"/>
      <c r="O63" s="6" t="n"/>
      <c r="P63" s="6" t="n"/>
    </row>
    <row r="64">
      <c r="A64" s="6">
        <f>IF($B64="","",TEXT(YEAR($B64),"0000")&amp;"-"&amp;TEXT(SUMPRODUCT((YEAR($B$2:$B64)=YEAR($B64))*($B$2:$B64&lt;&gt;"")),"000"))</f>
        <v/>
      </c>
      <c r="B64" s="7" t="n"/>
      <c r="C64" s="8" t="n"/>
      <c r="D64" s="6">
        <f>IFERROR(VLOOKUP($C64,商品マスタ範囲,4,FALSE),"")</f>
        <v/>
      </c>
      <c r="E64" s="6">
        <f>IFERROR(VLOOKUP($C64,商品マスタ範囲,2,FALSE),"")</f>
        <v/>
      </c>
      <c r="F64" s="6">
        <f>IFERROR(VLOOKUP($C64,商品マスタ範囲,3,FALSE),"")</f>
        <v/>
      </c>
      <c r="G64" s="9">
        <f>IFERROR(VLOOKUP($C64,商品マスタ範囲,5,FALSE),"")</f>
        <v/>
      </c>
      <c r="H64" s="9" t="n"/>
      <c r="I64" s="7" t="n"/>
      <c r="J64" s="9">
        <f>IFERROR(VLOOKUP($C64,商品マスタ範囲,6,FALSE),"")</f>
        <v/>
      </c>
      <c r="K64" s="9" t="n"/>
      <c r="L64" s="7" t="n"/>
      <c r="M64" s="8" t="n"/>
      <c r="N64" s="6" t="n"/>
      <c r="O64" s="6" t="n"/>
      <c r="P64" s="6" t="n"/>
    </row>
    <row r="65">
      <c r="A65" s="6">
        <f>IF($B65="","",TEXT(YEAR($B65),"0000")&amp;"-"&amp;TEXT(SUMPRODUCT((YEAR($B$2:$B65)=YEAR($B65))*($B$2:$B65&lt;&gt;"")),"000"))</f>
        <v/>
      </c>
      <c r="B65" s="7" t="n"/>
      <c r="C65" s="8" t="n"/>
      <c r="D65" s="6">
        <f>IFERROR(VLOOKUP($C65,商品マスタ範囲,4,FALSE),"")</f>
        <v/>
      </c>
      <c r="E65" s="6">
        <f>IFERROR(VLOOKUP($C65,商品マスタ範囲,2,FALSE),"")</f>
        <v/>
      </c>
      <c r="F65" s="6">
        <f>IFERROR(VLOOKUP($C65,商品マスタ範囲,3,FALSE),"")</f>
        <v/>
      </c>
      <c r="G65" s="9">
        <f>IFERROR(VLOOKUP($C65,商品マスタ範囲,5,FALSE),"")</f>
        <v/>
      </c>
      <c r="H65" s="9" t="n"/>
      <c r="I65" s="7" t="n"/>
      <c r="J65" s="9">
        <f>IFERROR(VLOOKUP($C65,商品マスタ範囲,6,FALSE),"")</f>
        <v/>
      </c>
      <c r="K65" s="9" t="n"/>
      <c r="L65" s="7" t="n"/>
      <c r="M65" s="8" t="n"/>
      <c r="N65" s="6" t="n"/>
      <c r="O65" s="6" t="n"/>
      <c r="P65" s="6" t="n"/>
    </row>
    <row r="66">
      <c r="A66" s="6">
        <f>IF($B66="","",TEXT(YEAR($B66),"0000")&amp;"-"&amp;TEXT(SUMPRODUCT((YEAR($B$2:$B66)=YEAR($B66))*($B$2:$B66&lt;&gt;"")),"000"))</f>
        <v/>
      </c>
      <c r="B66" s="7" t="n"/>
      <c r="C66" s="8" t="n"/>
      <c r="D66" s="6">
        <f>IFERROR(VLOOKUP($C66,商品マスタ範囲,4,FALSE),"")</f>
        <v/>
      </c>
      <c r="E66" s="6">
        <f>IFERROR(VLOOKUP($C66,商品マスタ範囲,2,FALSE),"")</f>
        <v/>
      </c>
      <c r="F66" s="6">
        <f>IFERROR(VLOOKUP($C66,商品マスタ範囲,3,FALSE),"")</f>
        <v/>
      </c>
      <c r="G66" s="9">
        <f>IFERROR(VLOOKUP($C66,商品マスタ範囲,5,FALSE),"")</f>
        <v/>
      </c>
      <c r="H66" s="9" t="n"/>
      <c r="I66" s="7" t="n"/>
      <c r="J66" s="9">
        <f>IFERROR(VLOOKUP($C66,商品マスタ範囲,6,FALSE),"")</f>
        <v/>
      </c>
      <c r="K66" s="9" t="n"/>
      <c r="L66" s="7" t="n"/>
      <c r="M66" s="8" t="n"/>
      <c r="N66" s="6" t="n"/>
      <c r="O66" s="6" t="n"/>
      <c r="P66" s="6" t="n"/>
    </row>
    <row r="67">
      <c r="A67" s="6">
        <f>IF($B67="","",TEXT(YEAR($B67),"0000")&amp;"-"&amp;TEXT(SUMPRODUCT((YEAR($B$2:$B67)=YEAR($B67))*($B$2:$B67&lt;&gt;"")),"000"))</f>
        <v/>
      </c>
      <c r="B67" s="7" t="n"/>
      <c r="C67" s="8" t="n"/>
      <c r="D67" s="6">
        <f>IFERROR(VLOOKUP($C67,商品マスタ範囲,4,FALSE),"")</f>
        <v/>
      </c>
      <c r="E67" s="6">
        <f>IFERROR(VLOOKUP($C67,商品マスタ範囲,2,FALSE),"")</f>
        <v/>
      </c>
      <c r="F67" s="6">
        <f>IFERROR(VLOOKUP($C67,商品マスタ範囲,3,FALSE),"")</f>
        <v/>
      </c>
      <c r="G67" s="9">
        <f>IFERROR(VLOOKUP($C67,商品マスタ範囲,5,FALSE),"")</f>
        <v/>
      </c>
      <c r="H67" s="9" t="n"/>
      <c r="I67" s="7" t="n"/>
      <c r="J67" s="9">
        <f>IFERROR(VLOOKUP($C67,商品マスタ範囲,6,FALSE),"")</f>
        <v/>
      </c>
      <c r="K67" s="9" t="n"/>
      <c r="L67" s="7" t="n"/>
      <c r="M67" s="8" t="n"/>
      <c r="N67" s="6" t="n"/>
      <c r="O67" s="6" t="n"/>
      <c r="P67" s="6" t="n"/>
    </row>
    <row r="68">
      <c r="A68" s="6">
        <f>IF($B68="","",TEXT(YEAR($B68),"0000")&amp;"-"&amp;TEXT(SUMPRODUCT((YEAR($B$2:$B68)=YEAR($B68))*($B$2:$B68&lt;&gt;"")),"000"))</f>
        <v/>
      </c>
      <c r="B68" s="7" t="n"/>
      <c r="C68" s="8" t="n"/>
      <c r="D68" s="6">
        <f>IFERROR(VLOOKUP($C68,商品マスタ範囲,4,FALSE),"")</f>
        <v/>
      </c>
      <c r="E68" s="6">
        <f>IFERROR(VLOOKUP($C68,商品マスタ範囲,2,FALSE),"")</f>
        <v/>
      </c>
      <c r="F68" s="6">
        <f>IFERROR(VLOOKUP($C68,商品マスタ範囲,3,FALSE),"")</f>
        <v/>
      </c>
      <c r="G68" s="9">
        <f>IFERROR(VLOOKUP($C68,商品マスタ範囲,5,FALSE),"")</f>
        <v/>
      </c>
      <c r="H68" s="9" t="n"/>
      <c r="I68" s="7" t="n"/>
      <c r="J68" s="9">
        <f>IFERROR(VLOOKUP($C68,商品マスタ範囲,6,FALSE),"")</f>
        <v/>
      </c>
      <c r="K68" s="9" t="n"/>
      <c r="L68" s="7" t="n"/>
      <c r="M68" s="8" t="n"/>
      <c r="N68" s="6" t="n"/>
      <c r="O68" s="6" t="n"/>
      <c r="P68" s="6" t="n"/>
    </row>
    <row r="69">
      <c r="A69" s="6">
        <f>IF($B69="","",TEXT(YEAR($B69),"0000")&amp;"-"&amp;TEXT(SUMPRODUCT((YEAR($B$2:$B69)=YEAR($B69))*($B$2:$B69&lt;&gt;"")),"000"))</f>
        <v/>
      </c>
      <c r="B69" s="7" t="n"/>
      <c r="C69" s="8" t="n"/>
      <c r="D69" s="6">
        <f>IFERROR(VLOOKUP($C69,商品マスタ範囲,4,FALSE),"")</f>
        <v/>
      </c>
      <c r="E69" s="6">
        <f>IFERROR(VLOOKUP($C69,商品マスタ範囲,2,FALSE),"")</f>
        <v/>
      </c>
      <c r="F69" s="6">
        <f>IFERROR(VLOOKUP($C69,商品マスタ範囲,3,FALSE),"")</f>
        <v/>
      </c>
      <c r="G69" s="9">
        <f>IFERROR(VLOOKUP($C69,商品マスタ範囲,5,FALSE),"")</f>
        <v/>
      </c>
      <c r="H69" s="9" t="n"/>
      <c r="I69" s="7" t="n"/>
      <c r="J69" s="9">
        <f>IFERROR(VLOOKUP($C69,商品マスタ範囲,6,FALSE),"")</f>
        <v/>
      </c>
      <c r="K69" s="9" t="n"/>
      <c r="L69" s="7" t="n"/>
      <c r="M69" s="8" t="n"/>
      <c r="N69" s="6" t="n"/>
      <c r="O69" s="6" t="n"/>
      <c r="P69" s="6" t="n"/>
    </row>
    <row r="70">
      <c r="A70" s="6">
        <f>IF($B70="","",TEXT(YEAR($B70),"0000")&amp;"-"&amp;TEXT(SUMPRODUCT((YEAR($B$2:$B70)=YEAR($B70))*($B$2:$B70&lt;&gt;"")),"000"))</f>
        <v/>
      </c>
      <c r="B70" s="7" t="n"/>
      <c r="C70" s="8" t="n"/>
      <c r="D70" s="6">
        <f>IFERROR(VLOOKUP($C70,商品マスタ範囲,4,FALSE),"")</f>
        <v/>
      </c>
      <c r="E70" s="6">
        <f>IFERROR(VLOOKUP($C70,商品マスタ範囲,2,FALSE),"")</f>
        <v/>
      </c>
      <c r="F70" s="6">
        <f>IFERROR(VLOOKUP($C70,商品マスタ範囲,3,FALSE),"")</f>
        <v/>
      </c>
      <c r="G70" s="9">
        <f>IFERROR(VLOOKUP($C70,商品マスタ範囲,5,FALSE),"")</f>
        <v/>
      </c>
      <c r="H70" s="9" t="n"/>
      <c r="I70" s="7" t="n"/>
      <c r="J70" s="9">
        <f>IFERROR(VLOOKUP($C70,商品マスタ範囲,6,FALSE),"")</f>
        <v/>
      </c>
      <c r="K70" s="9" t="n"/>
      <c r="L70" s="7" t="n"/>
      <c r="M70" s="8" t="n"/>
      <c r="N70" s="6" t="n"/>
      <c r="O70" s="6" t="n"/>
      <c r="P70" s="6" t="n"/>
    </row>
    <row r="71">
      <c r="A71" s="6">
        <f>IF($B71="","",TEXT(YEAR($B71),"0000")&amp;"-"&amp;TEXT(SUMPRODUCT((YEAR($B$2:$B71)=YEAR($B71))*($B$2:$B71&lt;&gt;"")),"000"))</f>
        <v/>
      </c>
      <c r="B71" s="7" t="n"/>
      <c r="C71" s="8" t="n"/>
      <c r="D71" s="6">
        <f>IFERROR(VLOOKUP($C71,商品マスタ範囲,4,FALSE),"")</f>
        <v/>
      </c>
      <c r="E71" s="6">
        <f>IFERROR(VLOOKUP($C71,商品マスタ範囲,2,FALSE),"")</f>
        <v/>
      </c>
      <c r="F71" s="6">
        <f>IFERROR(VLOOKUP($C71,商品マスタ範囲,3,FALSE),"")</f>
        <v/>
      </c>
      <c r="G71" s="9">
        <f>IFERROR(VLOOKUP($C71,商品マスタ範囲,5,FALSE),"")</f>
        <v/>
      </c>
      <c r="H71" s="9" t="n"/>
      <c r="I71" s="7" t="n"/>
      <c r="J71" s="9">
        <f>IFERROR(VLOOKUP($C71,商品マスタ範囲,6,FALSE),"")</f>
        <v/>
      </c>
      <c r="K71" s="9" t="n"/>
      <c r="L71" s="7" t="n"/>
      <c r="M71" s="8" t="n"/>
      <c r="N71" s="6" t="n"/>
      <c r="O71" s="6" t="n"/>
      <c r="P71" s="6" t="n"/>
    </row>
    <row r="72">
      <c r="A72" s="6">
        <f>IF($B72="","",TEXT(YEAR($B72),"0000")&amp;"-"&amp;TEXT(SUMPRODUCT((YEAR($B$2:$B72)=YEAR($B72))*($B$2:$B72&lt;&gt;"")),"000"))</f>
        <v/>
      </c>
      <c r="B72" s="7" t="n"/>
      <c r="C72" s="8" t="n"/>
      <c r="D72" s="6">
        <f>IFERROR(VLOOKUP($C72,商品マスタ範囲,4,FALSE),"")</f>
        <v/>
      </c>
      <c r="E72" s="6">
        <f>IFERROR(VLOOKUP($C72,商品マスタ範囲,2,FALSE),"")</f>
        <v/>
      </c>
      <c r="F72" s="6">
        <f>IFERROR(VLOOKUP($C72,商品マスタ範囲,3,FALSE),"")</f>
        <v/>
      </c>
      <c r="G72" s="9">
        <f>IFERROR(VLOOKUP($C72,商品マスタ範囲,5,FALSE),"")</f>
        <v/>
      </c>
      <c r="H72" s="9" t="n"/>
      <c r="I72" s="7" t="n"/>
      <c r="J72" s="9">
        <f>IFERROR(VLOOKUP($C72,商品マスタ範囲,6,FALSE),"")</f>
        <v/>
      </c>
      <c r="K72" s="9" t="n"/>
      <c r="L72" s="7" t="n"/>
      <c r="M72" s="8" t="n"/>
      <c r="N72" s="6" t="n"/>
      <c r="O72" s="6" t="n"/>
      <c r="P72" s="6" t="n"/>
    </row>
    <row r="73">
      <c r="A73" s="6">
        <f>IF($B73="","",TEXT(YEAR($B73),"0000")&amp;"-"&amp;TEXT(SUMPRODUCT((YEAR($B$2:$B73)=YEAR($B73))*($B$2:$B73&lt;&gt;"")),"000"))</f>
        <v/>
      </c>
      <c r="B73" s="7" t="n"/>
      <c r="C73" s="8" t="n"/>
      <c r="D73" s="6">
        <f>IFERROR(VLOOKUP($C73,商品マスタ範囲,4,FALSE),"")</f>
        <v/>
      </c>
      <c r="E73" s="6">
        <f>IFERROR(VLOOKUP($C73,商品マスタ範囲,2,FALSE),"")</f>
        <v/>
      </c>
      <c r="F73" s="6">
        <f>IFERROR(VLOOKUP($C73,商品マスタ範囲,3,FALSE),"")</f>
        <v/>
      </c>
      <c r="G73" s="9">
        <f>IFERROR(VLOOKUP($C73,商品マスタ範囲,5,FALSE),"")</f>
        <v/>
      </c>
      <c r="H73" s="9" t="n"/>
      <c r="I73" s="7" t="n"/>
      <c r="J73" s="9">
        <f>IFERROR(VLOOKUP($C73,商品マスタ範囲,6,FALSE),"")</f>
        <v/>
      </c>
      <c r="K73" s="9" t="n"/>
      <c r="L73" s="7" t="n"/>
      <c r="M73" s="8" t="n"/>
      <c r="N73" s="6" t="n"/>
      <c r="O73" s="6" t="n"/>
      <c r="P73" s="6" t="n"/>
    </row>
    <row r="74">
      <c r="A74" s="6">
        <f>IF($B74="","",TEXT(YEAR($B74),"0000")&amp;"-"&amp;TEXT(SUMPRODUCT((YEAR($B$2:$B74)=YEAR($B74))*($B$2:$B74&lt;&gt;"")),"000"))</f>
        <v/>
      </c>
      <c r="B74" s="7" t="n"/>
      <c r="C74" s="8" t="n"/>
      <c r="D74" s="6">
        <f>IFERROR(VLOOKUP($C74,商品マスタ範囲,4,FALSE),"")</f>
        <v/>
      </c>
      <c r="E74" s="6">
        <f>IFERROR(VLOOKUP($C74,商品マスタ範囲,2,FALSE),"")</f>
        <v/>
      </c>
      <c r="F74" s="6">
        <f>IFERROR(VLOOKUP($C74,商品マスタ範囲,3,FALSE),"")</f>
        <v/>
      </c>
      <c r="G74" s="9">
        <f>IFERROR(VLOOKUP($C74,商品マスタ範囲,5,FALSE),"")</f>
        <v/>
      </c>
      <c r="H74" s="9" t="n"/>
      <c r="I74" s="7" t="n"/>
      <c r="J74" s="9">
        <f>IFERROR(VLOOKUP($C74,商品マスタ範囲,6,FALSE),"")</f>
        <v/>
      </c>
      <c r="K74" s="9" t="n"/>
      <c r="L74" s="7" t="n"/>
      <c r="M74" s="8" t="n"/>
      <c r="N74" s="6" t="n"/>
      <c r="O74" s="6" t="n"/>
      <c r="P74" s="6" t="n"/>
    </row>
    <row r="75">
      <c r="A75" s="6">
        <f>IF($B75="","",TEXT(YEAR($B75),"0000")&amp;"-"&amp;TEXT(SUMPRODUCT((YEAR($B$2:$B75)=YEAR($B75))*($B$2:$B75&lt;&gt;"")),"000"))</f>
        <v/>
      </c>
      <c r="B75" s="7" t="n"/>
      <c r="C75" s="8" t="n"/>
      <c r="D75" s="6">
        <f>IFERROR(VLOOKUP($C75,商品マスタ範囲,4,FALSE),"")</f>
        <v/>
      </c>
      <c r="E75" s="6">
        <f>IFERROR(VLOOKUP($C75,商品マスタ範囲,2,FALSE),"")</f>
        <v/>
      </c>
      <c r="F75" s="6">
        <f>IFERROR(VLOOKUP($C75,商品マスタ範囲,3,FALSE),"")</f>
        <v/>
      </c>
      <c r="G75" s="9">
        <f>IFERROR(VLOOKUP($C75,商品マスタ範囲,5,FALSE),"")</f>
        <v/>
      </c>
      <c r="H75" s="9" t="n"/>
      <c r="I75" s="7" t="n"/>
      <c r="J75" s="9">
        <f>IFERROR(VLOOKUP($C75,商品マスタ範囲,6,FALSE),"")</f>
        <v/>
      </c>
      <c r="K75" s="9" t="n"/>
      <c r="L75" s="7" t="n"/>
      <c r="M75" s="8" t="n"/>
      <c r="N75" s="6" t="n"/>
      <c r="O75" s="6" t="n"/>
      <c r="P75" s="6" t="n"/>
    </row>
    <row r="76">
      <c r="A76" s="6">
        <f>IF($B76="","",TEXT(YEAR($B76),"0000")&amp;"-"&amp;TEXT(SUMPRODUCT((YEAR($B$2:$B76)=YEAR($B76))*($B$2:$B76&lt;&gt;"")),"000"))</f>
        <v/>
      </c>
      <c r="B76" s="7" t="n"/>
      <c r="C76" s="8" t="n"/>
      <c r="D76" s="6">
        <f>IFERROR(VLOOKUP($C76,商品マスタ範囲,4,FALSE),"")</f>
        <v/>
      </c>
      <c r="E76" s="6">
        <f>IFERROR(VLOOKUP($C76,商品マスタ範囲,2,FALSE),"")</f>
        <v/>
      </c>
      <c r="F76" s="6">
        <f>IFERROR(VLOOKUP($C76,商品マスタ範囲,3,FALSE),"")</f>
        <v/>
      </c>
      <c r="G76" s="9">
        <f>IFERROR(VLOOKUP($C76,商品マスタ範囲,5,FALSE),"")</f>
        <v/>
      </c>
      <c r="H76" s="9" t="n"/>
      <c r="I76" s="7" t="n"/>
      <c r="J76" s="9">
        <f>IFERROR(VLOOKUP($C76,商品マスタ範囲,6,FALSE),"")</f>
        <v/>
      </c>
      <c r="K76" s="9" t="n"/>
      <c r="L76" s="7" t="n"/>
      <c r="M76" s="8" t="n"/>
      <c r="N76" s="6" t="n"/>
      <c r="O76" s="6" t="n"/>
      <c r="P76" s="6" t="n"/>
    </row>
    <row r="77">
      <c r="A77" s="6">
        <f>IF($B77="","",TEXT(YEAR($B77),"0000")&amp;"-"&amp;TEXT(SUMPRODUCT((YEAR($B$2:$B77)=YEAR($B77))*($B$2:$B77&lt;&gt;"")),"000"))</f>
        <v/>
      </c>
      <c r="B77" s="7" t="n"/>
      <c r="C77" s="8" t="n"/>
      <c r="D77" s="6">
        <f>IFERROR(VLOOKUP($C77,商品マスタ範囲,4,FALSE),"")</f>
        <v/>
      </c>
      <c r="E77" s="6">
        <f>IFERROR(VLOOKUP($C77,商品マスタ範囲,2,FALSE),"")</f>
        <v/>
      </c>
      <c r="F77" s="6">
        <f>IFERROR(VLOOKUP($C77,商品マスタ範囲,3,FALSE),"")</f>
        <v/>
      </c>
      <c r="G77" s="9">
        <f>IFERROR(VLOOKUP($C77,商品マスタ範囲,5,FALSE),"")</f>
        <v/>
      </c>
      <c r="H77" s="9" t="n"/>
      <c r="I77" s="7" t="n"/>
      <c r="J77" s="9">
        <f>IFERROR(VLOOKUP($C77,商品マスタ範囲,6,FALSE),"")</f>
        <v/>
      </c>
      <c r="K77" s="9" t="n"/>
      <c r="L77" s="7" t="n"/>
      <c r="M77" s="8" t="n"/>
      <c r="N77" s="6" t="n"/>
      <c r="O77" s="6" t="n"/>
      <c r="P77" s="6" t="n"/>
    </row>
    <row r="78">
      <c r="A78" s="6">
        <f>IF($B78="","",TEXT(YEAR($B78),"0000")&amp;"-"&amp;TEXT(SUMPRODUCT((YEAR($B$2:$B78)=YEAR($B78))*($B$2:$B78&lt;&gt;"")),"000"))</f>
        <v/>
      </c>
      <c r="B78" s="7" t="n"/>
      <c r="C78" s="8" t="n"/>
      <c r="D78" s="6">
        <f>IFERROR(VLOOKUP($C78,商品マスタ範囲,4,FALSE),"")</f>
        <v/>
      </c>
      <c r="E78" s="6">
        <f>IFERROR(VLOOKUP($C78,商品マスタ範囲,2,FALSE),"")</f>
        <v/>
      </c>
      <c r="F78" s="6">
        <f>IFERROR(VLOOKUP($C78,商品マスタ範囲,3,FALSE),"")</f>
        <v/>
      </c>
      <c r="G78" s="9">
        <f>IFERROR(VLOOKUP($C78,商品マスタ範囲,5,FALSE),"")</f>
        <v/>
      </c>
      <c r="H78" s="9" t="n"/>
      <c r="I78" s="7" t="n"/>
      <c r="J78" s="9">
        <f>IFERROR(VLOOKUP($C78,商品マスタ範囲,6,FALSE),"")</f>
        <v/>
      </c>
      <c r="K78" s="9" t="n"/>
      <c r="L78" s="7" t="n"/>
      <c r="M78" s="8" t="n"/>
      <c r="N78" s="6" t="n"/>
      <c r="O78" s="6" t="n"/>
      <c r="P78" s="6" t="n"/>
    </row>
    <row r="79">
      <c r="A79" s="6">
        <f>IF($B79="","",TEXT(YEAR($B79),"0000")&amp;"-"&amp;TEXT(SUMPRODUCT((YEAR($B$2:$B79)=YEAR($B79))*($B$2:$B79&lt;&gt;"")),"000"))</f>
        <v/>
      </c>
      <c r="B79" s="7" t="n"/>
      <c r="C79" s="8" t="n"/>
      <c r="D79" s="6">
        <f>IFERROR(VLOOKUP($C79,商品マスタ範囲,4,FALSE),"")</f>
        <v/>
      </c>
      <c r="E79" s="6">
        <f>IFERROR(VLOOKUP($C79,商品マスタ範囲,2,FALSE),"")</f>
        <v/>
      </c>
      <c r="F79" s="6">
        <f>IFERROR(VLOOKUP($C79,商品マスタ範囲,3,FALSE),"")</f>
        <v/>
      </c>
      <c r="G79" s="9">
        <f>IFERROR(VLOOKUP($C79,商品マスタ範囲,5,FALSE),"")</f>
        <v/>
      </c>
      <c r="H79" s="9" t="n"/>
      <c r="I79" s="7" t="n"/>
      <c r="J79" s="9">
        <f>IFERROR(VLOOKUP($C79,商品マスタ範囲,6,FALSE),"")</f>
        <v/>
      </c>
      <c r="K79" s="9" t="n"/>
      <c r="L79" s="7" t="n"/>
      <c r="M79" s="8" t="n"/>
      <c r="N79" s="6" t="n"/>
      <c r="O79" s="6" t="n"/>
      <c r="P79" s="6" t="n"/>
    </row>
    <row r="80">
      <c r="A80" s="6">
        <f>IF($B80="","",TEXT(YEAR($B80),"0000")&amp;"-"&amp;TEXT(SUMPRODUCT((YEAR($B$2:$B80)=YEAR($B80))*($B$2:$B80&lt;&gt;"")),"000"))</f>
        <v/>
      </c>
      <c r="B80" s="7" t="n"/>
      <c r="C80" s="8" t="n"/>
      <c r="D80" s="6">
        <f>IFERROR(VLOOKUP($C80,商品マスタ範囲,4,FALSE),"")</f>
        <v/>
      </c>
      <c r="E80" s="6">
        <f>IFERROR(VLOOKUP($C80,商品マスタ範囲,2,FALSE),"")</f>
        <v/>
      </c>
      <c r="F80" s="6">
        <f>IFERROR(VLOOKUP($C80,商品マスタ範囲,3,FALSE),"")</f>
        <v/>
      </c>
      <c r="G80" s="9">
        <f>IFERROR(VLOOKUP($C80,商品マスタ範囲,5,FALSE),"")</f>
        <v/>
      </c>
      <c r="H80" s="9" t="n"/>
      <c r="I80" s="7" t="n"/>
      <c r="J80" s="9">
        <f>IFERROR(VLOOKUP($C80,商品マスタ範囲,6,FALSE),"")</f>
        <v/>
      </c>
      <c r="K80" s="9" t="n"/>
      <c r="L80" s="7" t="n"/>
      <c r="M80" s="8" t="n"/>
      <c r="N80" s="6" t="n"/>
      <c r="O80" s="6" t="n"/>
      <c r="P80" s="6" t="n"/>
    </row>
    <row r="81">
      <c r="A81" s="6">
        <f>IF($B81="","",TEXT(YEAR($B81),"0000")&amp;"-"&amp;TEXT(SUMPRODUCT((YEAR($B$2:$B81)=YEAR($B81))*($B$2:$B81&lt;&gt;"")),"000"))</f>
        <v/>
      </c>
      <c r="B81" s="7" t="n"/>
      <c r="C81" s="8" t="n"/>
      <c r="D81" s="6">
        <f>IFERROR(VLOOKUP($C81,商品マスタ範囲,4,FALSE),"")</f>
        <v/>
      </c>
      <c r="E81" s="6">
        <f>IFERROR(VLOOKUP($C81,商品マスタ範囲,2,FALSE),"")</f>
        <v/>
      </c>
      <c r="F81" s="6">
        <f>IFERROR(VLOOKUP($C81,商品マスタ範囲,3,FALSE),"")</f>
        <v/>
      </c>
      <c r="G81" s="9">
        <f>IFERROR(VLOOKUP($C81,商品マスタ範囲,5,FALSE),"")</f>
        <v/>
      </c>
      <c r="H81" s="9" t="n"/>
      <c r="I81" s="7" t="n"/>
      <c r="J81" s="9">
        <f>IFERROR(VLOOKUP($C81,商品マスタ範囲,6,FALSE),"")</f>
        <v/>
      </c>
      <c r="K81" s="9" t="n"/>
      <c r="L81" s="7" t="n"/>
      <c r="M81" s="8" t="n"/>
      <c r="N81" s="6" t="n"/>
      <c r="O81" s="6" t="n"/>
      <c r="P81" s="6" t="n"/>
    </row>
    <row r="82">
      <c r="A82" s="6">
        <f>IF($B82="","",TEXT(YEAR($B82),"0000")&amp;"-"&amp;TEXT(SUMPRODUCT((YEAR($B$2:$B82)=YEAR($B82))*($B$2:$B82&lt;&gt;"")),"000"))</f>
        <v/>
      </c>
      <c r="B82" s="7" t="n"/>
      <c r="C82" s="8" t="n"/>
      <c r="D82" s="6">
        <f>IFERROR(VLOOKUP($C82,商品マスタ範囲,4,FALSE),"")</f>
        <v/>
      </c>
      <c r="E82" s="6">
        <f>IFERROR(VLOOKUP($C82,商品マスタ範囲,2,FALSE),"")</f>
        <v/>
      </c>
      <c r="F82" s="6">
        <f>IFERROR(VLOOKUP($C82,商品マスタ範囲,3,FALSE),"")</f>
        <v/>
      </c>
      <c r="G82" s="9">
        <f>IFERROR(VLOOKUP($C82,商品マスタ範囲,5,FALSE),"")</f>
        <v/>
      </c>
      <c r="H82" s="9" t="n"/>
      <c r="I82" s="7" t="n"/>
      <c r="J82" s="9">
        <f>IFERROR(VLOOKUP($C82,商品マスタ範囲,6,FALSE),"")</f>
        <v/>
      </c>
      <c r="K82" s="9" t="n"/>
      <c r="L82" s="7" t="n"/>
      <c r="M82" s="8" t="n"/>
      <c r="N82" s="6" t="n"/>
      <c r="O82" s="6" t="n"/>
      <c r="P82" s="6" t="n"/>
    </row>
    <row r="83">
      <c r="A83" s="6">
        <f>IF($B83="","",TEXT(YEAR($B83),"0000")&amp;"-"&amp;TEXT(SUMPRODUCT((YEAR($B$2:$B83)=YEAR($B83))*($B$2:$B83&lt;&gt;"")),"000"))</f>
        <v/>
      </c>
      <c r="B83" s="7" t="n"/>
      <c r="C83" s="8" t="n"/>
      <c r="D83" s="6">
        <f>IFERROR(VLOOKUP($C83,商品マスタ範囲,4,FALSE),"")</f>
        <v/>
      </c>
      <c r="E83" s="6">
        <f>IFERROR(VLOOKUP($C83,商品マスタ範囲,2,FALSE),"")</f>
        <v/>
      </c>
      <c r="F83" s="6">
        <f>IFERROR(VLOOKUP($C83,商品マスタ範囲,3,FALSE),"")</f>
        <v/>
      </c>
      <c r="G83" s="9">
        <f>IFERROR(VLOOKUP($C83,商品マスタ範囲,5,FALSE),"")</f>
        <v/>
      </c>
      <c r="H83" s="9" t="n"/>
      <c r="I83" s="7" t="n"/>
      <c r="J83" s="9">
        <f>IFERROR(VLOOKUP($C83,商品マスタ範囲,6,FALSE),"")</f>
        <v/>
      </c>
      <c r="K83" s="9" t="n"/>
      <c r="L83" s="7" t="n"/>
      <c r="M83" s="8" t="n"/>
      <c r="N83" s="6" t="n"/>
      <c r="O83" s="6" t="n"/>
      <c r="P83" s="6" t="n"/>
    </row>
    <row r="84">
      <c r="A84" s="6">
        <f>IF($B84="","",TEXT(YEAR($B84),"0000")&amp;"-"&amp;TEXT(SUMPRODUCT((YEAR($B$2:$B84)=YEAR($B84))*($B$2:$B84&lt;&gt;"")),"000"))</f>
        <v/>
      </c>
      <c r="B84" s="7" t="n"/>
      <c r="C84" s="8" t="n"/>
      <c r="D84" s="6">
        <f>IFERROR(VLOOKUP($C84,商品マスタ範囲,4,FALSE),"")</f>
        <v/>
      </c>
      <c r="E84" s="6">
        <f>IFERROR(VLOOKUP($C84,商品マスタ範囲,2,FALSE),"")</f>
        <v/>
      </c>
      <c r="F84" s="6">
        <f>IFERROR(VLOOKUP($C84,商品マスタ範囲,3,FALSE),"")</f>
        <v/>
      </c>
      <c r="G84" s="9">
        <f>IFERROR(VLOOKUP($C84,商品マスタ範囲,5,FALSE),"")</f>
        <v/>
      </c>
      <c r="H84" s="9" t="n"/>
      <c r="I84" s="7" t="n"/>
      <c r="J84" s="9">
        <f>IFERROR(VLOOKUP($C84,商品マスタ範囲,6,FALSE),"")</f>
        <v/>
      </c>
      <c r="K84" s="9" t="n"/>
      <c r="L84" s="7" t="n"/>
      <c r="M84" s="8" t="n"/>
      <c r="N84" s="6" t="n"/>
      <c r="O84" s="6" t="n"/>
      <c r="P84" s="6" t="n"/>
    </row>
    <row r="85">
      <c r="A85" s="6">
        <f>IF($B85="","",TEXT(YEAR($B85),"0000")&amp;"-"&amp;TEXT(SUMPRODUCT((YEAR($B$2:$B85)=YEAR($B85))*($B$2:$B85&lt;&gt;"")),"000"))</f>
        <v/>
      </c>
      <c r="B85" s="7" t="n"/>
      <c r="C85" s="8" t="n"/>
      <c r="D85" s="6">
        <f>IFERROR(VLOOKUP($C85,商品マスタ範囲,4,FALSE),"")</f>
        <v/>
      </c>
      <c r="E85" s="6">
        <f>IFERROR(VLOOKUP($C85,商品マスタ範囲,2,FALSE),"")</f>
        <v/>
      </c>
      <c r="F85" s="6">
        <f>IFERROR(VLOOKUP($C85,商品マスタ範囲,3,FALSE),"")</f>
        <v/>
      </c>
      <c r="G85" s="9">
        <f>IFERROR(VLOOKUP($C85,商品マスタ範囲,5,FALSE),"")</f>
        <v/>
      </c>
      <c r="H85" s="9" t="n"/>
      <c r="I85" s="7" t="n"/>
      <c r="J85" s="9">
        <f>IFERROR(VLOOKUP($C85,商品マスタ範囲,6,FALSE),"")</f>
        <v/>
      </c>
      <c r="K85" s="9" t="n"/>
      <c r="L85" s="7" t="n"/>
      <c r="M85" s="8" t="n"/>
      <c r="N85" s="6" t="n"/>
      <c r="O85" s="6" t="n"/>
      <c r="P85" s="6" t="n"/>
    </row>
    <row r="86">
      <c r="A86" s="6">
        <f>IF($B86="","",TEXT(YEAR($B86),"0000")&amp;"-"&amp;TEXT(SUMPRODUCT((YEAR($B$2:$B86)=YEAR($B86))*($B$2:$B86&lt;&gt;"")),"000"))</f>
        <v/>
      </c>
      <c r="B86" s="7" t="n"/>
      <c r="C86" s="8" t="n"/>
      <c r="D86" s="6">
        <f>IFERROR(VLOOKUP($C86,商品マスタ範囲,4,FALSE),"")</f>
        <v/>
      </c>
      <c r="E86" s="6">
        <f>IFERROR(VLOOKUP($C86,商品マスタ範囲,2,FALSE),"")</f>
        <v/>
      </c>
      <c r="F86" s="6">
        <f>IFERROR(VLOOKUP($C86,商品マスタ範囲,3,FALSE),"")</f>
        <v/>
      </c>
      <c r="G86" s="9">
        <f>IFERROR(VLOOKUP($C86,商品マスタ範囲,5,FALSE),"")</f>
        <v/>
      </c>
      <c r="H86" s="9" t="n"/>
      <c r="I86" s="7" t="n"/>
      <c r="J86" s="9">
        <f>IFERROR(VLOOKUP($C86,商品マスタ範囲,6,FALSE),"")</f>
        <v/>
      </c>
      <c r="K86" s="9" t="n"/>
      <c r="L86" s="7" t="n"/>
      <c r="M86" s="8" t="n"/>
      <c r="N86" s="6" t="n"/>
      <c r="O86" s="6" t="n"/>
      <c r="P86" s="6" t="n"/>
    </row>
    <row r="87">
      <c r="A87" s="6">
        <f>IF($B87="","",TEXT(YEAR($B87),"0000")&amp;"-"&amp;TEXT(SUMPRODUCT((YEAR($B$2:$B87)=YEAR($B87))*($B$2:$B87&lt;&gt;"")),"000"))</f>
        <v/>
      </c>
      <c r="B87" s="7" t="n"/>
      <c r="C87" s="8" t="n"/>
      <c r="D87" s="6">
        <f>IFERROR(VLOOKUP($C87,商品マスタ範囲,4,FALSE),"")</f>
        <v/>
      </c>
      <c r="E87" s="6">
        <f>IFERROR(VLOOKUP($C87,商品マスタ範囲,2,FALSE),"")</f>
        <v/>
      </c>
      <c r="F87" s="6">
        <f>IFERROR(VLOOKUP($C87,商品マスタ範囲,3,FALSE),"")</f>
        <v/>
      </c>
      <c r="G87" s="9">
        <f>IFERROR(VLOOKUP($C87,商品マスタ範囲,5,FALSE),"")</f>
        <v/>
      </c>
      <c r="H87" s="9" t="n"/>
      <c r="I87" s="7" t="n"/>
      <c r="J87" s="9">
        <f>IFERROR(VLOOKUP($C87,商品マスタ範囲,6,FALSE),"")</f>
        <v/>
      </c>
      <c r="K87" s="9" t="n"/>
      <c r="L87" s="7" t="n"/>
      <c r="M87" s="8" t="n"/>
      <c r="N87" s="6" t="n"/>
      <c r="O87" s="6" t="n"/>
      <c r="P87" s="6" t="n"/>
    </row>
    <row r="88">
      <c r="A88" s="6">
        <f>IF($B88="","",TEXT(YEAR($B88),"0000")&amp;"-"&amp;TEXT(SUMPRODUCT((YEAR($B$2:$B88)=YEAR($B88))*($B$2:$B88&lt;&gt;"")),"000"))</f>
        <v/>
      </c>
      <c r="B88" s="7" t="n"/>
      <c r="C88" s="8" t="n"/>
      <c r="D88" s="6">
        <f>IFERROR(VLOOKUP($C88,商品マスタ範囲,4,FALSE),"")</f>
        <v/>
      </c>
      <c r="E88" s="6">
        <f>IFERROR(VLOOKUP($C88,商品マスタ範囲,2,FALSE),"")</f>
        <v/>
      </c>
      <c r="F88" s="6">
        <f>IFERROR(VLOOKUP($C88,商品マスタ範囲,3,FALSE),"")</f>
        <v/>
      </c>
      <c r="G88" s="9">
        <f>IFERROR(VLOOKUP($C88,商品マスタ範囲,5,FALSE),"")</f>
        <v/>
      </c>
      <c r="H88" s="9" t="n"/>
      <c r="I88" s="7" t="n"/>
      <c r="J88" s="9">
        <f>IFERROR(VLOOKUP($C88,商品マスタ範囲,6,FALSE),"")</f>
        <v/>
      </c>
      <c r="K88" s="9" t="n"/>
      <c r="L88" s="7" t="n"/>
      <c r="M88" s="8" t="n"/>
      <c r="N88" s="6" t="n"/>
      <c r="O88" s="6" t="n"/>
      <c r="P88" s="6" t="n"/>
    </row>
    <row r="89">
      <c r="A89" s="6">
        <f>IF($B89="","",TEXT(YEAR($B89),"0000")&amp;"-"&amp;TEXT(SUMPRODUCT((YEAR($B$2:$B89)=YEAR($B89))*($B$2:$B89&lt;&gt;"")),"000"))</f>
        <v/>
      </c>
      <c r="B89" s="7" t="n"/>
      <c r="C89" s="8" t="n"/>
      <c r="D89" s="6">
        <f>IFERROR(VLOOKUP($C89,商品マスタ範囲,4,FALSE),"")</f>
        <v/>
      </c>
      <c r="E89" s="6">
        <f>IFERROR(VLOOKUP($C89,商品マスタ範囲,2,FALSE),"")</f>
        <v/>
      </c>
      <c r="F89" s="6">
        <f>IFERROR(VLOOKUP($C89,商品マスタ範囲,3,FALSE),"")</f>
        <v/>
      </c>
      <c r="G89" s="9">
        <f>IFERROR(VLOOKUP($C89,商品マスタ範囲,5,FALSE),"")</f>
        <v/>
      </c>
      <c r="H89" s="9" t="n"/>
      <c r="I89" s="7" t="n"/>
      <c r="J89" s="9">
        <f>IFERROR(VLOOKUP($C89,商品マスタ範囲,6,FALSE),"")</f>
        <v/>
      </c>
      <c r="K89" s="9" t="n"/>
      <c r="L89" s="7" t="n"/>
      <c r="M89" s="8" t="n"/>
      <c r="N89" s="6" t="n"/>
      <c r="O89" s="6" t="n"/>
      <c r="P89" s="6" t="n"/>
    </row>
    <row r="90">
      <c r="A90" s="6">
        <f>IF($B90="","",TEXT(YEAR($B90),"0000")&amp;"-"&amp;TEXT(SUMPRODUCT((YEAR($B$2:$B90)=YEAR($B90))*($B$2:$B90&lt;&gt;"")),"000"))</f>
        <v/>
      </c>
      <c r="B90" s="7" t="n"/>
      <c r="C90" s="8" t="n"/>
      <c r="D90" s="6">
        <f>IFERROR(VLOOKUP($C90,商品マスタ範囲,4,FALSE),"")</f>
        <v/>
      </c>
      <c r="E90" s="6">
        <f>IFERROR(VLOOKUP($C90,商品マスタ範囲,2,FALSE),"")</f>
        <v/>
      </c>
      <c r="F90" s="6">
        <f>IFERROR(VLOOKUP($C90,商品マスタ範囲,3,FALSE),"")</f>
        <v/>
      </c>
      <c r="G90" s="9">
        <f>IFERROR(VLOOKUP($C90,商品マスタ範囲,5,FALSE),"")</f>
        <v/>
      </c>
      <c r="H90" s="9" t="n"/>
      <c r="I90" s="7" t="n"/>
      <c r="J90" s="9">
        <f>IFERROR(VLOOKUP($C90,商品マスタ範囲,6,FALSE),"")</f>
        <v/>
      </c>
      <c r="K90" s="9" t="n"/>
      <c r="L90" s="7" t="n"/>
      <c r="M90" s="8" t="n"/>
      <c r="N90" s="6" t="n"/>
      <c r="O90" s="6" t="n"/>
      <c r="P90" s="6" t="n"/>
    </row>
    <row r="91">
      <c r="A91" s="6">
        <f>IF($B91="","",TEXT(YEAR($B91),"0000")&amp;"-"&amp;TEXT(SUMPRODUCT((YEAR($B$2:$B91)=YEAR($B91))*($B$2:$B91&lt;&gt;"")),"000"))</f>
        <v/>
      </c>
      <c r="B91" s="7" t="n"/>
      <c r="C91" s="8" t="n"/>
      <c r="D91" s="6">
        <f>IFERROR(VLOOKUP($C91,商品マスタ範囲,4,FALSE),"")</f>
        <v/>
      </c>
      <c r="E91" s="6">
        <f>IFERROR(VLOOKUP($C91,商品マスタ範囲,2,FALSE),"")</f>
        <v/>
      </c>
      <c r="F91" s="6">
        <f>IFERROR(VLOOKUP($C91,商品マスタ範囲,3,FALSE),"")</f>
        <v/>
      </c>
      <c r="G91" s="9">
        <f>IFERROR(VLOOKUP($C91,商品マスタ範囲,5,FALSE),"")</f>
        <v/>
      </c>
      <c r="H91" s="9" t="n"/>
      <c r="I91" s="7" t="n"/>
      <c r="J91" s="9">
        <f>IFERROR(VLOOKUP($C91,商品マスタ範囲,6,FALSE),"")</f>
        <v/>
      </c>
      <c r="K91" s="9" t="n"/>
      <c r="L91" s="7" t="n"/>
      <c r="M91" s="8" t="n"/>
      <c r="N91" s="6" t="n"/>
      <c r="O91" s="6" t="n"/>
      <c r="P91" s="6" t="n"/>
    </row>
    <row r="92">
      <c r="A92" s="6">
        <f>IF($B92="","",TEXT(YEAR($B92),"0000")&amp;"-"&amp;TEXT(SUMPRODUCT((YEAR($B$2:$B92)=YEAR($B92))*($B$2:$B92&lt;&gt;"")),"000"))</f>
        <v/>
      </c>
      <c r="B92" s="7" t="n"/>
      <c r="C92" s="8" t="n"/>
      <c r="D92" s="6">
        <f>IFERROR(VLOOKUP($C92,商品マスタ範囲,4,FALSE),"")</f>
        <v/>
      </c>
      <c r="E92" s="6">
        <f>IFERROR(VLOOKUP($C92,商品マスタ範囲,2,FALSE),"")</f>
        <v/>
      </c>
      <c r="F92" s="6">
        <f>IFERROR(VLOOKUP($C92,商品マスタ範囲,3,FALSE),"")</f>
        <v/>
      </c>
      <c r="G92" s="9">
        <f>IFERROR(VLOOKUP($C92,商品マスタ範囲,5,FALSE),"")</f>
        <v/>
      </c>
      <c r="H92" s="9" t="n"/>
      <c r="I92" s="7" t="n"/>
      <c r="J92" s="9">
        <f>IFERROR(VLOOKUP($C92,商品マスタ範囲,6,FALSE),"")</f>
        <v/>
      </c>
      <c r="K92" s="9" t="n"/>
      <c r="L92" s="7" t="n"/>
      <c r="M92" s="8" t="n"/>
      <c r="N92" s="6" t="n"/>
      <c r="O92" s="6" t="n"/>
      <c r="P92" s="6" t="n"/>
    </row>
    <row r="93">
      <c r="A93" s="6">
        <f>IF($B93="","",TEXT(YEAR($B93),"0000")&amp;"-"&amp;TEXT(SUMPRODUCT((YEAR($B$2:$B93)=YEAR($B93))*($B$2:$B93&lt;&gt;"")),"000"))</f>
        <v/>
      </c>
      <c r="B93" s="7" t="n"/>
      <c r="C93" s="8" t="n"/>
      <c r="D93" s="6">
        <f>IFERROR(VLOOKUP($C93,商品マスタ範囲,4,FALSE),"")</f>
        <v/>
      </c>
      <c r="E93" s="6">
        <f>IFERROR(VLOOKUP($C93,商品マスタ範囲,2,FALSE),"")</f>
        <v/>
      </c>
      <c r="F93" s="6">
        <f>IFERROR(VLOOKUP($C93,商品マスタ範囲,3,FALSE),"")</f>
        <v/>
      </c>
      <c r="G93" s="9">
        <f>IFERROR(VLOOKUP($C93,商品マスタ範囲,5,FALSE),"")</f>
        <v/>
      </c>
      <c r="H93" s="9" t="n"/>
      <c r="I93" s="7" t="n"/>
      <c r="J93" s="9">
        <f>IFERROR(VLOOKUP($C93,商品マスタ範囲,6,FALSE),"")</f>
        <v/>
      </c>
      <c r="K93" s="9" t="n"/>
      <c r="L93" s="7" t="n"/>
      <c r="M93" s="8" t="n"/>
      <c r="N93" s="6" t="n"/>
      <c r="O93" s="6" t="n"/>
      <c r="P93" s="6" t="n"/>
    </row>
    <row r="94">
      <c r="A94" s="6">
        <f>IF($B94="","",TEXT(YEAR($B94),"0000")&amp;"-"&amp;TEXT(SUMPRODUCT((YEAR($B$2:$B94)=YEAR($B94))*($B$2:$B94&lt;&gt;"")),"000"))</f>
        <v/>
      </c>
      <c r="B94" s="7" t="n"/>
      <c r="C94" s="8" t="n"/>
      <c r="D94" s="6">
        <f>IFERROR(VLOOKUP($C94,商品マスタ範囲,4,FALSE),"")</f>
        <v/>
      </c>
      <c r="E94" s="6">
        <f>IFERROR(VLOOKUP($C94,商品マスタ範囲,2,FALSE),"")</f>
        <v/>
      </c>
      <c r="F94" s="6">
        <f>IFERROR(VLOOKUP($C94,商品マスタ範囲,3,FALSE),"")</f>
        <v/>
      </c>
      <c r="G94" s="9">
        <f>IFERROR(VLOOKUP($C94,商品マスタ範囲,5,FALSE),"")</f>
        <v/>
      </c>
      <c r="H94" s="9" t="n"/>
      <c r="I94" s="7" t="n"/>
      <c r="J94" s="9">
        <f>IFERROR(VLOOKUP($C94,商品マスタ範囲,6,FALSE),"")</f>
        <v/>
      </c>
      <c r="K94" s="9" t="n"/>
      <c r="L94" s="7" t="n"/>
      <c r="M94" s="8" t="n"/>
      <c r="N94" s="6" t="n"/>
      <c r="O94" s="6" t="n"/>
      <c r="P94" s="6" t="n"/>
    </row>
    <row r="95">
      <c r="A95" s="6">
        <f>IF($B95="","",TEXT(YEAR($B95),"0000")&amp;"-"&amp;TEXT(SUMPRODUCT((YEAR($B$2:$B95)=YEAR($B95))*($B$2:$B95&lt;&gt;"")),"000"))</f>
        <v/>
      </c>
      <c r="B95" s="7" t="n"/>
      <c r="C95" s="8" t="n"/>
      <c r="D95" s="6">
        <f>IFERROR(VLOOKUP($C95,商品マスタ範囲,4,FALSE),"")</f>
        <v/>
      </c>
      <c r="E95" s="6">
        <f>IFERROR(VLOOKUP($C95,商品マスタ範囲,2,FALSE),"")</f>
        <v/>
      </c>
      <c r="F95" s="6">
        <f>IFERROR(VLOOKUP($C95,商品マスタ範囲,3,FALSE),"")</f>
        <v/>
      </c>
      <c r="G95" s="9">
        <f>IFERROR(VLOOKUP($C95,商品マスタ範囲,5,FALSE),"")</f>
        <v/>
      </c>
      <c r="H95" s="9" t="n"/>
      <c r="I95" s="7" t="n"/>
      <c r="J95" s="9">
        <f>IFERROR(VLOOKUP($C95,商品マスタ範囲,6,FALSE),"")</f>
        <v/>
      </c>
      <c r="K95" s="9" t="n"/>
      <c r="L95" s="7" t="n"/>
      <c r="M95" s="8" t="n"/>
      <c r="N95" s="6" t="n"/>
      <c r="O95" s="6" t="n"/>
      <c r="P95" s="6" t="n"/>
    </row>
    <row r="96">
      <c r="A96" s="6">
        <f>IF($B96="","",TEXT(YEAR($B96),"0000")&amp;"-"&amp;TEXT(SUMPRODUCT((YEAR($B$2:$B96)=YEAR($B96))*($B$2:$B96&lt;&gt;"")),"000"))</f>
        <v/>
      </c>
      <c r="B96" s="7" t="n"/>
      <c r="C96" s="8" t="n"/>
      <c r="D96" s="6">
        <f>IFERROR(VLOOKUP($C96,商品マスタ範囲,4,FALSE),"")</f>
        <v/>
      </c>
      <c r="E96" s="6">
        <f>IFERROR(VLOOKUP($C96,商品マスタ範囲,2,FALSE),"")</f>
        <v/>
      </c>
      <c r="F96" s="6">
        <f>IFERROR(VLOOKUP($C96,商品マスタ範囲,3,FALSE),"")</f>
        <v/>
      </c>
      <c r="G96" s="9">
        <f>IFERROR(VLOOKUP($C96,商品マスタ範囲,5,FALSE),"")</f>
        <v/>
      </c>
      <c r="H96" s="9" t="n"/>
      <c r="I96" s="7" t="n"/>
      <c r="J96" s="9">
        <f>IFERROR(VLOOKUP($C96,商品マスタ範囲,6,FALSE),"")</f>
        <v/>
      </c>
      <c r="K96" s="9" t="n"/>
      <c r="L96" s="7" t="n"/>
      <c r="M96" s="8" t="n"/>
      <c r="N96" s="6" t="n"/>
      <c r="O96" s="6" t="n"/>
      <c r="P96" s="6" t="n"/>
    </row>
    <row r="97">
      <c r="A97" s="6">
        <f>IF($B97="","",TEXT(YEAR($B97),"0000")&amp;"-"&amp;TEXT(SUMPRODUCT((YEAR($B$2:$B97)=YEAR($B97))*($B$2:$B97&lt;&gt;"")),"000"))</f>
        <v/>
      </c>
      <c r="B97" s="7" t="n"/>
      <c r="C97" s="8" t="n"/>
      <c r="D97" s="6">
        <f>IFERROR(VLOOKUP($C97,商品マスタ範囲,4,FALSE),"")</f>
        <v/>
      </c>
      <c r="E97" s="6">
        <f>IFERROR(VLOOKUP($C97,商品マスタ範囲,2,FALSE),"")</f>
        <v/>
      </c>
      <c r="F97" s="6">
        <f>IFERROR(VLOOKUP($C97,商品マスタ範囲,3,FALSE),"")</f>
        <v/>
      </c>
      <c r="G97" s="9">
        <f>IFERROR(VLOOKUP($C97,商品マスタ範囲,5,FALSE),"")</f>
        <v/>
      </c>
      <c r="H97" s="9" t="n"/>
      <c r="I97" s="7" t="n"/>
      <c r="J97" s="9">
        <f>IFERROR(VLOOKUP($C97,商品マスタ範囲,6,FALSE),"")</f>
        <v/>
      </c>
      <c r="K97" s="9" t="n"/>
      <c r="L97" s="7" t="n"/>
      <c r="M97" s="8" t="n"/>
      <c r="N97" s="6" t="n"/>
      <c r="O97" s="6" t="n"/>
      <c r="P97" s="6" t="n"/>
    </row>
    <row r="98">
      <c r="A98" s="6">
        <f>IF($B98="","",TEXT(YEAR($B98),"0000")&amp;"-"&amp;TEXT(SUMPRODUCT((YEAR($B$2:$B98)=YEAR($B98))*($B$2:$B98&lt;&gt;"")),"000"))</f>
        <v/>
      </c>
      <c r="B98" s="7" t="n"/>
      <c r="C98" s="8" t="n"/>
      <c r="D98" s="6">
        <f>IFERROR(VLOOKUP($C98,商品マスタ範囲,4,FALSE),"")</f>
        <v/>
      </c>
      <c r="E98" s="6">
        <f>IFERROR(VLOOKUP($C98,商品マスタ範囲,2,FALSE),"")</f>
        <v/>
      </c>
      <c r="F98" s="6">
        <f>IFERROR(VLOOKUP($C98,商品マスタ範囲,3,FALSE),"")</f>
        <v/>
      </c>
      <c r="G98" s="9">
        <f>IFERROR(VLOOKUP($C98,商品マスタ範囲,5,FALSE),"")</f>
        <v/>
      </c>
      <c r="H98" s="9" t="n"/>
      <c r="I98" s="7" t="n"/>
      <c r="J98" s="9">
        <f>IFERROR(VLOOKUP($C98,商品マスタ範囲,6,FALSE),"")</f>
        <v/>
      </c>
      <c r="K98" s="9" t="n"/>
      <c r="L98" s="7" t="n"/>
      <c r="M98" s="8" t="n"/>
      <c r="N98" s="6" t="n"/>
      <c r="O98" s="6" t="n"/>
      <c r="P98" s="6" t="n"/>
    </row>
    <row r="99">
      <c r="A99" s="6">
        <f>IF($B99="","",TEXT(YEAR($B99),"0000")&amp;"-"&amp;TEXT(SUMPRODUCT((YEAR($B$2:$B99)=YEAR($B99))*($B$2:$B99&lt;&gt;"")),"000"))</f>
        <v/>
      </c>
      <c r="B99" s="7" t="n"/>
      <c r="C99" s="8" t="n"/>
      <c r="D99" s="6">
        <f>IFERROR(VLOOKUP($C99,商品マスタ範囲,4,FALSE),"")</f>
        <v/>
      </c>
      <c r="E99" s="6">
        <f>IFERROR(VLOOKUP($C99,商品マスタ範囲,2,FALSE),"")</f>
        <v/>
      </c>
      <c r="F99" s="6">
        <f>IFERROR(VLOOKUP($C99,商品マスタ範囲,3,FALSE),"")</f>
        <v/>
      </c>
      <c r="G99" s="9">
        <f>IFERROR(VLOOKUP($C99,商品マスタ範囲,5,FALSE),"")</f>
        <v/>
      </c>
      <c r="H99" s="9" t="n"/>
      <c r="I99" s="7" t="n"/>
      <c r="J99" s="9">
        <f>IFERROR(VLOOKUP($C99,商品マスタ範囲,6,FALSE),"")</f>
        <v/>
      </c>
      <c r="K99" s="9" t="n"/>
      <c r="L99" s="7" t="n"/>
      <c r="M99" s="8" t="n"/>
      <c r="N99" s="6" t="n"/>
      <c r="O99" s="6" t="n"/>
      <c r="P99" s="6" t="n"/>
    </row>
    <row r="100">
      <c r="A100" s="6">
        <f>IF($B100="","",TEXT(YEAR($B100),"0000")&amp;"-"&amp;TEXT(SUMPRODUCT((YEAR($B$2:$B100)=YEAR($B100))*($B$2:$B100&lt;&gt;"")),"000"))</f>
        <v/>
      </c>
      <c r="B100" s="7" t="n"/>
      <c r="C100" s="8" t="n"/>
      <c r="D100" s="6">
        <f>IFERROR(VLOOKUP($C100,商品マスタ範囲,4,FALSE),"")</f>
        <v/>
      </c>
      <c r="E100" s="6">
        <f>IFERROR(VLOOKUP($C100,商品マスタ範囲,2,FALSE),"")</f>
        <v/>
      </c>
      <c r="F100" s="6">
        <f>IFERROR(VLOOKUP($C100,商品マスタ範囲,3,FALSE),"")</f>
        <v/>
      </c>
      <c r="G100" s="9">
        <f>IFERROR(VLOOKUP($C100,商品マスタ範囲,5,FALSE),"")</f>
        <v/>
      </c>
      <c r="H100" s="9" t="n"/>
      <c r="I100" s="7" t="n"/>
      <c r="J100" s="9">
        <f>IFERROR(VLOOKUP($C100,商品マスタ範囲,6,FALSE),"")</f>
        <v/>
      </c>
      <c r="K100" s="9" t="n"/>
      <c r="L100" s="7" t="n"/>
      <c r="M100" s="8" t="n"/>
      <c r="N100" s="6" t="n"/>
      <c r="O100" s="6" t="n"/>
      <c r="P100" s="6" t="n"/>
    </row>
    <row r="101">
      <c r="A101" s="6">
        <f>IF($B101="","",TEXT(YEAR($B101),"0000")&amp;"-"&amp;TEXT(SUMPRODUCT((YEAR($B$2:$B101)=YEAR($B101))*($B$2:$B101&lt;&gt;"")),"000"))</f>
        <v/>
      </c>
      <c r="B101" s="7" t="n"/>
      <c r="C101" s="8" t="n"/>
      <c r="D101" s="6">
        <f>IFERROR(VLOOKUP($C101,商品マスタ範囲,4,FALSE),"")</f>
        <v/>
      </c>
      <c r="E101" s="6">
        <f>IFERROR(VLOOKUP($C101,商品マスタ範囲,2,FALSE),"")</f>
        <v/>
      </c>
      <c r="F101" s="6">
        <f>IFERROR(VLOOKUP($C101,商品マスタ範囲,3,FALSE),"")</f>
        <v/>
      </c>
      <c r="G101" s="9">
        <f>IFERROR(VLOOKUP($C101,商品マスタ範囲,5,FALSE),"")</f>
        <v/>
      </c>
      <c r="H101" s="9" t="n"/>
      <c r="I101" s="7" t="n"/>
      <c r="J101" s="9">
        <f>IFERROR(VLOOKUP($C101,商品マスタ範囲,6,FALSE),"")</f>
        <v/>
      </c>
      <c r="K101" s="9" t="n"/>
      <c r="L101" s="7" t="n"/>
      <c r="M101" s="8" t="n"/>
      <c r="N101" s="6" t="n"/>
      <c r="O101" s="6" t="n"/>
      <c r="P101" s="6" t="n"/>
    </row>
    <row r="102">
      <c r="A102" s="6">
        <f>IF($B102="","",TEXT(YEAR($B102),"0000")&amp;"-"&amp;TEXT(SUMPRODUCT((YEAR($B$2:$B102)=YEAR($B102))*($B$2:$B102&lt;&gt;"")),"000"))</f>
        <v/>
      </c>
      <c r="B102" s="7" t="n"/>
      <c r="C102" s="8" t="n"/>
      <c r="D102" s="6">
        <f>IFERROR(VLOOKUP($C102,商品マスタ範囲,4,FALSE),"")</f>
        <v/>
      </c>
      <c r="E102" s="6">
        <f>IFERROR(VLOOKUP($C102,商品マスタ範囲,2,FALSE),"")</f>
        <v/>
      </c>
      <c r="F102" s="6">
        <f>IFERROR(VLOOKUP($C102,商品マスタ範囲,3,FALSE),"")</f>
        <v/>
      </c>
      <c r="G102" s="9">
        <f>IFERROR(VLOOKUP($C102,商品マスタ範囲,5,FALSE),"")</f>
        <v/>
      </c>
      <c r="H102" s="9" t="n"/>
      <c r="I102" s="7" t="n"/>
      <c r="J102" s="9">
        <f>IFERROR(VLOOKUP($C102,商品マスタ範囲,6,FALSE),"")</f>
        <v/>
      </c>
      <c r="K102" s="9" t="n"/>
      <c r="L102" s="7" t="n"/>
      <c r="M102" s="8" t="n"/>
      <c r="N102" s="6" t="n"/>
      <c r="O102" s="6" t="n"/>
      <c r="P102" s="6" t="n"/>
    </row>
    <row r="103">
      <c r="A103" s="6">
        <f>IF($B103="","",TEXT(YEAR($B103),"0000")&amp;"-"&amp;TEXT(SUMPRODUCT((YEAR($B$2:$B103)=YEAR($B103))*($B$2:$B103&lt;&gt;"")),"000"))</f>
        <v/>
      </c>
      <c r="B103" s="7" t="n"/>
      <c r="C103" s="8" t="n"/>
      <c r="D103" s="6">
        <f>IFERROR(VLOOKUP($C103,商品マスタ範囲,4,FALSE),"")</f>
        <v/>
      </c>
      <c r="E103" s="6">
        <f>IFERROR(VLOOKUP($C103,商品マスタ範囲,2,FALSE),"")</f>
        <v/>
      </c>
      <c r="F103" s="6">
        <f>IFERROR(VLOOKUP($C103,商品マスタ範囲,3,FALSE),"")</f>
        <v/>
      </c>
      <c r="G103" s="9">
        <f>IFERROR(VLOOKUP($C103,商品マスタ範囲,5,FALSE),"")</f>
        <v/>
      </c>
      <c r="H103" s="9" t="n"/>
      <c r="I103" s="7" t="n"/>
      <c r="J103" s="9">
        <f>IFERROR(VLOOKUP($C103,商品マスタ範囲,6,FALSE),"")</f>
        <v/>
      </c>
      <c r="K103" s="9" t="n"/>
      <c r="L103" s="7" t="n"/>
      <c r="M103" s="8" t="n"/>
      <c r="N103" s="6" t="n"/>
      <c r="O103" s="6" t="n"/>
      <c r="P103" s="6" t="n"/>
    </row>
    <row r="104">
      <c r="A104" s="6">
        <f>IF($B104="","",TEXT(YEAR($B104),"0000")&amp;"-"&amp;TEXT(SUMPRODUCT((YEAR($B$2:$B104)=YEAR($B104))*($B$2:$B104&lt;&gt;"")),"000"))</f>
        <v/>
      </c>
      <c r="B104" s="7" t="n"/>
      <c r="C104" s="8" t="n"/>
      <c r="D104" s="6">
        <f>IFERROR(VLOOKUP($C104,商品マスタ範囲,4,FALSE),"")</f>
        <v/>
      </c>
      <c r="E104" s="6">
        <f>IFERROR(VLOOKUP($C104,商品マスタ範囲,2,FALSE),"")</f>
        <v/>
      </c>
      <c r="F104" s="6">
        <f>IFERROR(VLOOKUP($C104,商品マスタ範囲,3,FALSE),"")</f>
        <v/>
      </c>
      <c r="G104" s="9">
        <f>IFERROR(VLOOKUP($C104,商品マスタ範囲,5,FALSE),"")</f>
        <v/>
      </c>
      <c r="H104" s="9" t="n"/>
      <c r="I104" s="7" t="n"/>
      <c r="J104" s="9">
        <f>IFERROR(VLOOKUP($C104,商品マスタ範囲,6,FALSE),"")</f>
        <v/>
      </c>
      <c r="K104" s="9" t="n"/>
      <c r="L104" s="7" t="n"/>
      <c r="M104" s="8" t="n"/>
      <c r="N104" s="6" t="n"/>
      <c r="O104" s="6" t="n"/>
      <c r="P104" s="6" t="n"/>
    </row>
    <row r="105">
      <c r="A105" s="6">
        <f>IF($B105="","",TEXT(YEAR($B105),"0000")&amp;"-"&amp;TEXT(SUMPRODUCT((YEAR($B$2:$B105)=YEAR($B105))*($B$2:$B105&lt;&gt;"")),"000"))</f>
        <v/>
      </c>
      <c r="B105" s="7" t="n"/>
      <c r="C105" s="8" t="n"/>
      <c r="D105" s="6">
        <f>IFERROR(VLOOKUP($C105,商品マスタ範囲,4,FALSE),"")</f>
        <v/>
      </c>
      <c r="E105" s="6">
        <f>IFERROR(VLOOKUP($C105,商品マスタ範囲,2,FALSE),"")</f>
        <v/>
      </c>
      <c r="F105" s="6">
        <f>IFERROR(VLOOKUP($C105,商品マスタ範囲,3,FALSE),"")</f>
        <v/>
      </c>
      <c r="G105" s="9">
        <f>IFERROR(VLOOKUP($C105,商品マスタ範囲,5,FALSE),"")</f>
        <v/>
      </c>
      <c r="H105" s="9" t="n"/>
      <c r="I105" s="7" t="n"/>
      <c r="J105" s="9">
        <f>IFERROR(VLOOKUP($C105,商品マスタ範囲,6,FALSE),"")</f>
        <v/>
      </c>
      <c r="K105" s="9" t="n"/>
      <c r="L105" s="7" t="n"/>
      <c r="M105" s="8" t="n"/>
      <c r="N105" s="6" t="n"/>
      <c r="O105" s="6" t="n"/>
      <c r="P105" s="6" t="n"/>
    </row>
    <row r="106">
      <c r="A106" s="6">
        <f>IF($B106="","",TEXT(YEAR($B106),"0000")&amp;"-"&amp;TEXT(SUMPRODUCT((YEAR($B$2:$B106)=YEAR($B106))*($B$2:$B106&lt;&gt;"")),"000"))</f>
        <v/>
      </c>
      <c r="B106" s="7" t="n"/>
      <c r="C106" s="8" t="n"/>
      <c r="D106" s="6">
        <f>IFERROR(VLOOKUP($C106,商品マスタ範囲,4,FALSE),"")</f>
        <v/>
      </c>
      <c r="E106" s="6">
        <f>IFERROR(VLOOKUP($C106,商品マスタ範囲,2,FALSE),"")</f>
        <v/>
      </c>
      <c r="F106" s="6">
        <f>IFERROR(VLOOKUP($C106,商品マスタ範囲,3,FALSE),"")</f>
        <v/>
      </c>
      <c r="G106" s="9">
        <f>IFERROR(VLOOKUP($C106,商品マスタ範囲,5,FALSE),"")</f>
        <v/>
      </c>
      <c r="H106" s="9" t="n"/>
      <c r="I106" s="7" t="n"/>
      <c r="J106" s="9">
        <f>IFERROR(VLOOKUP($C106,商品マスタ範囲,6,FALSE),"")</f>
        <v/>
      </c>
      <c r="K106" s="9" t="n"/>
      <c r="L106" s="7" t="n"/>
      <c r="M106" s="8" t="n"/>
      <c r="N106" s="6" t="n"/>
      <c r="O106" s="6" t="n"/>
      <c r="P106" s="6" t="n"/>
    </row>
    <row r="107">
      <c r="A107" s="6">
        <f>IF($B107="","",TEXT(YEAR($B107),"0000")&amp;"-"&amp;TEXT(SUMPRODUCT((YEAR($B$2:$B107)=YEAR($B107))*($B$2:$B107&lt;&gt;"")),"000"))</f>
        <v/>
      </c>
      <c r="B107" s="7" t="n"/>
      <c r="C107" s="8" t="n"/>
      <c r="D107" s="6">
        <f>IFERROR(VLOOKUP($C107,商品マスタ範囲,4,FALSE),"")</f>
        <v/>
      </c>
      <c r="E107" s="6">
        <f>IFERROR(VLOOKUP($C107,商品マスタ範囲,2,FALSE),"")</f>
        <v/>
      </c>
      <c r="F107" s="6">
        <f>IFERROR(VLOOKUP($C107,商品マスタ範囲,3,FALSE),"")</f>
        <v/>
      </c>
      <c r="G107" s="9">
        <f>IFERROR(VLOOKUP($C107,商品マスタ範囲,5,FALSE),"")</f>
        <v/>
      </c>
      <c r="H107" s="9" t="n"/>
      <c r="I107" s="7" t="n"/>
      <c r="J107" s="9">
        <f>IFERROR(VLOOKUP($C107,商品マスタ範囲,6,FALSE),"")</f>
        <v/>
      </c>
      <c r="K107" s="9" t="n"/>
      <c r="L107" s="7" t="n"/>
      <c r="M107" s="8" t="n"/>
      <c r="N107" s="6" t="n"/>
      <c r="O107" s="6" t="n"/>
      <c r="P107" s="6" t="n"/>
    </row>
    <row r="108">
      <c r="A108" s="6">
        <f>IF($B108="","",TEXT(YEAR($B108),"0000")&amp;"-"&amp;TEXT(SUMPRODUCT((YEAR($B$2:$B108)=YEAR($B108))*($B$2:$B108&lt;&gt;"")),"000"))</f>
        <v/>
      </c>
      <c r="B108" s="7" t="n"/>
      <c r="C108" s="8" t="n"/>
      <c r="D108" s="6">
        <f>IFERROR(VLOOKUP($C108,商品マスタ範囲,4,FALSE),"")</f>
        <v/>
      </c>
      <c r="E108" s="6">
        <f>IFERROR(VLOOKUP($C108,商品マスタ範囲,2,FALSE),"")</f>
        <v/>
      </c>
      <c r="F108" s="6">
        <f>IFERROR(VLOOKUP($C108,商品マスタ範囲,3,FALSE),"")</f>
        <v/>
      </c>
      <c r="G108" s="9">
        <f>IFERROR(VLOOKUP($C108,商品マスタ範囲,5,FALSE),"")</f>
        <v/>
      </c>
      <c r="H108" s="9" t="n"/>
      <c r="I108" s="7" t="n"/>
      <c r="J108" s="9">
        <f>IFERROR(VLOOKUP($C108,商品マスタ範囲,6,FALSE),"")</f>
        <v/>
      </c>
      <c r="K108" s="9" t="n"/>
      <c r="L108" s="7" t="n"/>
      <c r="M108" s="8" t="n"/>
      <c r="N108" s="6" t="n"/>
      <c r="O108" s="6" t="n"/>
      <c r="P108" s="6" t="n"/>
    </row>
    <row r="109">
      <c r="A109" s="6">
        <f>IF($B109="","",TEXT(YEAR($B109),"0000")&amp;"-"&amp;TEXT(SUMPRODUCT((YEAR($B$2:$B109)=YEAR($B109))*($B$2:$B109&lt;&gt;"")),"000"))</f>
        <v/>
      </c>
      <c r="B109" s="7" t="n"/>
      <c r="C109" s="8" t="n"/>
      <c r="D109" s="6">
        <f>IFERROR(VLOOKUP($C109,商品マスタ範囲,4,FALSE),"")</f>
        <v/>
      </c>
      <c r="E109" s="6">
        <f>IFERROR(VLOOKUP($C109,商品マスタ範囲,2,FALSE),"")</f>
        <v/>
      </c>
      <c r="F109" s="6">
        <f>IFERROR(VLOOKUP($C109,商品マスタ範囲,3,FALSE),"")</f>
        <v/>
      </c>
      <c r="G109" s="9">
        <f>IFERROR(VLOOKUP($C109,商品マスタ範囲,5,FALSE),"")</f>
        <v/>
      </c>
      <c r="H109" s="9" t="n"/>
      <c r="I109" s="7" t="n"/>
      <c r="J109" s="9">
        <f>IFERROR(VLOOKUP($C109,商品マスタ範囲,6,FALSE),"")</f>
        <v/>
      </c>
      <c r="K109" s="9" t="n"/>
      <c r="L109" s="7" t="n"/>
      <c r="M109" s="8" t="n"/>
      <c r="N109" s="6" t="n"/>
      <c r="O109" s="6" t="n"/>
      <c r="P109" s="6" t="n"/>
    </row>
    <row r="110">
      <c r="A110" s="6">
        <f>IF($B110="","",TEXT(YEAR($B110),"0000")&amp;"-"&amp;TEXT(SUMPRODUCT((YEAR($B$2:$B110)=YEAR($B110))*($B$2:$B110&lt;&gt;"")),"000"))</f>
        <v/>
      </c>
      <c r="B110" s="7" t="n"/>
      <c r="C110" s="8" t="n"/>
      <c r="D110" s="6">
        <f>IFERROR(VLOOKUP($C110,商品マスタ範囲,4,FALSE),"")</f>
        <v/>
      </c>
      <c r="E110" s="6">
        <f>IFERROR(VLOOKUP($C110,商品マスタ範囲,2,FALSE),"")</f>
        <v/>
      </c>
      <c r="F110" s="6">
        <f>IFERROR(VLOOKUP($C110,商品マスタ範囲,3,FALSE),"")</f>
        <v/>
      </c>
      <c r="G110" s="9">
        <f>IFERROR(VLOOKUP($C110,商品マスタ範囲,5,FALSE),"")</f>
        <v/>
      </c>
      <c r="H110" s="9" t="n"/>
      <c r="I110" s="7" t="n"/>
      <c r="J110" s="9">
        <f>IFERROR(VLOOKUP($C110,商品マスタ範囲,6,FALSE),"")</f>
        <v/>
      </c>
      <c r="K110" s="9" t="n"/>
      <c r="L110" s="7" t="n"/>
      <c r="M110" s="8" t="n"/>
      <c r="N110" s="6" t="n"/>
      <c r="O110" s="6" t="n"/>
      <c r="P110" s="6" t="n"/>
    </row>
    <row r="111">
      <c r="A111" s="6">
        <f>IF($B111="","",TEXT(YEAR($B111),"0000")&amp;"-"&amp;TEXT(SUMPRODUCT((YEAR($B$2:$B111)=YEAR($B111))*($B$2:$B111&lt;&gt;"")),"000"))</f>
        <v/>
      </c>
      <c r="B111" s="7" t="n"/>
      <c r="C111" s="8" t="n"/>
      <c r="D111" s="6">
        <f>IFERROR(VLOOKUP($C111,商品マスタ範囲,4,FALSE),"")</f>
        <v/>
      </c>
      <c r="E111" s="6">
        <f>IFERROR(VLOOKUP($C111,商品マスタ範囲,2,FALSE),"")</f>
        <v/>
      </c>
      <c r="F111" s="6">
        <f>IFERROR(VLOOKUP($C111,商品マスタ範囲,3,FALSE),"")</f>
        <v/>
      </c>
      <c r="G111" s="9">
        <f>IFERROR(VLOOKUP($C111,商品マスタ範囲,5,FALSE),"")</f>
        <v/>
      </c>
      <c r="H111" s="9" t="n"/>
      <c r="I111" s="7" t="n"/>
      <c r="J111" s="9">
        <f>IFERROR(VLOOKUP($C111,商品マスタ範囲,6,FALSE),"")</f>
        <v/>
      </c>
      <c r="K111" s="9" t="n"/>
      <c r="L111" s="7" t="n"/>
      <c r="M111" s="8" t="n"/>
      <c r="N111" s="6" t="n"/>
      <c r="O111" s="6" t="n"/>
      <c r="P111" s="6" t="n"/>
    </row>
    <row r="112">
      <c r="A112" s="6">
        <f>IF($B112="","",TEXT(YEAR($B112),"0000")&amp;"-"&amp;TEXT(SUMPRODUCT((YEAR($B$2:$B112)=YEAR($B112))*($B$2:$B112&lt;&gt;"")),"000"))</f>
        <v/>
      </c>
      <c r="B112" s="7" t="n"/>
      <c r="C112" s="8" t="n"/>
      <c r="D112" s="6">
        <f>IFERROR(VLOOKUP($C112,商品マスタ範囲,4,FALSE),"")</f>
        <v/>
      </c>
      <c r="E112" s="6">
        <f>IFERROR(VLOOKUP($C112,商品マスタ範囲,2,FALSE),"")</f>
        <v/>
      </c>
      <c r="F112" s="6">
        <f>IFERROR(VLOOKUP($C112,商品マスタ範囲,3,FALSE),"")</f>
        <v/>
      </c>
      <c r="G112" s="9">
        <f>IFERROR(VLOOKUP($C112,商品マスタ範囲,5,FALSE),"")</f>
        <v/>
      </c>
      <c r="H112" s="9" t="n"/>
      <c r="I112" s="7" t="n"/>
      <c r="J112" s="9">
        <f>IFERROR(VLOOKUP($C112,商品マスタ範囲,6,FALSE),"")</f>
        <v/>
      </c>
      <c r="K112" s="9" t="n"/>
      <c r="L112" s="7" t="n"/>
      <c r="M112" s="8" t="n"/>
      <c r="N112" s="6" t="n"/>
      <c r="O112" s="6" t="n"/>
      <c r="P112" s="6" t="n"/>
    </row>
    <row r="113">
      <c r="A113" s="6">
        <f>IF($B113="","",TEXT(YEAR($B113),"0000")&amp;"-"&amp;TEXT(SUMPRODUCT((YEAR($B$2:$B113)=YEAR($B113))*($B$2:$B113&lt;&gt;"")),"000"))</f>
        <v/>
      </c>
      <c r="B113" s="7" t="n"/>
      <c r="C113" s="8" t="n"/>
      <c r="D113" s="6">
        <f>IFERROR(VLOOKUP($C113,商品マスタ範囲,4,FALSE),"")</f>
        <v/>
      </c>
      <c r="E113" s="6">
        <f>IFERROR(VLOOKUP($C113,商品マスタ範囲,2,FALSE),"")</f>
        <v/>
      </c>
      <c r="F113" s="6">
        <f>IFERROR(VLOOKUP($C113,商品マスタ範囲,3,FALSE),"")</f>
        <v/>
      </c>
      <c r="G113" s="9">
        <f>IFERROR(VLOOKUP($C113,商品マスタ範囲,5,FALSE),"")</f>
        <v/>
      </c>
      <c r="H113" s="9" t="n"/>
      <c r="I113" s="7" t="n"/>
      <c r="J113" s="9">
        <f>IFERROR(VLOOKUP($C113,商品マスタ範囲,6,FALSE),"")</f>
        <v/>
      </c>
      <c r="K113" s="9" t="n"/>
      <c r="L113" s="7" t="n"/>
      <c r="M113" s="8" t="n"/>
      <c r="N113" s="6" t="n"/>
      <c r="O113" s="6" t="n"/>
      <c r="P113" s="6" t="n"/>
    </row>
    <row r="114">
      <c r="A114" s="6">
        <f>IF($B114="","",TEXT(YEAR($B114),"0000")&amp;"-"&amp;TEXT(SUMPRODUCT((YEAR($B$2:$B114)=YEAR($B114))*($B$2:$B114&lt;&gt;"")),"000"))</f>
        <v/>
      </c>
      <c r="B114" s="7" t="n"/>
      <c r="C114" s="8" t="n"/>
      <c r="D114" s="6">
        <f>IFERROR(VLOOKUP($C114,商品マスタ範囲,4,FALSE),"")</f>
        <v/>
      </c>
      <c r="E114" s="6">
        <f>IFERROR(VLOOKUP($C114,商品マスタ範囲,2,FALSE),"")</f>
        <v/>
      </c>
      <c r="F114" s="6">
        <f>IFERROR(VLOOKUP($C114,商品マスタ範囲,3,FALSE),"")</f>
        <v/>
      </c>
      <c r="G114" s="9">
        <f>IFERROR(VLOOKUP($C114,商品マスタ範囲,5,FALSE),"")</f>
        <v/>
      </c>
      <c r="H114" s="9" t="n"/>
      <c r="I114" s="7" t="n"/>
      <c r="J114" s="9">
        <f>IFERROR(VLOOKUP($C114,商品マスタ範囲,6,FALSE),"")</f>
        <v/>
      </c>
      <c r="K114" s="9" t="n"/>
      <c r="L114" s="7" t="n"/>
      <c r="M114" s="8" t="n"/>
      <c r="N114" s="6" t="n"/>
      <c r="O114" s="6" t="n"/>
      <c r="P114" s="6" t="n"/>
    </row>
    <row r="115">
      <c r="A115" s="6">
        <f>IF($B115="","",TEXT(YEAR($B115),"0000")&amp;"-"&amp;TEXT(SUMPRODUCT((YEAR($B$2:$B115)=YEAR($B115))*($B$2:$B115&lt;&gt;"")),"000"))</f>
        <v/>
      </c>
      <c r="B115" s="7" t="n"/>
      <c r="C115" s="8" t="n"/>
      <c r="D115" s="6">
        <f>IFERROR(VLOOKUP($C115,商品マスタ範囲,4,FALSE),"")</f>
        <v/>
      </c>
      <c r="E115" s="6">
        <f>IFERROR(VLOOKUP($C115,商品マスタ範囲,2,FALSE),"")</f>
        <v/>
      </c>
      <c r="F115" s="6">
        <f>IFERROR(VLOOKUP($C115,商品マスタ範囲,3,FALSE),"")</f>
        <v/>
      </c>
      <c r="G115" s="9">
        <f>IFERROR(VLOOKUP($C115,商品マスタ範囲,5,FALSE),"")</f>
        <v/>
      </c>
      <c r="H115" s="9" t="n"/>
      <c r="I115" s="7" t="n"/>
      <c r="J115" s="9">
        <f>IFERROR(VLOOKUP($C115,商品マスタ範囲,6,FALSE),"")</f>
        <v/>
      </c>
      <c r="K115" s="9" t="n"/>
      <c r="L115" s="7" t="n"/>
      <c r="M115" s="8" t="n"/>
      <c r="N115" s="6" t="n"/>
      <c r="O115" s="6" t="n"/>
      <c r="P115" s="6" t="n"/>
    </row>
    <row r="116">
      <c r="A116" s="6">
        <f>IF($B116="","",TEXT(YEAR($B116),"0000")&amp;"-"&amp;TEXT(SUMPRODUCT((YEAR($B$2:$B116)=YEAR($B116))*($B$2:$B116&lt;&gt;"")),"000"))</f>
        <v/>
      </c>
      <c r="B116" s="7" t="n"/>
      <c r="C116" s="8" t="n"/>
      <c r="D116" s="6">
        <f>IFERROR(VLOOKUP($C116,商品マスタ範囲,4,FALSE),"")</f>
        <v/>
      </c>
      <c r="E116" s="6">
        <f>IFERROR(VLOOKUP($C116,商品マスタ範囲,2,FALSE),"")</f>
        <v/>
      </c>
      <c r="F116" s="6">
        <f>IFERROR(VLOOKUP($C116,商品マスタ範囲,3,FALSE),"")</f>
        <v/>
      </c>
      <c r="G116" s="9">
        <f>IFERROR(VLOOKUP($C116,商品マスタ範囲,5,FALSE),"")</f>
        <v/>
      </c>
      <c r="H116" s="9" t="n"/>
      <c r="I116" s="7" t="n"/>
      <c r="J116" s="9">
        <f>IFERROR(VLOOKUP($C116,商品マスタ範囲,6,FALSE),"")</f>
        <v/>
      </c>
      <c r="K116" s="9" t="n"/>
      <c r="L116" s="7" t="n"/>
      <c r="M116" s="8" t="n"/>
      <c r="N116" s="6" t="n"/>
      <c r="O116" s="6" t="n"/>
      <c r="P116" s="6" t="n"/>
    </row>
    <row r="117">
      <c r="A117" s="6">
        <f>IF($B117="","",TEXT(YEAR($B117),"0000")&amp;"-"&amp;TEXT(SUMPRODUCT((YEAR($B$2:$B117)=YEAR($B117))*($B$2:$B117&lt;&gt;"")),"000"))</f>
        <v/>
      </c>
      <c r="B117" s="7" t="n"/>
      <c r="C117" s="8" t="n"/>
      <c r="D117" s="6">
        <f>IFERROR(VLOOKUP($C117,商品マスタ範囲,4,FALSE),"")</f>
        <v/>
      </c>
      <c r="E117" s="6">
        <f>IFERROR(VLOOKUP($C117,商品マスタ範囲,2,FALSE),"")</f>
        <v/>
      </c>
      <c r="F117" s="6">
        <f>IFERROR(VLOOKUP($C117,商品マスタ範囲,3,FALSE),"")</f>
        <v/>
      </c>
      <c r="G117" s="9">
        <f>IFERROR(VLOOKUP($C117,商品マスタ範囲,5,FALSE),"")</f>
        <v/>
      </c>
      <c r="H117" s="9" t="n"/>
      <c r="I117" s="7" t="n"/>
      <c r="J117" s="9">
        <f>IFERROR(VLOOKUP($C117,商品マスタ範囲,6,FALSE),"")</f>
        <v/>
      </c>
      <c r="K117" s="9" t="n"/>
      <c r="L117" s="7" t="n"/>
      <c r="M117" s="8" t="n"/>
      <c r="N117" s="6" t="n"/>
      <c r="O117" s="6" t="n"/>
      <c r="P117" s="6" t="n"/>
    </row>
    <row r="118">
      <c r="A118" s="6">
        <f>IF($B118="","",TEXT(YEAR($B118),"0000")&amp;"-"&amp;TEXT(SUMPRODUCT((YEAR($B$2:$B118)=YEAR($B118))*($B$2:$B118&lt;&gt;"")),"000"))</f>
        <v/>
      </c>
      <c r="B118" s="7" t="n"/>
      <c r="C118" s="8" t="n"/>
      <c r="D118" s="6">
        <f>IFERROR(VLOOKUP($C118,商品マスタ範囲,4,FALSE),"")</f>
        <v/>
      </c>
      <c r="E118" s="6">
        <f>IFERROR(VLOOKUP($C118,商品マスタ範囲,2,FALSE),"")</f>
        <v/>
      </c>
      <c r="F118" s="6">
        <f>IFERROR(VLOOKUP($C118,商品マスタ範囲,3,FALSE),"")</f>
        <v/>
      </c>
      <c r="G118" s="9">
        <f>IFERROR(VLOOKUP($C118,商品マスタ範囲,5,FALSE),"")</f>
        <v/>
      </c>
      <c r="H118" s="9" t="n"/>
      <c r="I118" s="7" t="n"/>
      <c r="J118" s="9">
        <f>IFERROR(VLOOKUP($C118,商品マスタ範囲,6,FALSE),"")</f>
        <v/>
      </c>
      <c r="K118" s="9" t="n"/>
      <c r="L118" s="7" t="n"/>
      <c r="M118" s="8" t="n"/>
      <c r="N118" s="6" t="n"/>
      <c r="O118" s="6" t="n"/>
      <c r="P118" s="6" t="n"/>
    </row>
    <row r="119">
      <c r="A119" s="6">
        <f>IF($B119="","",TEXT(YEAR($B119),"0000")&amp;"-"&amp;TEXT(SUMPRODUCT((YEAR($B$2:$B119)=YEAR($B119))*($B$2:$B119&lt;&gt;"")),"000"))</f>
        <v/>
      </c>
      <c r="B119" s="7" t="n"/>
      <c r="C119" s="8" t="n"/>
      <c r="D119" s="6">
        <f>IFERROR(VLOOKUP($C119,商品マスタ範囲,4,FALSE),"")</f>
        <v/>
      </c>
      <c r="E119" s="6">
        <f>IFERROR(VLOOKUP($C119,商品マスタ範囲,2,FALSE),"")</f>
        <v/>
      </c>
      <c r="F119" s="6">
        <f>IFERROR(VLOOKUP($C119,商品マスタ範囲,3,FALSE),"")</f>
        <v/>
      </c>
      <c r="G119" s="9">
        <f>IFERROR(VLOOKUP($C119,商品マスタ範囲,5,FALSE),"")</f>
        <v/>
      </c>
      <c r="H119" s="9" t="n"/>
      <c r="I119" s="7" t="n"/>
      <c r="J119" s="9">
        <f>IFERROR(VLOOKUP($C119,商品マスタ範囲,6,FALSE),"")</f>
        <v/>
      </c>
      <c r="K119" s="9" t="n"/>
      <c r="L119" s="7" t="n"/>
      <c r="M119" s="8" t="n"/>
      <c r="N119" s="6" t="n"/>
      <c r="O119" s="6" t="n"/>
      <c r="P119" s="6" t="n"/>
    </row>
    <row r="120">
      <c r="A120" s="6">
        <f>IF($B120="","",TEXT(YEAR($B120),"0000")&amp;"-"&amp;TEXT(SUMPRODUCT((YEAR($B$2:$B120)=YEAR($B120))*($B$2:$B120&lt;&gt;"")),"000"))</f>
        <v/>
      </c>
      <c r="B120" s="7" t="n"/>
      <c r="C120" s="8" t="n"/>
      <c r="D120" s="6">
        <f>IFERROR(VLOOKUP($C120,商品マスタ範囲,4,FALSE),"")</f>
        <v/>
      </c>
      <c r="E120" s="6">
        <f>IFERROR(VLOOKUP($C120,商品マスタ範囲,2,FALSE),"")</f>
        <v/>
      </c>
      <c r="F120" s="6">
        <f>IFERROR(VLOOKUP($C120,商品マスタ範囲,3,FALSE),"")</f>
        <v/>
      </c>
      <c r="G120" s="9">
        <f>IFERROR(VLOOKUP($C120,商品マスタ範囲,5,FALSE),"")</f>
        <v/>
      </c>
      <c r="H120" s="9" t="n"/>
      <c r="I120" s="7" t="n"/>
      <c r="J120" s="9">
        <f>IFERROR(VLOOKUP($C120,商品マスタ範囲,6,FALSE),"")</f>
        <v/>
      </c>
      <c r="K120" s="9" t="n"/>
      <c r="L120" s="7" t="n"/>
      <c r="M120" s="8" t="n"/>
      <c r="N120" s="6" t="n"/>
      <c r="O120" s="6" t="n"/>
      <c r="P120" s="6" t="n"/>
    </row>
    <row r="121">
      <c r="A121" s="6">
        <f>IF($B121="","",TEXT(YEAR($B121),"0000")&amp;"-"&amp;TEXT(SUMPRODUCT((YEAR($B$2:$B121)=YEAR($B121))*($B$2:$B121&lt;&gt;"")),"000"))</f>
        <v/>
      </c>
      <c r="B121" s="7" t="n"/>
      <c r="C121" s="8" t="n"/>
      <c r="D121" s="6">
        <f>IFERROR(VLOOKUP($C121,商品マスタ範囲,4,FALSE),"")</f>
        <v/>
      </c>
      <c r="E121" s="6">
        <f>IFERROR(VLOOKUP($C121,商品マスタ範囲,2,FALSE),"")</f>
        <v/>
      </c>
      <c r="F121" s="6">
        <f>IFERROR(VLOOKUP($C121,商品マスタ範囲,3,FALSE),"")</f>
        <v/>
      </c>
      <c r="G121" s="9">
        <f>IFERROR(VLOOKUP($C121,商品マスタ範囲,5,FALSE),"")</f>
        <v/>
      </c>
      <c r="H121" s="9" t="n"/>
      <c r="I121" s="7" t="n"/>
      <c r="J121" s="9">
        <f>IFERROR(VLOOKUP($C121,商品マスタ範囲,6,FALSE),"")</f>
        <v/>
      </c>
      <c r="K121" s="9" t="n"/>
      <c r="L121" s="7" t="n"/>
      <c r="M121" s="8" t="n"/>
      <c r="N121" s="6" t="n"/>
      <c r="O121" s="6" t="n"/>
      <c r="P121" s="6" t="n"/>
    </row>
    <row r="122">
      <c r="A122" s="6">
        <f>IF($B122="","",TEXT(YEAR($B122),"0000")&amp;"-"&amp;TEXT(SUMPRODUCT((YEAR($B$2:$B122)=YEAR($B122))*($B$2:$B122&lt;&gt;"")),"000"))</f>
        <v/>
      </c>
      <c r="B122" s="7" t="n"/>
      <c r="C122" s="8" t="n"/>
      <c r="D122" s="6">
        <f>IFERROR(VLOOKUP($C122,商品マスタ範囲,4,FALSE),"")</f>
        <v/>
      </c>
      <c r="E122" s="6">
        <f>IFERROR(VLOOKUP($C122,商品マスタ範囲,2,FALSE),"")</f>
        <v/>
      </c>
      <c r="F122" s="6">
        <f>IFERROR(VLOOKUP($C122,商品マスタ範囲,3,FALSE),"")</f>
        <v/>
      </c>
      <c r="G122" s="9">
        <f>IFERROR(VLOOKUP($C122,商品マスタ範囲,5,FALSE),"")</f>
        <v/>
      </c>
      <c r="H122" s="9" t="n"/>
      <c r="I122" s="7" t="n"/>
      <c r="J122" s="9">
        <f>IFERROR(VLOOKUP($C122,商品マスタ範囲,6,FALSE),"")</f>
        <v/>
      </c>
      <c r="K122" s="9" t="n"/>
      <c r="L122" s="7" t="n"/>
      <c r="M122" s="8" t="n"/>
      <c r="N122" s="6" t="n"/>
      <c r="O122" s="6" t="n"/>
      <c r="P122" s="6" t="n"/>
    </row>
    <row r="123">
      <c r="A123" s="6">
        <f>IF($B123="","",TEXT(YEAR($B123),"0000")&amp;"-"&amp;TEXT(SUMPRODUCT((YEAR($B$2:$B123)=YEAR($B123))*($B$2:$B123&lt;&gt;"")),"000"))</f>
        <v/>
      </c>
      <c r="B123" s="7" t="n"/>
      <c r="C123" s="8" t="n"/>
      <c r="D123" s="6">
        <f>IFERROR(VLOOKUP($C123,商品マスタ範囲,4,FALSE),"")</f>
        <v/>
      </c>
      <c r="E123" s="6">
        <f>IFERROR(VLOOKUP($C123,商品マスタ範囲,2,FALSE),"")</f>
        <v/>
      </c>
      <c r="F123" s="6">
        <f>IFERROR(VLOOKUP($C123,商品マスタ範囲,3,FALSE),"")</f>
        <v/>
      </c>
      <c r="G123" s="9">
        <f>IFERROR(VLOOKUP($C123,商品マスタ範囲,5,FALSE),"")</f>
        <v/>
      </c>
      <c r="H123" s="9" t="n"/>
      <c r="I123" s="7" t="n"/>
      <c r="J123" s="9">
        <f>IFERROR(VLOOKUP($C123,商品マスタ範囲,6,FALSE),"")</f>
        <v/>
      </c>
      <c r="K123" s="9" t="n"/>
      <c r="L123" s="7" t="n"/>
      <c r="M123" s="8" t="n"/>
      <c r="N123" s="6" t="n"/>
      <c r="O123" s="6" t="n"/>
      <c r="P123" s="6" t="n"/>
    </row>
    <row r="124">
      <c r="A124" s="6">
        <f>IF($B124="","",TEXT(YEAR($B124),"0000")&amp;"-"&amp;TEXT(SUMPRODUCT((YEAR($B$2:$B124)=YEAR($B124))*($B$2:$B124&lt;&gt;"")),"000"))</f>
        <v/>
      </c>
      <c r="B124" s="7" t="n"/>
      <c r="C124" s="8" t="n"/>
      <c r="D124" s="6">
        <f>IFERROR(VLOOKUP($C124,商品マスタ範囲,4,FALSE),"")</f>
        <v/>
      </c>
      <c r="E124" s="6">
        <f>IFERROR(VLOOKUP($C124,商品マスタ範囲,2,FALSE),"")</f>
        <v/>
      </c>
      <c r="F124" s="6">
        <f>IFERROR(VLOOKUP($C124,商品マスタ範囲,3,FALSE),"")</f>
        <v/>
      </c>
      <c r="G124" s="9">
        <f>IFERROR(VLOOKUP($C124,商品マスタ範囲,5,FALSE),"")</f>
        <v/>
      </c>
      <c r="H124" s="9" t="n"/>
      <c r="I124" s="7" t="n"/>
      <c r="J124" s="9">
        <f>IFERROR(VLOOKUP($C124,商品マスタ範囲,6,FALSE),"")</f>
        <v/>
      </c>
      <c r="K124" s="9" t="n"/>
      <c r="L124" s="7" t="n"/>
      <c r="M124" s="8" t="n"/>
      <c r="N124" s="6" t="n"/>
      <c r="O124" s="6" t="n"/>
      <c r="P124" s="6" t="n"/>
    </row>
    <row r="125">
      <c r="A125" s="6">
        <f>IF($B125="","",TEXT(YEAR($B125),"0000")&amp;"-"&amp;TEXT(SUMPRODUCT((YEAR($B$2:$B125)=YEAR($B125))*($B$2:$B125&lt;&gt;"")),"000"))</f>
        <v/>
      </c>
      <c r="B125" s="7" t="n"/>
      <c r="C125" s="8" t="n"/>
      <c r="D125" s="6">
        <f>IFERROR(VLOOKUP($C125,商品マスタ範囲,4,FALSE),"")</f>
        <v/>
      </c>
      <c r="E125" s="6">
        <f>IFERROR(VLOOKUP($C125,商品マスタ範囲,2,FALSE),"")</f>
        <v/>
      </c>
      <c r="F125" s="6">
        <f>IFERROR(VLOOKUP($C125,商品マスタ範囲,3,FALSE),"")</f>
        <v/>
      </c>
      <c r="G125" s="9">
        <f>IFERROR(VLOOKUP($C125,商品マスタ範囲,5,FALSE),"")</f>
        <v/>
      </c>
      <c r="H125" s="9" t="n"/>
      <c r="I125" s="7" t="n"/>
      <c r="J125" s="9">
        <f>IFERROR(VLOOKUP($C125,商品マスタ範囲,6,FALSE),"")</f>
        <v/>
      </c>
      <c r="K125" s="9" t="n"/>
      <c r="L125" s="7" t="n"/>
      <c r="M125" s="8" t="n"/>
      <c r="N125" s="6" t="n"/>
      <c r="O125" s="6" t="n"/>
      <c r="P125" s="6" t="n"/>
    </row>
    <row r="126">
      <c r="A126" s="6">
        <f>IF($B126="","",TEXT(YEAR($B126),"0000")&amp;"-"&amp;TEXT(SUMPRODUCT((YEAR($B$2:$B126)=YEAR($B126))*($B$2:$B126&lt;&gt;"")),"000"))</f>
        <v/>
      </c>
      <c r="B126" s="7" t="n"/>
      <c r="C126" s="8" t="n"/>
      <c r="D126" s="6">
        <f>IFERROR(VLOOKUP($C126,商品マスタ範囲,4,FALSE),"")</f>
        <v/>
      </c>
      <c r="E126" s="6">
        <f>IFERROR(VLOOKUP($C126,商品マスタ範囲,2,FALSE),"")</f>
        <v/>
      </c>
      <c r="F126" s="6">
        <f>IFERROR(VLOOKUP($C126,商品マスタ範囲,3,FALSE),"")</f>
        <v/>
      </c>
      <c r="G126" s="9">
        <f>IFERROR(VLOOKUP($C126,商品マスタ範囲,5,FALSE),"")</f>
        <v/>
      </c>
      <c r="H126" s="9" t="n"/>
      <c r="I126" s="7" t="n"/>
      <c r="J126" s="9">
        <f>IFERROR(VLOOKUP($C126,商品マスタ範囲,6,FALSE),"")</f>
        <v/>
      </c>
      <c r="K126" s="9" t="n"/>
      <c r="L126" s="7" t="n"/>
      <c r="M126" s="8" t="n"/>
      <c r="N126" s="6" t="n"/>
      <c r="O126" s="6" t="n"/>
      <c r="P126" s="6" t="n"/>
    </row>
    <row r="127">
      <c r="A127" s="6">
        <f>IF($B127="","",TEXT(YEAR($B127),"0000")&amp;"-"&amp;TEXT(SUMPRODUCT((YEAR($B$2:$B127)=YEAR($B127))*($B$2:$B127&lt;&gt;"")),"000"))</f>
        <v/>
      </c>
      <c r="B127" s="7" t="n"/>
      <c r="C127" s="8" t="n"/>
      <c r="D127" s="6">
        <f>IFERROR(VLOOKUP($C127,商品マスタ範囲,4,FALSE),"")</f>
        <v/>
      </c>
      <c r="E127" s="6">
        <f>IFERROR(VLOOKUP($C127,商品マスタ範囲,2,FALSE),"")</f>
        <v/>
      </c>
      <c r="F127" s="6">
        <f>IFERROR(VLOOKUP($C127,商品マスタ範囲,3,FALSE),"")</f>
        <v/>
      </c>
      <c r="G127" s="9">
        <f>IFERROR(VLOOKUP($C127,商品マスタ範囲,5,FALSE),"")</f>
        <v/>
      </c>
      <c r="H127" s="9" t="n"/>
      <c r="I127" s="7" t="n"/>
      <c r="J127" s="9">
        <f>IFERROR(VLOOKUP($C127,商品マスタ範囲,6,FALSE),"")</f>
        <v/>
      </c>
      <c r="K127" s="9" t="n"/>
      <c r="L127" s="7" t="n"/>
      <c r="M127" s="8" t="n"/>
      <c r="N127" s="6" t="n"/>
      <c r="O127" s="6" t="n"/>
      <c r="P127" s="6" t="n"/>
    </row>
    <row r="128">
      <c r="A128" s="6">
        <f>IF($B128="","",TEXT(YEAR($B128),"0000")&amp;"-"&amp;TEXT(SUMPRODUCT((YEAR($B$2:$B128)=YEAR($B128))*($B$2:$B128&lt;&gt;"")),"000"))</f>
        <v/>
      </c>
      <c r="B128" s="7" t="n"/>
      <c r="C128" s="8" t="n"/>
      <c r="D128" s="6">
        <f>IFERROR(VLOOKUP($C128,商品マスタ範囲,4,FALSE),"")</f>
        <v/>
      </c>
      <c r="E128" s="6">
        <f>IFERROR(VLOOKUP($C128,商品マスタ範囲,2,FALSE),"")</f>
        <v/>
      </c>
      <c r="F128" s="6">
        <f>IFERROR(VLOOKUP($C128,商品マスタ範囲,3,FALSE),"")</f>
        <v/>
      </c>
      <c r="G128" s="9">
        <f>IFERROR(VLOOKUP($C128,商品マスタ範囲,5,FALSE),"")</f>
        <v/>
      </c>
      <c r="H128" s="9" t="n"/>
      <c r="I128" s="7" t="n"/>
      <c r="J128" s="9">
        <f>IFERROR(VLOOKUP($C128,商品マスタ範囲,6,FALSE),"")</f>
        <v/>
      </c>
      <c r="K128" s="9" t="n"/>
      <c r="L128" s="7" t="n"/>
      <c r="M128" s="8" t="n"/>
      <c r="N128" s="6" t="n"/>
      <c r="O128" s="6" t="n"/>
      <c r="P128" s="6" t="n"/>
    </row>
    <row r="129">
      <c r="A129" s="6">
        <f>IF($B129="","",TEXT(YEAR($B129),"0000")&amp;"-"&amp;TEXT(SUMPRODUCT((YEAR($B$2:$B129)=YEAR($B129))*($B$2:$B129&lt;&gt;"")),"000"))</f>
        <v/>
      </c>
      <c r="B129" s="7" t="n"/>
      <c r="C129" s="8" t="n"/>
      <c r="D129" s="6">
        <f>IFERROR(VLOOKUP($C129,商品マスタ範囲,4,FALSE),"")</f>
        <v/>
      </c>
      <c r="E129" s="6">
        <f>IFERROR(VLOOKUP($C129,商品マスタ範囲,2,FALSE),"")</f>
        <v/>
      </c>
      <c r="F129" s="6">
        <f>IFERROR(VLOOKUP($C129,商品マスタ範囲,3,FALSE),"")</f>
        <v/>
      </c>
      <c r="G129" s="9">
        <f>IFERROR(VLOOKUP($C129,商品マスタ範囲,5,FALSE),"")</f>
        <v/>
      </c>
      <c r="H129" s="9" t="n"/>
      <c r="I129" s="7" t="n"/>
      <c r="J129" s="9">
        <f>IFERROR(VLOOKUP($C129,商品マスタ範囲,6,FALSE),"")</f>
        <v/>
      </c>
      <c r="K129" s="9" t="n"/>
      <c r="L129" s="7" t="n"/>
      <c r="M129" s="8" t="n"/>
      <c r="N129" s="6" t="n"/>
      <c r="O129" s="6" t="n"/>
      <c r="P129" s="6" t="n"/>
    </row>
    <row r="130">
      <c r="A130" s="6">
        <f>IF($B130="","",TEXT(YEAR($B130),"0000")&amp;"-"&amp;TEXT(SUMPRODUCT((YEAR($B$2:$B130)=YEAR($B130))*($B$2:$B130&lt;&gt;"")),"000"))</f>
        <v/>
      </c>
      <c r="B130" s="7" t="n"/>
      <c r="C130" s="8" t="n"/>
      <c r="D130" s="6">
        <f>IFERROR(VLOOKUP($C130,商品マスタ範囲,4,FALSE),"")</f>
        <v/>
      </c>
      <c r="E130" s="6">
        <f>IFERROR(VLOOKUP($C130,商品マスタ範囲,2,FALSE),"")</f>
        <v/>
      </c>
      <c r="F130" s="6">
        <f>IFERROR(VLOOKUP($C130,商品マスタ範囲,3,FALSE),"")</f>
        <v/>
      </c>
      <c r="G130" s="9">
        <f>IFERROR(VLOOKUP($C130,商品マスタ範囲,5,FALSE),"")</f>
        <v/>
      </c>
      <c r="H130" s="9" t="n"/>
      <c r="I130" s="7" t="n"/>
      <c r="J130" s="9">
        <f>IFERROR(VLOOKUP($C130,商品マスタ範囲,6,FALSE),"")</f>
        <v/>
      </c>
      <c r="K130" s="9" t="n"/>
      <c r="L130" s="7" t="n"/>
      <c r="M130" s="8" t="n"/>
      <c r="N130" s="6" t="n"/>
      <c r="O130" s="6" t="n"/>
      <c r="P130" s="6" t="n"/>
    </row>
    <row r="131">
      <c r="A131" s="6">
        <f>IF($B131="","",TEXT(YEAR($B131),"0000")&amp;"-"&amp;TEXT(SUMPRODUCT((YEAR($B$2:$B131)=YEAR($B131))*($B$2:$B131&lt;&gt;"")),"000"))</f>
        <v/>
      </c>
      <c r="B131" s="7" t="n"/>
      <c r="C131" s="8" t="n"/>
      <c r="D131" s="6">
        <f>IFERROR(VLOOKUP($C131,商品マスタ範囲,4,FALSE),"")</f>
        <v/>
      </c>
      <c r="E131" s="6">
        <f>IFERROR(VLOOKUP($C131,商品マスタ範囲,2,FALSE),"")</f>
        <v/>
      </c>
      <c r="F131" s="6">
        <f>IFERROR(VLOOKUP($C131,商品マスタ範囲,3,FALSE),"")</f>
        <v/>
      </c>
      <c r="G131" s="9">
        <f>IFERROR(VLOOKUP($C131,商品マスタ範囲,5,FALSE),"")</f>
        <v/>
      </c>
      <c r="H131" s="9" t="n"/>
      <c r="I131" s="7" t="n"/>
      <c r="J131" s="9">
        <f>IFERROR(VLOOKUP($C131,商品マスタ範囲,6,FALSE),"")</f>
        <v/>
      </c>
      <c r="K131" s="9" t="n"/>
      <c r="L131" s="7" t="n"/>
      <c r="M131" s="8" t="n"/>
      <c r="N131" s="6" t="n"/>
      <c r="O131" s="6" t="n"/>
      <c r="P131" s="6" t="n"/>
    </row>
    <row r="132">
      <c r="A132" s="6">
        <f>IF($B132="","",TEXT(YEAR($B132),"0000")&amp;"-"&amp;TEXT(SUMPRODUCT((YEAR($B$2:$B132)=YEAR($B132))*($B$2:$B132&lt;&gt;"")),"000"))</f>
        <v/>
      </c>
      <c r="B132" s="7" t="n"/>
      <c r="C132" s="8" t="n"/>
      <c r="D132" s="6">
        <f>IFERROR(VLOOKUP($C132,商品マスタ範囲,4,FALSE),"")</f>
        <v/>
      </c>
      <c r="E132" s="6">
        <f>IFERROR(VLOOKUP($C132,商品マスタ範囲,2,FALSE),"")</f>
        <v/>
      </c>
      <c r="F132" s="6">
        <f>IFERROR(VLOOKUP($C132,商品マスタ範囲,3,FALSE),"")</f>
        <v/>
      </c>
      <c r="G132" s="9">
        <f>IFERROR(VLOOKUP($C132,商品マスタ範囲,5,FALSE),"")</f>
        <v/>
      </c>
      <c r="H132" s="9" t="n"/>
      <c r="I132" s="7" t="n"/>
      <c r="J132" s="9">
        <f>IFERROR(VLOOKUP($C132,商品マスタ範囲,6,FALSE),"")</f>
        <v/>
      </c>
      <c r="K132" s="9" t="n"/>
      <c r="L132" s="7" t="n"/>
      <c r="M132" s="8" t="n"/>
      <c r="N132" s="6" t="n"/>
      <c r="O132" s="6" t="n"/>
      <c r="P132" s="6" t="n"/>
    </row>
    <row r="133">
      <c r="A133" s="6">
        <f>IF($B133="","",TEXT(YEAR($B133),"0000")&amp;"-"&amp;TEXT(SUMPRODUCT((YEAR($B$2:$B133)=YEAR($B133))*($B$2:$B133&lt;&gt;"")),"000"))</f>
        <v/>
      </c>
      <c r="B133" s="7" t="n"/>
      <c r="C133" s="8" t="n"/>
      <c r="D133" s="6">
        <f>IFERROR(VLOOKUP($C133,商品マスタ範囲,4,FALSE),"")</f>
        <v/>
      </c>
      <c r="E133" s="6">
        <f>IFERROR(VLOOKUP($C133,商品マスタ範囲,2,FALSE),"")</f>
        <v/>
      </c>
      <c r="F133" s="6">
        <f>IFERROR(VLOOKUP($C133,商品マスタ範囲,3,FALSE),"")</f>
        <v/>
      </c>
      <c r="G133" s="9">
        <f>IFERROR(VLOOKUP($C133,商品マスタ範囲,5,FALSE),"")</f>
        <v/>
      </c>
      <c r="H133" s="9" t="n"/>
      <c r="I133" s="7" t="n"/>
      <c r="J133" s="9">
        <f>IFERROR(VLOOKUP($C133,商品マスタ範囲,6,FALSE),"")</f>
        <v/>
      </c>
      <c r="K133" s="9" t="n"/>
      <c r="L133" s="7" t="n"/>
      <c r="M133" s="8" t="n"/>
      <c r="N133" s="6" t="n"/>
      <c r="O133" s="6" t="n"/>
      <c r="P133" s="6" t="n"/>
    </row>
    <row r="134">
      <c r="A134" s="6">
        <f>IF($B134="","",TEXT(YEAR($B134),"0000")&amp;"-"&amp;TEXT(SUMPRODUCT((YEAR($B$2:$B134)=YEAR($B134))*($B$2:$B134&lt;&gt;"")),"000"))</f>
        <v/>
      </c>
      <c r="B134" s="7" t="n"/>
      <c r="C134" s="8" t="n"/>
      <c r="D134" s="6">
        <f>IFERROR(VLOOKUP($C134,商品マスタ範囲,4,FALSE),"")</f>
        <v/>
      </c>
      <c r="E134" s="6">
        <f>IFERROR(VLOOKUP($C134,商品マスタ範囲,2,FALSE),"")</f>
        <v/>
      </c>
      <c r="F134" s="6">
        <f>IFERROR(VLOOKUP($C134,商品マスタ範囲,3,FALSE),"")</f>
        <v/>
      </c>
      <c r="G134" s="9">
        <f>IFERROR(VLOOKUP($C134,商品マスタ範囲,5,FALSE),"")</f>
        <v/>
      </c>
      <c r="H134" s="9" t="n"/>
      <c r="I134" s="7" t="n"/>
      <c r="J134" s="9">
        <f>IFERROR(VLOOKUP($C134,商品マスタ範囲,6,FALSE),"")</f>
        <v/>
      </c>
      <c r="K134" s="9" t="n"/>
      <c r="L134" s="7" t="n"/>
      <c r="M134" s="8" t="n"/>
      <c r="N134" s="6" t="n"/>
      <c r="O134" s="6" t="n"/>
      <c r="P134" s="6" t="n"/>
    </row>
    <row r="135">
      <c r="A135" s="6">
        <f>IF($B135="","",TEXT(YEAR($B135),"0000")&amp;"-"&amp;TEXT(SUMPRODUCT((YEAR($B$2:$B135)=YEAR($B135))*($B$2:$B135&lt;&gt;"")),"000"))</f>
        <v/>
      </c>
      <c r="B135" s="7" t="n"/>
      <c r="C135" s="8" t="n"/>
      <c r="D135" s="6">
        <f>IFERROR(VLOOKUP($C135,商品マスタ範囲,4,FALSE),"")</f>
        <v/>
      </c>
      <c r="E135" s="6">
        <f>IFERROR(VLOOKUP($C135,商品マスタ範囲,2,FALSE),"")</f>
        <v/>
      </c>
      <c r="F135" s="6">
        <f>IFERROR(VLOOKUP($C135,商品マスタ範囲,3,FALSE),"")</f>
        <v/>
      </c>
      <c r="G135" s="9">
        <f>IFERROR(VLOOKUP($C135,商品マスタ範囲,5,FALSE),"")</f>
        <v/>
      </c>
      <c r="H135" s="9" t="n"/>
      <c r="I135" s="7" t="n"/>
      <c r="J135" s="9">
        <f>IFERROR(VLOOKUP($C135,商品マスタ範囲,6,FALSE),"")</f>
        <v/>
      </c>
      <c r="K135" s="9" t="n"/>
      <c r="L135" s="7" t="n"/>
      <c r="M135" s="8" t="n"/>
      <c r="N135" s="6" t="n"/>
      <c r="O135" s="6" t="n"/>
      <c r="P135" s="6" t="n"/>
    </row>
    <row r="136">
      <c r="A136" s="6">
        <f>IF($B136="","",TEXT(YEAR($B136),"0000")&amp;"-"&amp;TEXT(SUMPRODUCT((YEAR($B$2:$B136)=YEAR($B136))*($B$2:$B136&lt;&gt;"")),"000"))</f>
        <v/>
      </c>
      <c r="B136" s="7" t="n"/>
      <c r="C136" s="8" t="n"/>
      <c r="D136" s="6">
        <f>IFERROR(VLOOKUP($C136,商品マスタ範囲,4,FALSE),"")</f>
        <v/>
      </c>
      <c r="E136" s="6">
        <f>IFERROR(VLOOKUP($C136,商品マスタ範囲,2,FALSE),"")</f>
        <v/>
      </c>
      <c r="F136" s="6">
        <f>IFERROR(VLOOKUP($C136,商品マスタ範囲,3,FALSE),"")</f>
        <v/>
      </c>
      <c r="G136" s="9">
        <f>IFERROR(VLOOKUP($C136,商品マスタ範囲,5,FALSE),"")</f>
        <v/>
      </c>
      <c r="H136" s="9" t="n"/>
      <c r="I136" s="7" t="n"/>
      <c r="J136" s="9">
        <f>IFERROR(VLOOKUP($C136,商品マスタ範囲,6,FALSE),"")</f>
        <v/>
      </c>
      <c r="K136" s="9" t="n"/>
      <c r="L136" s="7" t="n"/>
      <c r="M136" s="8" t="n"/>
      <c r="N136" s="6" t="n"/>
      <c r="O136" s="6" t="n"/>
      <c r="P136" s="6" t="n"/>
    </row>
    <row r="137">
      <c r="A137" s="6">
        <f>IF($B137="","",TEXT(YEAR($B137),"0000")&amp;"-"&amp;TEXT(SUMPRODUCT((YEAR($B$2:$B137)=YEAR($B137))*($B$2:$B137&lt;&gt;"")),"000"))</f>
        <v/>
      </c>
      <c r="B137" s="7" t="n"/>
      <c r="C137" s="8" t="n"/>
      <c r="D137" s="6">
        <f>IFERROR(VLOOKUP($C137,商品マスタ範囲,4,FALSE),"")</f>
        <v/>
      </c>
      <c r="E137" s="6">
        <f>IFERROR(VLOOKUP($C137,商品マスタ範囲,2,FALSE),"")</f>
        <v/>
      </c>
      <c r="F137" s="6">
        <f>IFERROR(VLOOKUP($C137,商品マスタ範囲,3,FALSE),"")</f>
        <v/>
      </c>
      <c r="G137" s="9">
        <f>IFERROR(VLOOKUP($C137,商品マスタ範囲,5,FALSE),"")</f>
        <v/>
      </c>
      <c r="H137" s="9" t="n"/>
      <c r="I137" s="7" t="n"/>
      <c r="J137" s="9">
        <f>IFERROR(VLOOKUP($C137,商品マスタ範囲,6,FALSE),"")</f>
        <v/>
      </c>
      <c r="K137" s="9" t="n"/>
      <c r="L137" s="7" t="n"/>
      <c r="M137" s="8" t="n"/>
      <c r="N137" s="6" t="n"/>
      <c r="O137" s="6" t="n"/>
      <c r="P137" s="6" t="n"/>
    </row>
    <row r="138">
      <c r="A138" s="6">
        <f>IF($B138="","",TEXT(YEAR($B138),"0000")&amp;"-"&amp;TEXT(SUMPRODUCT((YEAR($B$2:$B138)=YEAR($B138))*($B$2:$B138&lt;&gt;"")),"000"))</f>
        <v/>
      </c>
      <c r="B138" s="7" t="n"/>
      <c r="C138" s="8" t="n"/>
      <c r="D138" s="6">
        <f>IFERROR(VLOOKUP($C138,商品マスタ範囲,4,FALSE),"")</f>
        <v/>
      </c>
      <c r="E138" s="6">
        <f>IFERROR(VLOOKUP($C138,商品マスタ範囲,2,FALSE),"")</f>
        <v/>
      </c>
      <c r="F138" s="6">
        <f>IFERROR(VLOOKUP($C138,商品マスタ範囲,3,FALSE),"")</f>
        <v/>
      </c>
      <c r="G138" s="9">
        <f>IFERROR(VLOOKUP($C138,商品マスタ範囲,5,FALSE),"")</f>
        <v/>
      </c>
      <c r="H138" s="9" t="n"/>
      <c r="I138" s="7" t="n"/>
      <c r="J138" s="9">
        <f>IFERROR(VLOOKUP($C138,商品マスタ範囲,6,FALSE),"")</f>
        <v/>
      </c>
      <c r="K138" s="9" t="n"/>
      <c r="L138" s="7" t="n"/>
      <c r="M138" s="8" t="n"/>
      <c r="N138" s="6" t="n"/>
      <c r="O138" s="6" t="n"/>
      <c r="P138" s="6" t="n"/>
    </row>
    <row r="139">
      <c r="A139" s="6">
        <f>IF($B139="","",TEXT(YEAR($B139),"0000")&amp;"-"&amp;TEXT(SUMPRODUCT((YEAR($B$2:$B139)=YEAR($B139))*($B$2:$B139&lt;&gt;"")),"000"))</f>
        <v/>
      </c>
      <c r="B139" s="7" t="n"/>
      <c r="C139" s="8" t="n"/>
      <c r="D139" s="6">
        <f>IFERROR(VLOOKUP($C139,商品マスタ範囲,4,FALSE),"")</f>
        <v/>
      </c>
      <c r="E139" s="6">
        <f>IFERROR(VLOOKUP($C139,商品マスタ範囲,2,FALSE),"")</f>
        <v/>
      </c>
      <c r="F139" s="6">
        <f>IFERROR(VLOOKUP($C139,商品マスタ範囲,3,FALSE),"")</f>
        <v/>
      </c>
      <c r="G139" s="9">
        <f>IFERROR(VLOOKUP($C139,商品マスタ範囲,5,FALSE),"")</f>
        <v/>
      </c>
      <c r="H139" s="9" t="n"/>
      <c r="I139" s="7" t="n"/>
      <c r="J139" s="9">
        <f>IFERROR(VLOOKUP($C139,商品マスタ範囲,6,FALSE),"")</f>
        <v/>
      </c>
      <c r="K139" s="9" t="n"/>
      <c r="L139" s="7" t="n"/>
      <c r="M139" s="8" t="n"/>
      <c r="N139" s="6" t="n"/>
      <c r="O139" s="6" t="n"/>
      <c r="P139" s="6" t="n"/>
    </row>
    <row r="140">
      <c r="A140" s="6">
        <f>IF($B140="","",TEXT(YEAR($B140),"0000")&amp;"-"&amp;TEXT(SUMPRODUCT((YEAR($B$2:$B140)=YEAR($B140))*($B$2:$B140&lt;&gt;"")),"000"))</f>
        <v/>
      </c>
      <c r="B140" s="7" t="n"/>
      <c r="C140" s="8" t="n"/>
      <c r="D140" s="6">
        <f>IFERROR(VLOOKUP($C140,商品マスタ範囲,4,FALSE),"")</f>
        <v/>
      </c>
      <c r="E140" s="6">
        <f>IFERROR(VLOOKUP($C140,商品マスタ範囲,2,FALSE),"")</f>
        <v/>
      </c>
      <c r="F140" s="6">
        <f>IFERROR(VLOOKUP($C140,商品マスタ範囲,3,FALSE),"")</f>
        <v/>
      </c>
      <c r="G140" s="9">
        <f>IFERROR(VLOOKUP($C140,商品マスタ範囲,5,FALSE),"")</f>
        <v/>
      </c>
      <c r="H140" s="9" t="n"/>
      <c r="I140" s="7" t="n"/>
      <c r="J140" s="9">
        <f>IFERROR(VLOOKUP($C140,商品マスタ範囲,6,FALSE),"")</f>
        <v/>
      </c>
      <c r="K140" s="9" t="n"/>
      <c r="L140" s="7" t="n"/>
      <c r="M140" s="8" t="n"/>
      <c r="N140" s="6" t="n"/>
      <c r="O140" s="6" t="n"/>
      <c r="P140" s="6" t="n"/>
    </row>
    <row r="141">
      <c r="A141" s="6">
        <f>IF($B141="","",TEXT(YEAR($B141),"0000")&amp;"-"&amp;TEXT(SUMPRODUCT((YEAR($B$2:$B141)=YEAR($B141))*($B$2:$B141&lt;&gt;"")),"000"))</f>
        <v/>
      </c>
      <c r="B141" s="7" t="n"/>
      <c r="C141" s="8" t="n"/>
      <c r="D141" s="6">
        <f>IFERROR(VLOOKUP($C141,商品マスタ範囲,4,FALSE),"")</f>
        <v/>
      </c>
      <c r="E141" s="6">
        <f>IFERROR(VLOOKUP($C141,商品マスタ範囲,2,FALSE),"")</f>
        <v/>
      </c>
      <c r="F141" s="6">
        <f>IFERROR(VLOOKUP($C141,商品マスタ範囲,3,FALSE),"")</f>
        <v/>
      </c>
      <c r="G141" s="9">
        <f>IFERROR(VLOOKUP($C141,商品マスタ範囲,5,FALSE),"")</f>
        <v/>
      </c>
      <c r="H141" s="9" t="n"/>
      <c r="I141" s="7" t="n"/>
      <c r="J141" s="9">
        <f>IFERROR(VLOOKUP($C141,商品マスタ範囲,6,FALSE),"")</f>
        <v/>
      </c>
      <c r="K141" s="9" t="n"/>
      <c r="L141" s="7" t="n"/>
      <c r="M141" s="8" t="n"/>
      <c r="N141" s="6" t="n"/>
      <c r="O141" s="6" t="n"/>
      <c r="P141" s="6" t="n"/>
    </row>
    <row r="142">
      <c r="A142" s="6">
        <f>IF($B142="","",TEXT(YEAR($B142),"0000")&amp;"-"&amp;TEXT(SUMPRODUCT((YEAR($B$2:$B142)=YEAR($B142))*($B$2:$B142&lt;&gt;"")),"000"))</f>
        <v/>
      </c>
      <c r="B142" s="7" t="n"/>
      <c r="C142" s="8" t="n"/>
      <c r="D142" s="6">
        <f>IFERROR(VLOOKUP($C142,商品マスタ範囲,4,FALSE),"")</f>
        <v/>
      </c>
      <c r="E142" s="6">
        <f>IFERROR(VLOOKUP($C142,商品マスタ範囲,2,FALSE),"")</f>
        <v/>
      </c>
      <c r="F142" s="6">
        <f>IFERROR(VLOOKUP($C142,商品マスタ範囲,3,FALSE),"")</f>
        <v/>
      </c>
      <c r="G142" s="9">
        <f>IFERROR(VLOOKUP($C142,商品マスタ範囲,5,FALSE),"")</f>
        <v/>
      </c>
      <c r="H142" s="9" t="n"/>
      <c r="I142" s="7" t="n"/>
      <c r="J142" s="9">
        <f>IFERROR(VLOOKUP($C142,商品マスタ範囲,6,FALSE),"")</f>
        <v/>
      </c>
      <c r="K142" s="9" t="n"/>
      <c r="L142" s="7" t="n"/>
      <c r="M142" s="8" t="n"/>
      <c r="N142" s="6" t="n"/>
      <c r="O142" s="6" t="n"/>
      <c r="P142" s="6" t="n"/>
    </row>
    <row r="143">
      <c r="A143" s="6">
        <f>IF($B143="","",TEXT(YEAR($B143),"0000")&amp;"-"&amp;TEXT(SUMPRODUCT((YEAR($B$2:$B143)=YEAR($B143))*($B$2:$B143&lt;&gt;"")),"000"))</f>
        <v/>
      </c>
      <c r="B143" s="7" t="n"/>
      <c r="C143" s="8" t="n"/>
      <c r="D143" s="6">
        <f>IFERROR(VLOOKUP($C143,商品マスタ範囲,4,FALSE),"")</f>
        <v/>
      </c>
      <c r="E143" s="6">
        <f>IFERROR(VLOOKUP($C143,商品マスタ範囲,2,FALSE),"")</f>
        <v/>
      </c>
      <c r="F143" s="6">
        <f>IFERROR(VLOOKUP($C143,商品マスタ範囲,3,FALSE),"")</f>
        <v/>
      </c>
      <c r="G143" s="9">
        <f>IFERROR(VLOOKUP($C143,商品マスタ範囲,5,FALSE),"")</f>
        <v/>
      </c>
      <c r="H143" s="9" t="n"/>
      <c r="I143" s="7" t="n"/>
      <c r="J143" s="9">
        <f>IFERROR(VLOOKUP($C143,商品マスタ範囲,6,FALSE),"")</f>
        <v/>
      </c>
      <c r="K143" s="9" t="n"/>
      <c r="L143" s="7" t="n"/>
      <c r="M143" s="8" t="n"/>
      <c r="N143" s="6" t="n"/>
      <c r="O143" s="6" t="n"/>
      <c r="P143" s="6" t="n"/>
    </row>
    <row r="144">
      <c r="A144" s="6">
        <f>IF($B144="","",TEXT(YEAR($B144),"0000")&amp;"-"&amp;TEXT(SUMPRODUCT((YEAR($B$2:$B144)=YEAR($B144))*($B$2:$B144&lt;&gt;"")),"000"))</f>
        <v/>
      </c>
      <c r="B144" s="7" t="n"/>
      <c r="C144" s="8" t="n"/>
      <c r="D144" s="6">
        <f>IFERROR(VLOOKUP($C144,商品マスタ範囲,4,FALSE),"")</f>
        <v/>
      </c>
      <c r="E144" s="6">
        <f>IFERROR(VLOOKUP($C144,商品マスタ範囲,2,FALSE),"")</f>
        <v/>
      </c>
      <c r="F144" s="6">
        <f>IFERROR(VLOOKUP($C144,商品マスタ範囲,3,FALSE),"")</f>
        <v/>
      </c>
      <c r="G144" s="9">
        <f>IFERROR(VLOOKUP($C144,商品マスタ範囲,5,FALSE),"")</f>
        <v/>
      </c>
      <c r="H144" s="9" t="n"/>
      <c r="I144" s="7" t="n"/>
      <c r="J144" s="9">
        <f>IFERROR(VLOOKUP($C144,商品マスタ範囲,6,FALSE),"")</f>
        <v/>
      </c>
      <c r="K144" s="9" t="n"/>
      <c r="L144" s="7" t="n"/>
      <c r="M144" s="8" t="n"/>
      <c r="N144" s="6" t="n"/>
      <c r="O144" s="6" t="n"/>
      <c r="P144" s="6" t="n"/>
    </row>
    <row r="145">
      <c r="A145" s="6">
        <f>IF($B145="","",TEXT(YEAR($B145),"0000")&amp;"-"&amp;TEXT(SUMPRODUCT((YEAR($B$2:$B145)=YEAR($B145))*($B$2:$B145&lt;&gt;"")),"000"))</f>
        <v/>
      </c>
      <c r="B145" s="7" t="n"/>
      <c r="C145" s="8" t="n"/>
      <c r="D145" s="6">
        <f>IFERROR(VLOOKUP($C145,商品マスタ範囲,4,FALSE),"")</f>
        <v/>
      </c>
      <c r="E145" s="6">
        <f>IFERROR(VLOOKUP($C145,商品マスタ範囲,2,FALSE),"")</f>
        <v/>
      </c>
      <c r="F145" s="6">
        <f>IFERROR(VLOOKUP($C145,商品マスタ範囲,3,FALSE),"")</f>
        <v/>
      </c>
      <c r="G145" s="9">
        <f>IFERROR(VLOOKUP($C145,商品マスタ範囲,5,FALSE),"")</f>
        <v/>
      </c>
      <c r="H145" s="9" t="n"/>
      <c r="I145" s="7" t="n"/>
      <c r="J145" s="9">
        <f>IFERROR(VLOOKUP($C145,商品マスタ範囲,6,FALSE),"")</f>
        <v/>
      </c>
      <c r="K145" s="9" t="n"/>
      <c r="L145" s="7" t="n"/>
      <c r="M145" s="8" t="n"/>
      <c r="N145" s="6" t="n"/>
      <c r="O145" s="6" t="n"/>
      <c r="P145" s="6" t="n"/>
    </row>
    <row r="146">
      <c r="A146" s="6">
        <f>IF($B146="","",TEXT(YEAR($B146),"0000")&amp;"-"&amp;TEXT(SUMPRODUCT((YEAR($B$2:$B146)=YEAR($B146))*($B$2:$B146&lt;&gt;"")),"000"))</f>
        <v/>
      </c>
      <c r="B146" s="7" t="n"/>
      <c r="C146" s="8" t="n"/>
      <c r="D146" s="6">
        <f>IFERROR(VLOOKUP($C146,商品マスタ範囲,4,FALSE),"")</f>
        <v/>
      </c>
      <c r="E146" s="6">
        <f>IFERROR(VLOOKUP($C146,商品マスタ範囲,2,FALSE),"")</f>
        <v/>
      </c>
      <c r="F146" s="6">
        <f>IFERROR(VLOOKUP($C146,商品マスタ範囲,3,FALSE),"")</f>
        <v/>
      </c>
      <c r="G146" s="9">
        <f>IFERROR(VLOOKUP($C146,商品マスタ範囲,5,FALSE),"")</f>
        <v/>
      </c>
      <c r="H146" s="9" t="n"/>
      <c r="I146" s="7" t="n"/>
      <c r="J146" s="9">
        <f>IFERROR(VLOOKUP($C146,商品マスタ範囲,6,FALSE),"")</f>
        <v/>
      </c>
      <c r="K146" s="9" t="n"/>
      <c r="L146" s="7" t="n"/>
      <c r="M146" s="8" t="n"/>
      <c r="N146" s="6" t="n"/>
      <c r="O146" s="6" t="n"/>
      <c r="P146" s="6" t="n"/>
    </row>
    <row r="147">
      <c r="A147" s="6">
        <f>IF($B147="","",TEXT(YEAR($B147),"0000")&amp;"-"&amp;TEXT(SUMPRODUCT((YEAR($B$2:$B147)=YEAR($B147))*($B$2:$B147&lt;&gt;"")),"000"))</f>
        <v/>
      </c>
      <c r="B147" s="7" t="n"/>
      <c r="C147" s="8" t="n"/>
      <c r="D147" s="6">
        <f>IFERROR(VLOOKUP($C147,商品マスタ範囲,4,FALSE),"")</f>
        <v/>
      </c>
      <c r="E147" s="6">
        <f>IFERROR(VLOOKUP($C147,商品マスタ範囲,2,FALSE),"")</f>
        <v/>
      </c>
      <c r="F147" s="6">
        <f>IFERROR(VLOOKUP($C147,商品マスタ範囲,3,FALSE),"")</f>
        <v/>
      </c>
      <c r="G147" s="9">
        <f>IFERROR(VLOOKUP($C147,商品マスタ範囲,5,FALSE),"")</f>
        <v/>
      </c>
      <c r="H147" s="9" t="n"/>
      <c r="I147" s="7" t="n"/>
      <c r="J147" s="9">
        <f>IFERROR(VLOOKUP($C147,商品マスタ範囲,6,FALSE),"")</f>
        <v/>
      </c>
      <c r="K147" s="9" t="n"/>
      <c r="L147" s="7" t="n"/>
      <c r="M147" s="8" t="n"/>
      <c r="N147" s="6" t="n"/>
      <c r="O147" s="6" t="n"/>
      <c r="P147" s="6" t="n"/>
    </row>
    <row r="148">
      <c r="A148" s="6">
        <f>IF($B148="","",TEXT(YEAR($B148),"0000")&amp;"-"&amp;TEXT(SUMPRODUCT((YEAR($B$2:$B148)=YEAR($B148))*($B$2:$B148&lt;&gt;"")),"000"))</f>
        <v/>
      </c>
      <c r="B148" s="7" t="n"/>
      <c r="C148" s="8" t="n"/>
      <c r="D148" s="6">
        <f>IFERROR(VLOOKUP($C148,商品マスタ範囲,4,FALSE),"")</f>
        <v/>
      </c>
      <c r="E148" s="6">
        <f>IFERROR(VLOOKUP($C148,商品マスタ範囲,2,FALSE),"")</f>
        <v/>
      </c>
      <c r="F148" s="6">
        <f>IFERROR(VLOOKUP($C148,商品マスタ範囲,3,FALSE),"")</f>
        <v/>
      </c>
      <c r="G148" s="9">
        <f>IFERROR(VLOOKUP($C148,商品マスタ範囲,5,FALSE),"")</f>
        <v/>
      </c>
      <c r="H148" s="9" t="n"/>
      <c r="I148" s="7" t="n"/>
      <c r="J148" s="9">
        <f>IFERROR(VLOOKUP($C148,商品マスタ範囲,6,FALSE),"")</f>
        <v/>
      </c>
      <c r="K148" s="9" t="n"/>
      <c r="L148" s="7" t="n"/>
      <c r="M148" s="8" t="n"/>
      <c r="N148" s="6" t="n"/>
      <c r="O148" s="6" t="n"/>
      <c r="P148" s="6" t="n"/>
    </row>
    <row r="149">
      <c r="A149" s="6">
        <f>IF($B149="","",TEXT(YEAR($B149),"0000")&amp;"-"&amp;TEXT(SUMPRODUCT((YEAR($B$2:$B149)=YEAR($B149))*($B$2:$B149&lt;&gt;"")),"000"))</f>
        <v/>
      </c>
      <c r="B149" s="7" t="n"/>
      <c r="C149" s="8" t="n"/>
      <c r="D149" s="6">
        <f>IFERROR(VLOOKUP($C149,商品マスタ範囲,4,FALSE),"")</f>
        <v/>
      </c>
      <c r="E149" s="6">
        <f>IFERROR(VLOOKUP($C149,商品マスタ範囲,2,FALSE),"")</f>
        <v/>
      </c>
      <c r="F149" s="6">
        <f>IFERROR(VLOOKUP($C149,商品マスタ範囲,3,FALSE),"")</f>
        <v/>
      </c>
      <c r="G149" s="9">
        <f>IFERROR(VLOOKUP($C149,商品マスタ範囲,5,FALSE),"")</f>
        <v/>
      </c>
      <c r="H149" s="9" t="n"/>
      <c r="I149" s="7" t="n"/>
      <c r="J149" s="9">
        <f>IFERROR(VLOOKUP($C149,商品マスタ範囲,6,FALSE),"")</f>
        <v/>
      </c>
      <c r="K149" s="9" t="n"/>
      <c r="L149" s="7" t="n"/>
      <c r="M149" s="8" t="n"/>
      <c r="N149" s="6" t="n"/>
      <c r="O149" s="6" t="n"/>
      <c r="P149" s="6" t="n"/>
    </row>
    <row r="150">
      <c r="A150" s="6">
        <f>IF($B150="","",TEXT(YEAR($B150),"0000")&amp;"-"&amp;TEXT(SUMPRODUCT((YEAR($B$2:$B150)=YEAR($B150))*($B$2:$B150&lt;&gt;"")),"000"))</f>
        <v/>
      </c>
      <c r="B150" s="7" t="n"/>
      <c r="C150" s="8" t="n"/>
      <c r="D150" s="6">
        <f>IFERROR(VLOOKUP($C150,商品マスタ範囲,4,FALSE),"")</f>
        <v/>
      </c>
      <c r="E150" s="6">
        <f>IFERROR(VLOOKUP($C150,商品マスタ範囲,2,FALSE),"")</f>
        <v/>
      </c>
      <c r="F150" s="6">
        <f>IFERROR(VLOOKUP($C150,商品マスタ範囲,3,FALSE),"")</f>
        <v/>
      </c>
      <c r="G150" s="9">
        <f>IFERROR(VLOOKUP($C150,商品マスタ範囲,5,FALSE),"")</f>
        <v/>
      </c>
      <c r="H150" s="9" t="n"/>
      <c r="I150" s="7" t="n"/>
      <c r="J150" s="9">
        <f>IFERROR(VLOOKUP($C150,商品マスタ範囲,6,FALSE),"")</f>
        <v/>
      </c>
      <c r="K150" s="9" t="n"/>
      <c r="L150" s="7" t="n"/>
      <c r="M150" s="8" t="n"/>
      <c r="N150" s="6" t="n"/>
      <c r="O150" s="6" t="n"/>
      <c r="P150" s="6" t="n"/>
    </row>
    <row r="151">
      <c r="A151" s="6">
        <f>IF($B151="","",TEXT(YEAR($B151),"0000")&amp;"-"&amp;TEXT(SUMPRODUCT((YEAR($B$2:$B151)=YEAR($B151))*($B$2:$B151&lt;&gt;"")),"000"))</f>
        <v/>
      </c>
      <c r="B151" s="7" t="n"/>
      <c r="C151" s="8" t="n"/>
      <c r="D151" s="6">
        <f>IFERROR(VLOOKUP($C151,商品マスタ範囲,4,FALSE),"")</f>
        <v/>
      </c>
      <c r="E151" s="6">
        <f>IFERROR(VLOOKUP($C151,商品マスタ範囲,2,FALSE),"")</f>
        <v/>
      </c>
      <c r="F151" s="6">
        <f>IFERROR(VLOOKUP($C151,商品マスタ範囲,3,FALSE),"")</f>
        <v/>
      </c>
      <c r="G151" s="9">
        <f>IFERROR(VLOOKUP($C151,商品マスタ範囲,5,FALSE),"")</f>
        <v/>
      </c>
      <c r="H151" s="9" t="n"/>
      <c r="I151" s="7" t="n"/>
      <c r="J151" s="9">
        <f>IFERROR(VLOOKUP($C151,商品マスタ範囲,6,FALSE),"")</f>
        <v/>
      </c>
      <c r="K151" s="9" t="n"/>
      <c r="L151" s="7" t="n"/>
      <c r="M151" s="8" t="n"/>
      <c r="N151" s="6" t="n"/>
      <c r="O151" s="6" t="n"/>
      <c r="P151" s="6" t="n"/>
    </row>
    <row r="152">
      <c r="A152" s="6">
        <f>IF($B152="","",TEXT(YEAR($B152),"0000")&amp;"-"&amp;TEXT(SUMPRODUCT((YEAR($B$2:$B152)=YEAR($B152))*($B$2:$B152&lt;&gt;"")),"000"))</f>
        <v/>
      </c>
      <c r="B152" s="7" t="n"/>
      <c r="C152" s="8" t="n"/>
      <c r="D152" s="6">
        <f>IFERROR(VLOOKUP($C152,商品マスタ範囲,4,FALSE),"")</f>
        <v/>
      </c>
      <c r="E152" s="6">
        <f>IFERROR(VLOOKUP($C152,商品マスタ範囲,2,FALSE),"")</f>
        <v/>
      </c>
      <c r="F152" s="6">
        <f>IFERROR(VLOOKUP($C152,商品マスタ範囲,3,FALSE),"")</f>
        <v/>
      </c>
      <c r="G152" s="9">
        <f>IFERROR(VLOOKUP($C152,商品マスタ範囲,5,FALSE),"")</f>
        <v/>
      </c>
      <c r="H152" s="9" t="n"/>
      <c r="I152" s="7" t="n"/>
      <c r="J152" s="9">
        <f>IFERROR(VLOOKUP($C152,商品マスタ範囲,6,FALSE),"")</f>
        <v/>
      </c>
      <c r="K152" s="9" t="n"/>
      <c r="L152" s="7" t="n"/>
      <c r="M152" s="8" t="n"/>
      <c r="N152" s="6" t="n"/>
      <c r="O152" s="6" t="n"/>
      <c r="P152" s="6" t="n"/>
    </row>
    <row r="153">
      <c r="A153" s="6">
        <f>IF($B153="","",TEXT(YEAR($B153),"0000")&amp;"-"&amp;TEXT(SUMPRODUCT((YEAR($B$2:$B153)=YEAR($B153))*($B$2:$B153&lt;&gt;"")),"000"))</f>
        <v/>
      </c>
      <c r="B153" s="7" t="n"/>
      <c r="C153" s="8" t="n"/>
      <c r="D153" s="6">
        <f>IFERROR(VLOOKUP($C153,商品マスタ範囲,4,FALSE),"")</f>
        <v/>
      </c>
      <c r="E153" s="6">
        <f>IFERROR(VLOOKUP($C153,商品マスタ範囲,2,FALSE),"")</f>
        <v/>
      </c>
      <c r="F153" s="6">
        <f>IFERROR(VLOOKUP($C153,商品マスタ範囲,3,FALSE),"")</f>
        <v/>
      </c>
      <c r="G153" s="9">
        <f>IFERROR(VLOOKUP($C153,商品マスタ範囲,5,FALSE),"")</f>
        <v/>
      </c>
      <c r="H153" s="9" t="n"/>
      <c r="I153" s="7" t="n"/>
      <c r="J153" s="9">
        <f>IFERROR(VLOOKUP($C153,商品マスタ範囲,6,FALSE),"")</f>
        <v/>
      </c>
      <c r="K153" s="9" t="n"/>
      <c r="L153" s="7" t="n"/>
      <c r="M153" s="8" t="n"/>
      <c r="N153" s="6" t="n"/>
      <c r="O153" s="6" t="n"/>
      <c r="P153" s="6" t="n"/>
    </row>
    <row r="154">
      <c r="A154" s="6">
        <f>IF($B154="","",TEXT(YEAR($B154),"0000")&amp;"-"&amp;TEXT(SUMPRODUCT((YEAR($B$2:$B154)=YEAR($B154))*($B$2:$B154&lt;&gt;"")),"000"))</f>
        <v/>
      </c>
      <c r="B154" s="7" t="n"/>
      <c r="C154" s="8" t="n"/>
      <c r="D154" s="6">
        <f>IFERROR(VLOOKUP($C154,商品マスタ範囲,4,FALSE),"")</f>
        <v/>
      </c>
      <c r="E154" s="6">
        <f>IFERROR(VLOOKUP($C154,商品マスタ範囲,2,FALSE),"")</f>
        <v/>
      </c>
      <c r="F154" s="6">
        <f>IFERROR(VLOOKUP($C154,商品マスタ範囲,3,FALSE),"")</f>
        <v/>
      </c>
      <c r="G154" s="9">
        <f>IFERROR(VLOOKUP($C154,商品マスタ範囲,5,FALSE),"")</f>
        <v/>
      </c>
      <c r="H154" s="9" t="n"/>
      <c r="I154" s="7" t="n"/>
      <c r="J154" s="9">
        <f>IFERROR(VLOOKUP($C154,商品マスタ範囲,6,FALSE),"")</f>
        <v/>
      </c>
      <c r="K154" s="9" t="n"/>
      <c r="L154" s="7" t="n"/>
      <c r="M154" s="8" t="n"/>
      <c r="N154" s="6" t="n"/>
      <c r="O154" s="6" t="n"/>
      <c r="P154" s="6" t="n"/>
    </row>
    <row r="155">
      <c r="A155" s="6">
        <f>IF($B155="","",TEXT(YEAR($B155),"0000")&amp;"-"&amp;TEXT(SUMPRODUCT((YEAR($B$2:$B155)=YEAR($B155))*($B$2:$B155&lt;&gt;"")),"000"))</f>
        <v/>
      </c>
      <c r="B155" s="7" t="n"/>
      <c r="C155" s="8" t="n"/>
      <c r="D155" s="6">
        <f>IFERROR(VLOOKUP($C155,商品マスタ範囲,4,FALSE),"")</f>
        <v/>
      </c>
      <c r="E155" s="6">
        <f>IFERROR(VLOOKUP($C155,商品マスタ範囲,2,FALSE),"")</f>
        <v/>
      </c>
      <c r="F155" s="6">
        <f>IFERROR(VLOOKUP($C155,商品マスタ範囲,3,FALSE),"")</f>
        <v/>
      </c>
      <c r="G155" s="9">
        <f>IFERROR(VLOOKUP($C155,商品マスタ範囲,5,FALSE),"")</f>
        <v/>
      </c>
      <c r="H155" s="9" t="n"/>
      <c r="I155" s="7" t="n"/>
      <c r="J155" s="9">
        <f>IFERROR(VLOOKUP($C155,商品マスタ範囲,6,FALSE),"")</f>
        <v/>
      </c>
      <c r="K155" s="9" t="n"/>
      <c r="L155" s="7" t="n"/>
      <c r="M155" s="8" t="n"/>
      <c r="N155" s="6" t="n"/>
      <c r="O155" s="6" t="n"/>
      <c r="P155" s="6" t="n"/>
    </row>
    <row r="156">
      <c r="A156" s="6">
        <f>IF($B156="","",TEXT(YEAR($B156),"0000")&amp;"-"&amp;TEXT(SUMPRODUCT((YEAR($B$2:$B156)=YEAR($B156))*($B$2:$B156&lt;&gt;"")),"000"))</f>
        <v/>
      </c>
      <c r="B156" s="7" t="n"/>
      <c r="C156" s="8" t="n"/>
      <c r="D156" s="6">
        <f>IFERROR(VLOOKUP($C156,商品マスタ範囲,4,FALSE),"")</f>
        <v/>
      </c>
      <c r="E156" s="6">
        <f>IFERROR(VLOOKUP($C156,商品マスタ範囲,2,FALSE),"")</f>
        <v/>
      </c>
      <c r="F156" s="6">
        <f>IFERROR(VLOOKUP($C156,商品マスタ範囲,3,FALSE),"")</f>
        <v/>
      </c>
      <c r="G156" s="9">
        <f>IFERROR(VLOOKUP($C156,商品マスタ範囲,5,FALSE),"")</f>
        <v/>
      </c>
      <c r="H156" s="9" t="n"/>
      <c r="I156" s="7" t="n"/>
      <c r="J156" s="9">
        <f>IFERROR(VLOOKUP($C156,商品マスタ範囲,6,FALSE),"")</f>
        <v/>
      </c>
      <c r="K156" s="9" t="n"/>
      <c r="L156" s="7" t="n"/>
      <c r="M156" s="8" t="n"/>
      <c r="N156" s="6" t="n"/>
      <c r="O156" s="6" t="n"/>
      <c r="P156" s="6" t="n"/>
    </row>
    <row r="157">
      <c r="A157" s="6">
        <f>IF($B157="","",TEXT(YEAR($B157),"0000")&amp;"-"&amp;TEXT(SUMPRODUCT((YEAR($B$2:$B157)=YEAR($B157))*($B$2:$B157&lt;&gt;"")),"000"))</f>
        <v/>
      </c>
      <c r="B157" s="7" t="n"/>
      <c r="C157" s="8" t="n"/>
      <c r="D157" s="6">
        <f>IFERROR(VLOOKUP($C157,商品マスタ範囲,4,FALSE),"")</f>
        <v/>
      </c>
      <c r="E157" s="6">
        <f>IFERROR(VLOOKUP($C157,商品マスタ範囲,2,FALSE),"")</f>
        <v/>
      </c>
      <c r="F157" s="6">
        <f>IFERROR(VLOOKUP($C157,商品マスタ範囲,3,FALSE),"")</f>
        <v/>
      </c>
      <c r="G157" s="9">
        <f>IFERROR(VLOOKUP($C157,商品マスタ範囲,5,FALSE),"")</f>
        <v/>
      </c>
      <c r="H157" s="9" t="n"/>
      <c r="I157" s="7" t="n"/>
      <c r="J157" s="9">
        <f>IFERROR(VLOOKUP($C157,商品マスタ範囲,6,FALSE),"")</f>
        <v/>
      </c>
      <c r="K157" s="9" t="n"/>
      <c r="L157" s="7" t="n"/>
      <c r="M157" s="8" t="n"/>
      <c r="N157" s="6" t="n"/>
      <c r="O157" s="6" t="n"/>
      <c r="P157" s="6" t="n"/>
    </row>
    <row r="158">
      <c r="A158" s="6">
        <f>IF($B158="","",TEXT(YEAR($B158),"0000")&amp;"-"&amp;TEXT(SUMPRODUCT((YEAR($B$2:$B158)=YEAR($B158))*($B$2:$B158&lt;&gt;"")),"000"))</f>
        <v/>
      </c>
      <c r="B158" s="7" t="n"/>
      <c r="C158" s="8" t="n"/>
      <c r="D158" s="6">
        <f>IFERROR(VLOOKUP($C158,商品マスタ範囲,4,FALSE),"")</f>
        <v/>
      </c>
      <c r="E158" s="6">
        <f>IFERROR(VLOOKUP($C158,商品マスタ範囲,2,FALSE),"")</f>
        <v/>
      </c>
      <c r="F158" s="6">
        <f>IFERROR(VLOOKUP($C158,商品マスタ範囲,3,FALSE),"")</f>
        <v/>
      </c>
      <c r="G158" s="9">
        <f>IFERROR(VLOOKUP($C158,商品マスタ範囲,5,FALSE),"")</f>
        <v/>
      </c>
      <c r="H158" s="9" t="n"/>
      <c r="I158" s="7" t="n"/>
      <c r="J158" s="9">
        <f>IFERROR(VLOOKUP($C158,商品マスタ範囲,6,FALSE),"")</f>
        <v/>
      </c>
      <c r="K158" s="9" t="n"/>
      <c r="L158" s="7" t="n"/>
      <c r="M158" s="8" t="n"/>
      <c r="N158" s="6" t="n"/>
      <c r="O158" s="6" t="n"/>
      <c r="P158" s="6" t="n"/>
    </row>
    <row r="159">
      <c r="A159" s="6">
        <f>IF($B159="","",TEXT(YEAR($B159),"0000")&amp;"-"&amp;TEXT(SUMPRODUCT((YEAR($B$2:$B159)=YEAR($B159))*($B$2:$B159&lt;&gt;"")),"000"))</f>
        <v/>
      </c>
      <c r="B159" s="7" t="n"/>
      <c r="C159" s="8" t="n"/>
      <c r="D159" s="6">
        <f>IFERROR(VLOOKUP($C159,商品マスタ範囲,4,FALSE),"")</f>
        <v/>
      </c>
      <c r="E159" s="6">
        <f>IFERROR(VLOOKUP($C159,商品マスタ範囲,2,FALSE),"")</f>
        <v/>
      </c>
      <c r="F159" s="6">
        <f>IFERROR(VLOOKUP($C159,商品マスタ範囲,3,FALSE),"")</f>
        <v/>
      </c>
      <c r="G159" s="9">
        <f>IFERROR(VLOOKUP($C159,商品マスタ範囲,5,FALSE),"")</f>
        <v/>
      </c>
      <c r="H159" s="9" t="n"/>
      <c r="I159" s="7" t="n"/>
      <c r="J159" s="9">
        <f>IFERROR(VLOOKUP($C159,商品マスタ範囲,6,FALSE),"")</f>
        <v/>
      </c>
      <c r="K159" s="9" t="n"/>
      <c r="L159" s="7" t="n"/>
      <c r="M159" s="8" t="n"/>
      <c r="N159" s="6" t="n"/>
      <c r="O159" s="6" t="n"/>
      <c r="P159" s="6" t="n"/>
    </row>
    <row r="160">
      <c r="A160" s="6">
        <f>IF($B160="","",TEXT(YEAR($B160),"0000")&amp;"-"&amp;TEXT(SUMPRODUCT((YEAR($B$2:$B160)=YEAR($B160))*($B$2:$B160&lt;&gt;"")),"000"))</f>
        <v/>
      </c>
      <c r="B160" s="7" t="n"/>
      <c r="C160" s="8" t="n"/>
      <c r="D160" s="6">
        <f>IFERROR(VLOOKUP($C160,商品マスタ範囲,4,FALSE),"")</f>
        <v/>
      </c>
      <c r="E160" s="6">
        <f>IFERROR(VLOOKUP($C160,商品マスタ範囲,2,FALSE),"")</f>
        <v/>
      </c>
      <c r="F160" s="6">
        <f>IFERROR(VLOOKUP($C160,商品マスタ範囲,3,FALSE),"")</f>
        <v/>
      </c>
      <c r="G160" s="9">
        <f>IFERROR(VLOOKUP($C160,商品マスタ範囲,5,FALSE),"")</f>
        <v/>
      </c>
      <c r="H160" s="9" t="n"/>
      <c r="I160" s="7" t="n"/>
      <c r="J160" s="9">
        <f>IFERROR(VLOOKUP($C160,商品マスタ範囲,6,FALSE),"")</f>
        <v/>
      </c>
      <c r="K160" s="9" t="n"/>
      <c r="L160" s="7" t="n"/>
      <c r="M160" s="8" t="n"/>
      <c r="N160" s="6" t="n"/>
      <c r="O160" s="6" t="n"/>
      <c r="P160" s="6" t="n"/>
    </row>
    <row r="161">
      <c r="A161" s="6">
        <f>IF($B161="","",TEXT(YEAR($B161),"0000")&amp;"-"&amp;TEXT(SUMPRODUCT((YEAR($B$2:$B161)=YEAR($B161))*($B$2:$B161&lt;&gt;"")),"000"))</f>
        <v/>
      </c>
      <c r="B161" s="7" t="n"/>
      <c r="C161" s="8" t="n"/>
      <c r="D161" s="6">
        <f>IFERROR(VLOOKUP($C161,商品マスタ範囲,4,FALSE),"")</f>
        <v/>
      </c>
      <c r="E161" s="6">
        <f>IFERROR(VLOOKUP($C161,商品マスタ範囲,2,FALSE),"")</f>
        <v/>
      </c>
      <c r="F161" s="6">
        <f>IFERROR(VLOOKUP($C161,商品マスタ範囲,3,FALSE),"")</f>
        <v/>
      </c>
      <c r="G161" s="9">
        <f>IFERROR(VLOOKUP($C161,商品マスタ範囲,5,FALSE),"")</f>
        <v/>
      </c>
      <c r="H161" s="9" t="n"/>
      <c r="I161" s="7" t="n"/>
      <c r="J161" s="9">
        <f>IFERROR(VLOOKUP($C161,商品マスタ範囲,6,FALSE),"")</f>
        <v/>
      </c>
      <c r="K161" s="9" t="n"/>
      <c r="L161" s="7" t="n"/>
      <c r="M161" s="8" t="n"/>
      <c r="N161" s="6" t="n"/>
      <c r="O161" s="6" t="n"/>
      <c r="P161" s="6" t="n"/>
    </row>
    <row r="162">
      <c r="A162" s="6">
        <f>IF($B162="","",TEXT(YEAR($B162),"0000")&amp;"-"&amp;TEXT(SUMPRODUCT((YEAR($B$2:$B162)=YEAR($B162))*($B$2:$B162&lt;&gt;"")),"000"))</f>
        <v/>
      </c>
      <c r="B162" s="7" t="n"/>
      <c r="C162" s="8" t="n"/>
      <c r="D162" s="6">
        <f>IFERROR(VLOOKUP($C162,商品マスタ範囲,4,FALSE),"")</f>
        <v/>
      </c>
      <c r="E162" s="6">
        <f>IFERROR(VLOOKUP($C162,商品マスタ範囲,2,FALSE),"")</f>
        <v/>
      </c>
      <c r="F162" s="6">
        <f>IFERROR(VLOOKUP($C162,商品マスタ範囲,3,FALSE),"")</f>
        <v/>
      </c>
      <c r="G162" s="9">
        <f>IFERROR(VLOOKUP($C162,商品マスタ範囲,5,FALSE),"")</f>
        <v/>
      </c>
      <c r="H162" s="9" t="n"/>
      <c r="I162" s="7" t="n"/>
      <c r="J162" s="9">
        <f>IFERROR(VLOOKUP($C162,商品マスタ範囲,6,FALSE),"")</f>
        <v/>
      </c>
      <c r="K162" s="9" t="n"/>
      <c r="L162" s="7" t="n"/>
      <c r="M162" s="8" t="n"/>
      <c r="N162" s="6" t="n"/>
      <c r="O162" s="6" t="n"/>
      <c r="P162" s="6" t="n"/>
    </row>
    <row r="163">
      <c r="A163" s="6">
        <f>IF($B163="","",TEXT(YEAR($B163),"0000")&amp;"-"&amp;TEXT(SUMPRODUCT((YEAR($B$2:$B163)=YEAR($B163))*($B$2:$B163&lt;&gt;"")),"000"))</f>
        <v/>
      </c>
      <c r="B163" s="7" t="n"/>
      <c r="C163" s="8" t="n"/>
      <c r="D163" s="6">
        <f>IFERROR(VLOOKUP($C163,商品マスタ範囲,4,FALSE),"")</f>
        <v/>
      </c>
      <c r="E163" s="6">
        <f>IFERROR(VLOOKUP($C163,商品マスタ範囲,2,FALSE),"")</f>
        <v/>
      </c>
      <c r="F163" s="6">
        <f>IFERROR(VLOOKUP($C163,商品マスタ範囲,3,FALSE),"")</f>
        <v/>
      </c>
      <c r="G163" s="9">
        <f>IFERROR(VLOOKUP($C163,商品マスタ範囲,5,FALSE),"")</f>
        <v/>
      </c>
      <c r="H163" s="9" t="n"/>
      <c r="I163" s="7" t="n"/>
      <c r="J163" s="9">
        <f>IFERROR(VLOOKUP($C163,商品マスタ範囲,6,FALSE),"")</f>
        <v/>
      </c>
      <c r="K163" s="9" t="n"/>
      <c r="L163" s="7" t="n"/>
      <c r="M163" s="8" t="n"/>
      <c r="N163" s="6" t="n"/>
      <c r="O163" s="6" t="n"/>
      <c r="P163" s="6" t="n"/>
    </row>
    <row r="164">
      <c r="A164" s="6">
        <f>IF($B164="","",TEXT(YEAR($B164),"0000")&amp;"-"&amp;TEXT(SUMPRODUCT((YEAR($B$2:$B164)=YEAR($B164))*($B$2:$B164&lt;&gt;"")),"000"))</f>
        <v/>
      </c>
      <c r="B164" s="7" t="n"/>
      <c r="C164" s="8" t="n"/>
      <c r="D164" s="6">
        <f>IFERROR(VLOOKUP($C164,商品マスタ範囲,4,FALSE),"")</f>
        <v/>
      </c>
      <c r="E164" s="6">
        <f>IFERROR(VLOOKUP($C164,商品マスタ範囲,2,FALSE),"")</f>
        <v/>
      </c>
      <c r="F164" s="6">
        <f>IFERROR(VLOOKUP($C164,商品マスタ範囲,3,FALSE),"")</f>
        <v/>
      </c>
      <c r="G164" s="9">
        <f>IFERROR(VLOOKUP($C164,商品マスタ範囲,5,FALSE),"")</f>
        <v/>
      </c>
      <c r="H164" s="9" t="n"/>
      <c r="I164" s="7" t="n"/>
      <c r="J164" s="9">
        <f>IFERROR(VLOOKUP($C164,商品マスタ範囲,6,FALSE),"")</f>
        <v/>
      </c>
      <c r="K164" s="9" t="n"/>
      <c r="L164" s="7" t="n"/>
      <c r="M164" s="8" t="n"/>
      <c r="N164" s="6" t="n"/>
      <c r="O164" s="6" t="n"/>
      <c r="P164" s="6" t="n"/>
    </row>
    <row r="165">
      <c r="A165" s="6">
        <f>IF($B165="","",TEXT(YEAR($B165),"0000")&amp;"-"&amp;TEXT(SUMPRODUCT((YEAR($B$2:$B165)=YEAR($B165))*($B$2:$B165&lt;&gt;"")),"000"))</f>
        <v/>
      </c>
      <c r="B165" s="7" t="n"/>
      <c r="C165" s="8" t="n"/>
      <c r="D165" s="6">
        <f>IFERROR(VLOOKUP($C165,商品マスタ範囲,4,FALSE),"")</f>
        <v/>
      </c>
      <c r="E165" s="6">
        <f>IFERROR(VLOOKUP($C165,商品マスタ範囲,2,FALSE),"")</f>
        <v/>
      </c>
      <c r="F165" s="6">
        <f>IFERROR(VLOOKUP($C165,商品マスタ範囲,3,FALSE),"")</f>
        <v/>
      </c>
      <c r="G165" s="9">
        <f>IFERROR(VLOOKUP($C165,商品マスタ範囲,5,FALSE),"")</f>
        <v/>
      </c>
      <c r="H165" s="9" t="n"/>
      <c r="I165" s="7" t="n"/>
      <c r="J165" s="9">
        <f>IFERROR(VLOOKUP($C165,商品マスタ範囲,6,FALSE),"")</f>
        <v/>
      </c>
      <c r="K165" s="9" t="n"/>
      <c r="L165" s="7" t="n"/>
      <c r="M165" s="8" t="n"/>
      <c r="N165" s="6" t="n"/>
      <c r="O165" s="6" t="n"/>
      <c r="P165" s="6" t="n"/>
    </row>
    <row r="166">
      <c r="A166" s="6">
        <f>IF($B166="","",TEXT(YEAR($B166),"0000")&amp;"-"&amp;TEXT(SUMPRODUCT((YEAR($B$2:$B166)=YEAR($B166))*($B$2:$B166&lt;&gt;"")),"000"))</f>
        <v/>
      </c>
      <c r="B166" s="7" t="n"/>
      <c r="C166" s="8" t="n"/>
      <c r="D166" s="6">
        <f>IFERROR(VLOOKUP($C166,商品マスタ範囲,4,FALSE),"")</f>
        <v/>
      </c>
      <c r="E166" s="6">
        <f>IFERROR(VLOOKUP($C166,商品マスタ範囲,2,FALSE),"")</f>
        <v/>
      </c>
      <c r="F166" s="6">
        <f>IFERROR(VLOOKUP($C166,商品マスタ範囲,3,FALSE),"")</f>
        <v/>
      </c>
      <c r="G166" s="9">
        <f>IFERROR(VLOOKUP($C166,商品マスタ範囲,5,FALSE),"")</f>
        <v/>
      </c>
      <c r="H166" s="9" t="n"/>
      <c r="I166" s="7" t="n"/>
      <c r="J166" s="9">
        <f>IFERROR(VLOOKUP($C166,商品マスタ範囲,6,FALSE),"")</f>
        <v/>
      </c>
      <c r="K166" s="9" t="n"/>
      <c r="L166" s="7" t="n"/>
      <c r="M166" s="8" t="n"/>
      <c r="N166" s="6" t="n"/>
      <c r="O166" s="6" t="n"/>
      <c r="P166" s="6" t="n"/>
    </row>
    <row r="167">
      <c r="A167" s="6">
        <f>IF($B167="","",TEXT(YEAR($B167),"0000")&amp;"-"&amp;TEXT(SUMPRODUCT((YEAR($B$2:$B167)=YEAR($B167))*($B$2:$B167&lt;&gt;"")),"000"))</f>
        <v/>
      </c>
      <c r="B167" s="7" t="n"/>
      <c r="C167" s="8" t="n"/>
      <c r="D167" s="6">
        <f>IFERROR(VLOOKUP($C167,商品マスタ範囲,4,FALSE),"")</f>
        <v/>
      </c>
      <c r="E167" s="6">
        <f>IFERROR(VLOOKUP($C167,商品マスタ範囲,2,FALSE),"")</f>
        <v/>
      </c>
      <c r="F167" s="6">
        <f>IFERROR(VLOOKUP($C167,商品マスタ範囲,3,FALSE),"")</f>
        <v/>
      </c>
      <c r="G167" s="9">
        <f>IFERROR(VLOOKUP($C167,商品マスタ範囲,5,FALSE),"")</f>
        <v/>
      </c>
      <c r="H167" s="9" t="n"/>
      <c r="I167" s="7" t="n"/>
      <c r="J167" s="9">
        <f>IFERROR(VLOOKUP($C167,商品マスタ範囲,6,FALSE),"")</f>
        <v/>
      </c>
      <c r="K167" s="9" t="n"/>
      <c r="L167" s="7" t="n"/>
      <c r="M167" s="8" t="n"/>
      <c r="N167" s="6" t="n"/>
      <c r="O167" s="6" t="n"/>
      <c r="P167" s="6" t="n"/>
    </row>
    <row r="168">
      <c r="A168" s="6">
        <f>IF($B168="","",TEXT(YEAR($B168),"0000")&amp;"-"&amp;TEXT(SUMPRODUCT((YEAR($B$2:$B168)=YEAR($B168))*($B$2:$B168&lt;&gt;"")),"000"))</f>
        <v/>
      </c>
      <c r="B168" s="7" t="n"/>
      <c r="C168" s="8" t="n"/>
      <c r="D168" s="6">
        <f>IFERROR(VLOOKUP($C168,商品マスタ範囲,4,FALSE),"")</f>
        <v/>
      </c>
      <c r="E168" s="6">
        <f>IFERROR(VLOOKUP($C168,商品マスタ範囲,2,FALSE),"")</f>
        <v/>
      </c>
      <c r="F168" s="6">
        <f>IFERROR(VLOOKUP($C168,商品マスタ範囲,3,FALSE),"")</f>
        <v/>
      </c>
      <c r="G168" s="9">
        <f>IFERROR(VLOOKUP($C168,商品マスタ範囲,5,FALSE),"")</f>
        <v/>
      </c>
      <c r="H168" s="9" t="n"/>
      <c r="I168" s="7" t="n"/>
      <c r="J168" s="9">
        <f>IFERROR(VLOOKUP($C168,商品マスタ範囲,6,FALSE),"")</f>
        <v/>
      </c>
      <c r="K168" s="9" t="n"/>
      <c r="L168" s="7" t="n"/>
      <c r="M168" s="8" t="n"/>
      <c r="N168" s="6" t="n"/>
      <c r="O168" s="6" t="n"/>
      <c r="P168" s="6" t="n"/>
    </row>
    <row r="169">
      <c r="A169" s="6">
        <f>IF($B169="","",TEXT(YEAR($B169),"0000")&amp;"-"&amp;TEXT(SUMPRODUCT((YEAR($B$2:$B169)=YEAR($B169))*($B$2:$B169&lt;&gt;"")),"000"))</f>
        <v/>
      </c>
      <c r="B169" s="7" t="n"/>
      <c r="C169" s="8" t="n"/>
      <c r="D169" s="6">
        <f>IFERROR(VLOOKUP($C169,商品マスタ範囲,4,FALSE),"")</f>
        <v/>
      </c>
      <c r="E169" s="6">
        <f>IFERROR(VLOOKUP($C169,商品マスタ範囲,2,FALSE),"")</f>
        <v/>
      </c>
      <c r="F169" s="6">
        <f>IFERROR(VLOOKUP($C169,商品マスタ範囲,3,FALSE),"")</f>
        <v/>
      </c>
      <c r="G169" s="9">
        <f>IFERROR(VLOOKUP($C169,商品マスタ範囲,5,FALSE),"")</f>
        <v/>
      </c>
      <c r="H169" s="9" t="n"/>
      <c r="I169" s="7" t="n"/>
      <c r="J169" s="9">
        <f>IFERROR(VLOOKUP($C169,商品マスタ範囲,6,FALSE),"")</f>
        <v/>
      </c>
      <c r="K169" s="9" t="n"/>
      <c r="L169" s="7" t="n"/>
      <c r="M169" s="8" t="n"/>
      <c r="N169" s="6" t="n"/>
      <c r="O169" s="6" t="n"/>
      <c r="P169" s="6" t="n"/>
    </row>
    <row r="170">
      <c r="A170" s="6">
        <f>IF($B170="","",TEXT(YEAR($B170),"0000")&amp;"-"&amp;TEXT(SUMPRODUCT((YEAR($B$2:$B170)=YEAR($B170))*($B$2:$B170&lt;&gt;"")),"000"))</f>
        <v/>
      </c>
      <c r="B170" s="7" t="n"/>
      <c r="C170" s="8" t="n"/>
      <c r="D170" s="6">
        <f>IFERROR(VLOOKUP($C170,商品マスタ範囲,4,FALSE),"")</f>
        <v/>
      </c>
      <c r="E170" s="6">
        <f>IFERROR(VLOOKUP($C170,商品マスタ範囲,2,FALSE),"")</f>
        <v/>
      </c>
      <c r="F170" s="6">
        <f>IFERROR(VLOOKUP($C170,商品マスタ範囲,3,FALSE),"")</f>
        <v/>
      </c>
      <c r="G170" s="9">
        <f>IFERROR(VLOOKUP($C170,商品マスタ範囲,5,FALSE),"")</f>
        <v/>
      </c>
      <c r="H170" s="9" t="n"/>
      <c r="I170" s="7" t="n"/>
      <c r="J170" s="9">
        <f>IFERROR(VLOOKUP($C170,商品マスタ範囲,6,FALSE),"")</f>
        <v/>
      </c>
      <c r="K170" s="9" t="n"/>
      <c r="L170" s="7" t="n"/>
      <c r="M170" s="8" t="n"/>
      <c r="N170" s="6" t="n"/>
      <c r="O170" s="6" t="n"/>
      <c r="P170" s="6" t="n"/>
    </row>
    <row r="171">
      <c r="A171" s="6">
        <f>IF($B171="","",TEXT(YEAR($B171),"0000")&amp;"-"&amp;TEXT(SUMPRODUCT((YEAR($B$2:$B171)=YEAR($B171))*($B$2:$B171&lt;&gt;"")),"000"))</f>
        <v/>
      </c>
      <c r="B171" s="7" t="n"/>
      <c r="C171" s="8" t="n"/>
      <c r="D171" s="6">
        <f>IFERROR(VLOOKUP($C171,商品マスタ範囲,4,FALSE),"")</f>
        <v/>
      </c>
      <c r="E171" s="6">
        <f>IFERROR(VLOOKUP($C171,商品マスタ範囲,2,FALSE),"")</f>
        <v/>
      </c>
      <c r="F171" s="6">
        <f>IFERROR(VLOOKUP($C171,商品マスタ範囲,3,FALSE),"")</f>
        <v/>
      </c>
      <c r="G171" s="9">
        <f>IFERROR(VLOOKUP($C171,商品マスタ範囲,5,FALSE),"")</f>
        <v/>
      </c>
      <c r="H171" s="9" t="n"/>
      <c r="I171" s="7" t="n"/>
      <c r="J171" s="9">
        <f>IFERROR(VLOOKUP($C171,商品マスタ範囲,6,FALSE),"")</f>
        <v/>
      </c>
      <c r="K171" s="9" t="n"/>
      <c r="L171" s="7" t="n"/>
      <c r="M171" s="8" t="n"/>
      <c r="N171" s="6" t="n"/>
      <c r="O171" s="6" t="n"/>
      <c r="P171" s="6" t="n"/>
    </row>
    <row r="172">
      <c r="A172" s="6">
        <f>IF($B172="","",TEXT(YEAR($B172),"0000")&amp;"-"&amp;TEXT(SUMPRODUCT((YEAR($B$2:$B172)=YEAR($B172))*($B$2:$B172&lt;&gt;"")),"000"))</f>
        <v/>
      </c>
      <c r="B172" s="7" t="n"/>
      <c r="C172" s="8" t="n"/>
      <c r="D172" s="6">
        <f>IFERROR(VLOOKUP($C172,商品マスタ範囲,4,FALSE),"")</f>
        <v/>
      </c>
      <c r="E172" s="6">
        <f>IFERROR(VLOOKUP($C172,商品マスタ範囲,2,FALSE),"")</f>
        <v/>
      </c>
      <c r="F172" s="6">
        <f>IFERROR(VLOOKUP($C172,商品マスタ範囲,3,FALSE),"")</f>
        <v/>
      </c>
      <c r="G172" s="9">
        <f>IFERROR(VLOOKUP($C172,商品マスタ範囲,5,FALSE),"")</f>
        <v/>
      </c>
      <c r="H172" s="9" t="n"/>
      <c r="I172" s="7" t="n"/>
      <c r="J172" s="9">
        <f>IFERROR(VLOOKUP($C172,商品マスタ範囲,6,FALSE),"")</f>
        <v/>
      </c>
      <c r="K172" s="9" t="n"/>
      <c r="L172" s="7" t="n"/>
      <c r="M172" s="8" t="n"/>
      <c r="N172" s="6" t="n"/>
      <c r="O172" s="6" t="n"/>
      <c r="P172" s="6" t="n"/>
    </row>
    <row r="173">
      <c r="A173" s="6">
        <f>IF($B173="","",TEXT(YEAR($B173),"0000")&amp;"-"&amp;TEXT(SUMPRODUCT((YEAR($B$2:$B173)=YEAR($B173))*($B$2:$B173&lt;&gt;"")),"000"))</f>
        <v/>
      </c>
      <c r="B173" s="7" t="n"/>
      <c r="C173" s="8" t="n"/>
      <c r="D173" s="6">
        <f>IFERROR(VLOOKUP($C173,商品マスタ範囲,4,FALSE),"")</f>
        <v/>
      </c>
      <c r="E173" s="6">
        <f>IFERROR(VLOOKUP($C173,商品マスタ範囲,2,FALSE),"")</f>
        <v/>
      </c>
      <c r="F173" s="6">
        <f>IFERROR(VLOOKUP($C173,商品マスタ範囲,3,FALSE),"")</f>
        <v/>
      </c>
      <c r="G173" s="9">
        <f>IFERROR(VLOOKUP($C173,商品マスタ範囲,5,FALSE),"")</f>
        <v/>
      </c>
      <c r="H173" s="9" t="n"/>
      <c r="I173" s="7" t="n"/>
      <c r="J173" s="9">
        <f>IFERROR(VLOOKUP($C173,商品マスタ範囲,6,FALSE),"")</f>
        <v/>
      </c>
      <c r="K173" s="9" t="n"/>
      <c r="L173" s="7" t="n"/>
      <c r="M173" s="8" t="n"/>
      <c r="N173" s="6" t="n"/>
      <c r="O173" s="6" t="n"/>
      <c r="P173" s="6" t="n"/>
    </row>
    <row r="174">
      <c r="A174" s="6">
        <f>IF($B174="","",TEXT(YEAR($B174),"0000")&amp;"-"&amp;TEXT(SUMPRODUCT((YEAR($B$2:$B174)=YEAR($B174))*($B$2:$B174&lt;&gt;"")),"000"))</f>
        <v/>
      </c>
      <c r="B174" s="7" t="n"/>
      <c r="C174" s="8" t="n"/>
      <c r="D174" s="6">
        <f>IFERROR(VLOOKUP($C174,商品マスタ範囲,4,FALSE),"")</f>
        <v/>
      </c>
      <c r="E174" s="6">
        <f>IFERROR(VLOOKUP($C174,商品マスタ範囲,2,FALSE),"")</f>
        <v/>
      </c>
      <c r="F174" s="6">
        <f>IFERROR(VLOOKUP($C174,商品マスタ範囲,3,FALSE),"")</f>
        <v/>
      </c>
      <c r="G174" s="9">
        <f>IFERROR(VLOOKUP($C174,商品マスタ範囲,5,FALSE),"")</f>
        <v/>
      </c>
      <c r="H174" s="9" t="n"/>
      <c r="I174" s="7" t="n"/>
      <c r="J174" s="9">
        <f>IFERROR(VLOOKUP($C174,商品マスタ範囲,6,FALSE),"")</f>
        <v/>
      </c>
      <c r="K174" s="9" t="n"/>
      <c r="L174" s="7" t="n"/>
      <c r="M174" s="8" t="n"/>
      <c r="N174" s="6" t="n"/>
      <c r="O174" s="6" t="n"/>
      <c r="P174" s="6" t="n"/>
    </row>
    <row r="175">
      <c r="A175" s="6">
        <f>IF($B175="","",TEXT(YEAR($B175),"0000")&amp;"-"&amp;TEXT(SUMPRODUCT((YEAR($B$2:$B175)=YEAR($B175))*($B$2:$B175&lt;&gt;"")),"000"))</f>
        <v/>
      </c>
      <c r="B175" s="7" t="n"/>
      <c r="C175" s="8" t="n"/>
      <c r="D175" s="6">
        <f>IFERROR(VLOOKUP($C175,商品マスタ範囲,4,FALSE),"")</f>
        <v/>
      </c>
      <c r="E175" s="6">
        <f>IFERROR(VLOOKUP($C175,商品マスタ範囲,2,FALSE),"")</f>
        <v/>
      </c>
      <c r="F175" s="6">
        <f>IFERROR(VLOOKUP($C175,商品マスタ範囲,3,FALSE),"")</f>
        <v/>
      </c>
      <c r="G175" s="9">
        <f>IFERROR(VLOOKUP($C175,商品マスタ範囲,5,FALSE),"")</f>
        <v/>
      </c>
      <c r="H175" s="9" t="n"/>
      <c r="I175" s="7" t="n"/>
      <c r="J175" s="9">
        <f>IFERROR(VLOOKUP($C175,商品マスタ範囲,6,FALSE),"")</f>
        <v/>
      </c>
      <c r="K175" s="9" t="n"/>
      <c r="L175" s="7" t="n"/>
      <c r="M175" s="8" t="n"/>
      <c r="N175" s="6" t="n"/>
      <c r="O175" s="6" t="n"/>
      <c r="P175" s="6" t="n"/>
    </row>
    <row r="176">
      <c r="A176" s="6">
        <f>IF($B176="","",TEXT(YEAR($B176),"0000")&amp;"-"&amp;TEXT(SUMPRODUCT((YEAR($B$2:$B176)=YEAR($B176))*($B$2:$B176&lt;&gt;"")),"000"))</f>
        <v/>
      </c>
      <c r="B176" s="7" t="n"/>
      <c r="C176" s="8" t="n"/>
      <c r="D176" s="6">
        <f>IFERROR(VLOOKUP($C176,商品マスタ範囲,4,FALSE),"")</f>
        <v/>
      </c>
      <c r="E176" s="6">
        <f>IFERROR(VLOOKUP($C176,商品マスタ範囲,2,FALSE),"")</f>
        <v/>
      </c>
      <c r="F176" s="6">
        <f>IFERROR(VLOOKUP($C176,商品マスタ範囲,3,FALSE),"")</f>
        <v/>
      </c>
      <c r="G176" s="9">
        <f>IFERROR(VLOOKUP($C176,商品マスタ範囲,5,FALSE),"")</f>
        <v/>
      </c>
      <c r="H176" s="9" t="n"/>
      <c r="I176" s="7" t="n"/>
      <c r="J176" s="9">
        <f>IFERROR(VLOOKUP($C176,商品マスタ範囲,6,FALSE),"")</f>
        <v/>
      </c>
      <c r="K176" s="9" t="n"/>
      <c r="L176" s="7" t="n"/>
      <c r="M176" s="8" t="n"/>
      <c r="N176" s="6" t="n"/>
      <c r="O176" s="6" t="n"/>
      <c r="P176" s="6" t="n"/>
    </row>
    <row r="177">
      <c r="A177" s="6">
        <f>IF($B177="","",TEXT(YEAR($B177),"0000")&amp;"-"&amp;TEXT(SUMPRODUCT((YEAR($B$2:$B177)=YEAR($B177))*($B$2:$B177&lt;&gt;"")),"000"))</f>
        <v/>
      </c>
      <c r="B177" s="7" t="n"/>
      <c r="C177" s="8" t="n"/>
      <c r="D177" s="6">
        <f>IFERROR(VLOOKUP($C177,商品マスタ範囲,4,FALSE),"")</f>
        <v/>
      </c>
      <c r="E177" s="6">
        <f>IFERROR(VLOOKUP($C177,商品マスタ範囲,2,FALSE),"")</f>
        <v/>
      </c>
      <c r="F177" s="6">
        <f>IFERROR(VLOOKUP($C177,商品マスタ範囲,3,FALSE),"")</f>
        <v/>
      </c>
      <c r="G177" s="9">
        <f>IFERROR(VLOOKUP($C177,商品マスタ範囲,5,FALSE),"")</f>
        <v/>
      </c>
      <c r="H177" s="9" t="n"/>
      <c r="I177" s="7" t="n"/>
      <c r="J177" s="9">
        <f>IFERROR(VLOOKUP($C177,商品マスタ範囲,6,FALSE),"")</f>
        <v/>
      </c>
      <c r="K177" s="9" t="n"/>
      <c r="L177" s="7" t="n"/>
      <c r="M177" s="8" t="n"/>
      <c r="N177" s="6" t="n"/>
      <c r="O177" s="6" t="n"/>
      <c r="P177" s="6" t="n"/>
    </row>
    <row r="178">
      <c r="A178" s="6">
        <f>IF($B178="","",TEXT(YEAR($B178),"0000")&amp;"-"&amp;TEXT(SUMPRODUCT((YEAR($B$2:$B178)=YEAR($B178))*($B$2:$B178&lt;&gt;"")),"000"))</f>
        <v/>
      </c>
      <c r="B178" s="7" t="n"/>
      <c r="C178" s="8" t="n"/>
      <c r="D178" s="6">
        <f>IFERROR(VLOOKUP($C178,商品マスタ範囲,4,FALSE),"")</f>
        <v/>
      </c>
      <c r="E178" s="6">
        <f>IFERROR(VLOOKUP($C178,商品マスタ範囲,2,FALSE),"")</f>
        <v/>
      </c>
      <c r="F178" s="6">
        <f>IFERROR(VLOOKUP($C178,商品マスタ範囲,3,FALSE),"")</f>
        <v/>
      </c>
      <c r="G178" s="9">
        <f>IFERROR(VLOOKUP($C178,商品マスタ範囲,5,FALSE),"")</f>
        <v/>
      </c>
      <c r="H178" s="9" t="n"/>
      <c r="I178" s="7" t="n"/>
      <c r="J178" s="9">
        <f>IFERROR(VLOOKUP($C178,商品マスタ範囲,6,FALSE),"")</f>
        <v/>
      </c>
      <c r="K178" s="9" t="n"/>
      <c r="L178" s="7" t="n"/>
      <c r="M178" s="8" t="n"/>
      <c r="N178" s="6" t="n"/>
      <c r="O178" s="6" t="n"/>
      <c r="P178" s="6" t="n"/>
    </row>
    <row r="179">
      <c r="A179" s="6">
        <f>IF($B179="","",TEXT(YEAR($B179),"0000")&amp;"-"&amp;TEXT(SUMPRODUCT((YEAR($B$2:$B179)=YEAR($B179))*($B$2:$B179&lt;&gt;"")),"000"))</f>
        <v/>
      </c>
      <c r="B179" s="7" t="n"/>
      <c r="C179" s="8" t="n"/>
      <c r="D179" s="6">
        <f>IFERROR(VLOOKUP($C179,商品マスタ範囲,4,FALSE),"")</f>
        <v/>
      </c>
      <c r="E179" s="6">
        <f>IFERROR(VLOOKUP($C179,商品マスタ範囲,2,FALSE),"")</f>
        <v/>
      </c>
      <c r="F179" s="6">
        <f>IFERROR(VLOOKUP($C179,商品マスタ範囲,3,FALSE),"")</f>
        <v/>
      </c>
      <c r="G179" s="9">
        <f>IFERROR(VLOOKUP($C179,商品マスタ範囲,5,FALSE),"")</f>
        <v/>
      </c>
      <c r="H179" s="9" t="n"/>
      <c r="I179" s="7" t="n"/>
      <c r="J179" s="9">
        <f>IFERROR(VLOOKUP($C179,商品マスタ範囲,6,FALSE),"")</f>
        <v/>
      </c>
      <c r="K179" s="9" t="n"/>
      <c r="L179" s="7" t="n"/>
      <c r="M179" s="8" t="n"/>
      <c r="N179" s="6" t="n"/>
      <c r="O179" s="6" t="n"/>
      <c r="P179" s="6" t="n"/>
    </row>
    <row r="180">
      <c r="A180" s="6">
        <f>IF($B180="","",TEXT(YEAR($B180),"0000")&amp;"-"&amp;TEXT(SUMPRODUCT((YEAR($B$2:$B180)=YEAR($B180))*($B$2:$B180&lt;&gt;"")),"000"))</f>
        <v/>
      </c>
      <c r="B180" s="7" t="n"/>
      <c r="C180" s="8" t="n"/>
      <c r="D180" s="6">
        <f>IFERROR(VLOOKUP($C180,商品マスタ範囲,4,FALSE),"")</f>
        <v/>
      </c>
      <c r="E180" s="6">
        <f>IFERROR(VLOOKUP($C180,商品マスタ範囲,2,FALSE),"")</f>
        <v/>
      </c>
      <c r="F180" s="6">
        <f>IFERROR(VLOOKUP($C180,商品マスタ範囲,3,FALSE),"")</f>
        <v/>
      </c>
      <c r="G180" s="9">
        <f>IFERROR(VLOOKUP($C180,商品マスタ範囲,5,FALSE),"")</f>
        <v/>
      </c>
      <c r="H180" s="9" t="n"/>
      <c r="I180" s="7" t="n"/>
      <c r="J180" s="9">
        <f>IFERROR(VLOOKUP($C180,商品マスタ範囲,6,FALSE),"")</f>
        <v/>
      </c>
      <c r="K180" s="9" t="n"/>
      <c r="L180" s="7" t="n"/>
      <c r="M180" s="8" t="n"/>
      <c r="N180" s="6" t="n"/>
      <c r="O180" s="6" t="n"/>
      <c r="P180" s="6" t="n"/>
    </row>
    <row r="181">
      <c r="A181" s="6">
        <f>IF($B181="","",TEXT(YEAR($B181),"0000")&amp;"-"&amp;TEXT(SUMPRODUCT((YEAR($B$2:$B181)=YEAR($B181))*($B$2:$B181&lt;&gt;"")),"000"))</f>
        <v/>
      </c>
      <c r="B181" s="7" t="n"/>
      <c r="C181" s="8" t="n"/>
      <c r="D181" s="6">
        <f>IFERROR(VLOOKUP($C181,商品マスタ範囲,4,FALSE),"")</f>
        <v/>
      </c>
      <c r="E181" s="6">
        <f>IFERROR(VLOOKUP($C181,商品マスタ範囲,2,FALSE),"")</f>
        <v/>
      </c>
      <c r="F181" s="6">
        <f>IFERROR(VLOOKUP($C181,商品マスタ範囲,3,FALSE),"")</f>
        <v/>
      </c>
      <c r="G181" s="9">
        <f>IFERROR(VLOOKUP($C181,商品マスタ範囲,5,FALSE),"")</f>
        <v/>
      </c>
      <c r="H181" s="9" t="n"/>
      <c r="I181" s="7" t="n"/>
      <c r="J181" s="9">
        <f>IFERROR(VLOOKUP($C181,商品マスタ範囲,6,FALSE),"")</f>
        <v/>
      </c>
      <c r="K181" s="9" t="n"/>
      <c r="L181" s="7" t="n"/>
      <c r="M181" s="8" t="n"/>
      <c r="N181" s="6" t="n"/>
      <c r="O181" s="6" t="n"/>
      <c r="P181" s="6" t="n"/>
    </row>
    <row r="182">
      <c r="A182" s="6">
        <f>IF($B182="","",TEXT(YEAR($B182),"0000")&amp;"-"&amp;TEXT(SUMPRODUCT((YEAR($B$2:$B182)=YEAR($B182))*($B$2:$B182&lt;&gt;"")),"000"))</f>
        <v/>
      </c>
      <c r="B182" s="7" t="n"/>
      <c r="C182" s="8" t="n"/>
      <c r="D182" s="6">
        <f>IFERROR(VLOOKUP($C182,商品マスタ範囲,4,FALSE),"")</f>
        <v/>
      </c>
      <c r="E182" s="6">
        <f>IFERROR(VLOOKUP($C182,商品マスタ範囲,2,FALSE),"")</f>
        <v/>
      </c>
      <c r="F182" s="6">
        <f>IFERROR(VLOOKUP($C182,商品マスタ範囲,3,FALSE),"")</f>
        <v/>
      </c>
      <c r="G182" s="9">
        <f>IFERROR(VLOOKUP($C182,商品マスタ範囲,5,FALSE),"")</f>
        <v/>
      </c>
      <c r="H182" s="9" t="n"/>
      <c r="I182" s="7" t="n"/>
      <c r="J182" s="9">
        <f>IFERROR(VLOOKUP($C182,商品マスタ範囲,6,FALSE),"")</f>
        <v/>
      </c>
      <c r="K182" s="9" t="n"/>
      <c r="L182" s="7" t="n"/>
      <c r="M182" s="8" t="n"/>
      <c r="N182" s="6" t="n"/>
      <c r="O182" s="6" t="n"/>
      <c r="P182" s="6" t="n"/>
    </row>
    <row r="183">
      <c r="A183" s="6">
        <f>IF($B183="","",TEXT(YEAR($B183),"0000")&amp;"-"&amp;TEXT(SUMPRODUCT((YEAR($B$2:$B183)=YEAR($B183))*($B$2:$B183&lt;&gt;"")),"000"))</f>
        <v/>
      </c>
      <c r="B183" s="7" t="n"/>
      <c r="C183" s="8" t="n"/>
      <c r="D183" s="6">
        <f>IFERROR(VLOOKUP($C183,商品マスタ範囲,4,FALSE),"")</f>
        <v/>
      </c>
      <c r="E183" s="6">
        <f>IFERROR(VLOOKUP($C183,商品マスタ範囲,2,FALSE),"")</f>
        <v/>
      </c>
      <c r="F183" s="6">
        <f>IFERROR(VLOOKUP($C183,商品マスタ範囲,3,FALSE),"")</f>
        <v/>
      </c>
      <c r="G183" s="9">
        <f>IFERROR(VLOOKUP($C183,商品マスタ範囲,5,FALSE),"")</f>
        <v/>
      </c>
      <c r="H183" s="9" t="n"/>
      <c r="I183" s="7" t="n"/>
      <c r="J183" s="9">
        <f>IFERROR(VLOOKUP($C183,商品マスタ範囲,6,FALSE),"")</f>
        <v/>
      </c>
      <c r="K183" s="9" t="n"/>
      <c r="L183" s="7" t="n"/>
      <c r="M183" s="8" t="n"/>
      <c r="N183" s="6" t="n"/>
      <c r="O183" s="6" t="n"/>
      <c r="P183" s="6" t="n"/>
    </row>
    <row r="184">
      <c r="A184" s="6">
        <f>IF($B184="","",TEXT(YEAR($B184),"0000")&amp;"-"&amp;TEXT(SUMPRODUCT((YEAR($B$2:$B184)=YEAR($B184))*($B$2:$B184&lt;&gt;"")),"000"))</f>
        <v/>
      </c>
      <c r="B184" s="7" t="n"/>
      <c r="C184" s="8" t="n"/>
      <c r="D184" s="6">
        <f>IFERROR(VLOOKUP($C184,商品マスタ範囲,4,FALSE),"")</f>
        <v/>
      </c>
      <c r="E184" s="6">
        <f>IFERROR(VLOOKUP($C184,商品マスタ範囲,2,FALSE),"")</f>
        <v/>
      </c>
      <c r="F184" s="6">
        <f>IFERROR(VLOOKUP($C184,商品マスタ範囲,3,FALSE),"")</f>
        <v/>
      </c>
      <c r="G184" s="9">
        <f>IFERROR(VLOOKUP($C184,商品マスタ範囲,5,FALSE),"")</f>
        <v/>
      </c>
      <c r="H184" s="9" t="n"/>
      <c r="I184" s="7" t="n"/>
      <c r="J184" s="9">
        <f>IFERROR(VLOOKUP($C184,商品マスタ範囲,6,FALSE),"")</f>
        <v/>
      </c>
      <c r="K184" s="9" t="n"/>
      <c r="L184" s="7" t="n"/>
      <c r="M184" s="8" t="n"/>
      <c r="N184" s="6" t="n"/>
      <c r="O184" s="6" t="n"/>
      <c r="P184" s="6" t="n"/>
    </row>
    <row r="185">
      <c r="A185" s="6">
        <f>IF($B185="","",TEXT(YEAR($B185),"0000")&amp;"-"&amp;TEXT(SUMPRODUCT((YEAR($B$2:$B185)=YEAR($B185))*($B$2:$B185&lt;&gt;"")),"000"))</f>
        <v/>
      </c>
      <c r="B185" s="7" t="n"/>
      <c r="C185" s="8" t="n"/>
      <c r="D185" s="6">
        <f>IFERROR(VLOOKUP($C185,商品マスタ範囲,4,FALSE),"")</f>
        <v/>
      </c>
      <c r="E185" s="6">
        <f>IFERROR(VLOOKUP($C185,商品マスタ範囲,2,FALSE),"")</f>
        <v/>
      </c>
      <c r="F185" s="6">
        <f>IFERROR(VLOOKUP($C185,商品マスタ範囲,3,FALSE),"")</f>
        <v/>
      </c>
      <c r="G185" s="9">
        <f>IFERROR(VLOOKUP($C185,商品マスタ範囲,5,FALSE),"")</f>
        <v/>
      </c>
      <c r="H185" s="9" t="n"/>
      <c r="I185" s="7" t="n"/>
      <c r="J185" s="9">
        <f>IFERROR(VLOOKUP($C185,商品マスタ範囲,6,FALSE),"")</f>
        <v/>
      </c>
      <c r="K185" s="9" t="n"/>
      <c r="L185" s="7" t="n"/>
      <c r="M185" s="8" t="n"/>
      <c r="N185" s="6" t="n"/>
      <c r="O185" s="6" t="n"/>
      <c r="P185" s="6" t="n"/>
    </row>
    <row r="186">
      <c r="A186" s="6">
        <f>IF($B186="","",TEXT(YEAR($B186),"0000")&amp;"-"&amp;TEXT(SUMPRODUCT((YEAR($B$2:$B186)=YEAR($B186))*($B$2:$B186&lt;&gt;"")),"000"))</f>
        <v/>
      </c>
      <c r="B186" s="7" t="n"/>
      <c r="C186" s="8" t="n"/>
      <c r="D186" s="6">
        <f>IFERROR(VLOOKUP($C186,商品マスタ範囲,4,FALSE),"")</f>
        <v/>
      </c>
      <c r="E186" s="6">
        <f>IFERROR(VLOOKUP($C186,商品マスタ範囲,2,FALSE),"")</f>
        <v/>
      </c>
      <c r="F186" s="6">
        <f>IFERROR(VLOOKUP($C186,商品マスタ範囲,3,FALSE),"")</f>
        <v/>
      </c>
      <c r="G186" s="9">
        <f>IFERROR(VLOOKUP($C186,商品マスタ範囲,5,FALSE),"")</f>
        <v/>
      </c>
      <c r="H186" s="9" t="n"/>
      <c r="I186" s="7" t="n"/>
      <c r="J186" s="9">
        <f>IFERROR(VLOOKUP($C186,商品マスタ範囲,6,FALSE),"")</f>
        <v/>
      </c>
      <c r="K186" s="9" t="n"/>
      <c r="L186" s="7" t="n"/>
      <c r="M186" s="8" t="n"/>
      <c r="N186" s="6" t="n"/>
      <c r="O186" s="6" t="n"/>
      <c r="P186" s="6" t="n"/>
    </row>
    <row r="187">
      <c r="A187" s="6">
        <f>IF($B187="","",TEXT(YEAR($B187),"0000")&amp;"-"&amp;TEXT(SUMPRODUCT((YEAR($B$2:$B187)=YEAR($B187))*($B$2:$B187&lt;&gt;"")),"000"))</f>
        <v/>
      </c>
      <c r="B187" s="7" t="n"/>
      <c r="C187" s="8" t="n"/>
      <c r="D187" s="6">
        <f>IFERROR(VLOOKUP($C187,商品マスタ範囲,4,FALSE),"")</f>
        <v/>
      </c>
      <c r="E187" s="6">
        <f>IFERROR(VLOOKUP($C187,商品マスタ範囲,2,FALSE),"")</f>
        <v/>
      </c>
      <c r="F187" s="6">
        <f>IFERROR(VLOOKUP($C187,商品マスタ範囲,3,FALSE),"")</f>
        <v/>
      </c>
      <c r="G187" s="9">
        <f>IFERROR(VLOOKUP($C187,商品マスタ範囲,5,FALSE),"")</f>
        <v/>
      </c>
      <c r="H187" s="9" t="n"/>
      <c r="I187" s="7" t="n"/>
      <c r="J187" s="9">
        <f>IFERROR(VLOOKUP($C187,商品マスタ範囲,6,FALSE),"")</f>
        <v/>
      </c>
      <c r="K187" s="9" t="n"/>
      <c r="L187" s="7" t="n"/>
      <c r="M187" s="8" t="n"/>
      <c r="N187" s="6" t="n"/>
      <c r="O187" s="6" t="n"/>
      <c r="P187" s="6" t="n"/>
    </row>
    <row r="188">
      <c r="A188" s="6">
        <f>IF($B188="","",TEXT(YEAR($B188),"0000")&amp;"-"&amp;TEXT(SUMPRODUCT((YEAR($B$2:$B188)=YEAR($B188))*($B$2:$B188&lt;&gt;"")),"000"))</f>
        <v/>
      </c>
      <c r="B188" s="7" t="n"/>
      <c r="C188" s="8" t="n"/>
      <c r="D188" s="6">
        <f>IFERROR(VLOOKUP($C188,商品マスタ範囲,4,FALSE),"")</f>
        <v/>
      </c>
      <c r="E188" s="6">
        <f>IFERROR(VLOOKUP($C188,商品マスタ範囲,2,FALSE),"")</f>
        <v/>
      </c>
      <c r="F188" s="6">
        <f>IFERROR(VLOOKUP($C188,商品マスタ範囲,3,FALSE),"")</f>
        <v/>
      </c>
      <c r="G188" s="9">
        <f>IFERROR(VLOOKUP($C188,商品マスタ範囲,5,FALSE),"")</f>
        <v/>
      </c>
      <c r="H188" s="9" t="n"/>
      <c r="I188" s="7" t="n"/>
      <c r="J188" s="9">
        <f>IFERROR(VLOOKUP($C188,商品マスタ範囲,6,FALSE),"")</f>
        <v/>
      </c>
      <c r="K188" s="9" t="n"/>
      <c r="L188" s="7" t="n"/>
      <c r="M188" s="8" t="n"/>
      <c r="N188" s="6" t="n"/>
      <c r="O188" s="6" t="n"/>
      <c r="P188" s="6" t="n"/>
    </row>
    <row r="189">
      <c r="A189" s="6">
        <f>IF($B189="","",TEXT(YEAR($B189),"0000")&amp;"-"&amp;TEXT(SUMPRODUCT((YEAR($B$2:$B189)=YEAR($B189))*($B$2:$B189&lt;&gt;"")),"000"))</f>
        <v/>
      </c>
      <c r="B189" s="7" t="n"/>
      <c r="C189" s="8" t="n"/>
      <c r="D189" s="6">
        <f>IFERROR(VLOOKUP($C189,商品マスタ範囲,4,FALSE),"")</f>
        <v/>
      </c>
      <c r="E189" s="6">
        <f>IFERROR(VLOOKUP($C189,商品マスタ範囲,2,FALSE),"")</f>
        <v/>
      </c>
      <c r="F189" s="6">
        <f>IFERROR(VLOOKUP($C189,商品マスタ範囲,3,FALSE),"")</f>
        <v/>
      </c>
      <c r="G189" s="9">
        <f>IFERROR(VLOOKUP($C189,商品マスタ範囲,5,FALSE),"")</f>
        <v/>
      </c>
      <c r="H189" s="9" t="n"/>
      <c r="I189" s="7" t="n"/>
      <c r="J189" s="9">
        <f>IFERROR(VLOOKUP($C189,商品マスタ範囲,6,FALSE),"")</f>
        <v/>
      </c>
      <c r="K189" s="9" t="n"/>
      <c r="L189" s="7" t="n"/>
      <c r="M189" s="8" t="n"/>
      <c r="N189" s="6" t="n"/>
      <c r="O189" s="6" t="n"/>
      <c r="P189" s="6" t="n"/>
    </row>
    <row r="190">
      <c r="A190" s="6">
        <f>IF($B190="","",TEXT(YEAR($B190),"0000")&amp;"-"&amp;TEXT(SUMPRODUCT((YEAR($B$2:$B190)=YEAR($B190))*($B$2:$B190&lt;&gt;"")),"000"))</f>
        <v/>
      </c>
      <c r="B190" s="7" t="n"/>
      <c r="C190" s="8" t="n"/>
      <c r="D190" s="6">
        <f>IFERROR(VLOOKUP($C190,商品マスタ範囲,4,FALSE),"")</f>
        <v/>
      </c>
      <c r="E190" s="6">
        <f>IFERROR(VLOOKUP($C190,商品マスタ範囲,2,FALSE),"")</f>
        <v/>
      </c>
      <c r="F190" s="6">
        <f>IFERROR(VLOOKUP($C190,商品マスタ範囲,3,FALSE),"")</f>
        <v/>
      </c>
      <c r="G190" s="9">
        <f>IFERROR(VLOOKUP($C190,商品マスタ範囲,5,FALSE),"")</f>
        <v/>
      </c>
      <c r="H190" s="9" t="n"/>
      <c r="I190" s="7" t="n"/>
      <c r="J190" s="9">
        <f>IFERROR(VLOOKUP($C190,商品マスタ範囲,6,FALSE),"")</f>
        <v/>
      </c>
      <c r="K190" s="9" t="n"/>
      <c r="L190" s="7" t="n"/>
      <c r="M190" s="8" t="n"/>
      <c r="N190" s="6" t="n"/>
      <c r="O190" s="6" t="n"/>
      <c r="P190" s="6" t="n"/>
    </row>
    <row r="191">
      <c r="A191" s="6">
        <f>IF($B191="","",TEXT(YEAR($B191),"0000")&amp;"-"&amp;TEXT(SUMPRODUCT((YEAR($B$2:$B191)=YEAR($B191))*($B$2:$B191&lt;&gt;"")),"000"))</f>
        <v/>
      </c>
      <c r="B191" s="7" t="n"/>
      <c r="C191" s="8" t="n"/>
      <c r="D191" s="6">
        <f>IFERROR(VLOOKUP($C191,商品マスタ範囲,4,FALSE),"")</f>
        <v/>
      </c>
      <c r="E191" s="6">
        <f>IFERROR(VLOOKUP($C191,商品マスタ範囲,2,FALSE),"")</f>
        <v/>
      </c>
      <c r="F191" s="6">
        <f>IFERROR(VLOOKUP($C191,商品マスタ範囲,3,FALSE),"")</f>
        <v/>
      </c>
      <c r="G191" s="9">
        <f>IFERROR(VLOOKUP($C191,商品マスタ範囲,5,FALSE),"")</f>
        <v/>
      </c>
      <c r="H191" s="9" t="n"/>
      <c r="I191" s="7" t="n"/>
      <c r="J191" s="9">
        <f>IFERROR(VLOOKUP($C191,商品マスタ範囲,6,FALSE),"")</f>
        <v/>
      </c>
      <c r="K191" s="9" t="n"/>
      <c r="L191" s="7" t="n"/>
      <c r="M191" s="8" t="n"/>
      <c r="N191" s="6" t="n"/>
      <c r="O191" s="6" t="n"/>
      <c r="P191" s="6" t="n"/>
    </row>
    <row r="192">
      <c r="A192" s="6">
        <f>IF($B192="","",TEXT(YEAR($B192),"0000")&amp;"-"&amp;TEXT(SUMPRODUCT((YEAR($B$2:$B192)=YEAR($B192))*($B$2:$B192&lt;&gt;"")),"000"))</f>
        <v/>
      </c>
      <c r="B192" s="7" t="n"/>
      <c r="C192" s="8" t="n"/>
      <c r="D192" s="6">
        <f>IFERROR(VLOOKUP($C192,商品マスタ範囲,4,FALSE),"")</f>
        <v/>
      </c>
      <c r="E192" s="6">
        <f>IFERROR(VLOOKUP($C192,商品マスタ範囲,2,FALSE),"")</f>
        <v/>
      </c>
      <c r="F192" s="6">
        <f>IFERROR(VLOOKUP($C192,商品マスタ範囲,3,FALSE),"")</f>
        <v/>
      </c>
      <c r="G192" s="9">
        <f>IFERROR(VLOOKUP($C192,商品マスタ範囲,5,FALSE),"")</f>
        <v/>
      </c>
      <c r="H192" s="9" t="n"/>
      <c r="I192" s="7" t="n"/>
      <c r="J192" s="9">
        <f>IFERROR(VLOOKUP($C192,商品マスタ範囲,6,FALSE),"")</f>
        <v/>
      </c>
      <c r="K192" s="9" t="n"/>
      <c r="L192" s="7" t="n"/>
      <c r="M192" s="8" t="n"/>
      <c r="N192" s="6" t="n"/>
      <c r="O192" s="6" t="n"/>
      <c r="P192" s="6" t="n"/>
    </row>
    <row r="193">
      <c r="A193" s="6">
        <f>IF($B193="","",TEXT(YEAR($B193),"0000")&amp;"-"&amp;TEXT(SUMPRODUCT((YEAR($B$2:$B193)=YEAR($B193))*($B$2:$B193&lt;&gt;"")),"000"))</f>
        <v/>
      </c>
      <c r="B193" s="7" t="n"/>
      <c r="C193" s="8" t="n"/>
      <c r="D193" s="6">
        <f>IFERROR(VLOOKUP($C193,商品マスタ範囲,4,FALSE),"")</f>
        <v/>
      </c>
      <c r="E193" s="6">
        <f>IFERROR(VLOOKUP($C193,商品マスタ範囲,2,FALSE),"")</f>
        <v/>
      </c>
      <c r="F193" s="6">
        <f>IFERROR(VLOOKUP($C193,商品マスタ範囲,3,FALSE),"")</f>
        <v/>
      </c>
      <c r="G193" s="9">
        <f>IFERROR(VLOOKUP($C193,商品マスタ範囲,5,FALSE),"")</f>
        <v/>
      </c>
      <c r="H193" s="9" t="n"/>
      <c r="I193" s="7" t="n"/>
      <c r="J193" s="9">
        <f>IFERROR(VLOOKUP($C193,商品マスタ範囲,6,FALSE),"")</f>
        <v/>
      </c>
      <c r="K193" s="9" t="n"/>
      <c r="L193" s="7" t="n"/>
      <c r="M193" s="8" t="n"/>
      <c r="N193" s="6" t="n"/>
      <c r="O193" s="6" t="n"/>
      <c r="P193" s="6" t="n"/>
    </row>
    <row r="194">
      <c r="A194" s="6">
        <f>IF($B194="","",TEXT(YEAR($B194),"0000")&amp;"-"&amp;TEXT(SUMPRODUCT((YEAR($B$2:$B194)=YEAR($B194))*($B$2:$B194&lt;&gt;"")),"000"))</f>
        <v/>
      </c>
      <c r="B194" s="7" t="n"/>
      <c r="C194" s="8" t="n"/>
      <c r="D194" s="6">
        <f>IFERROR(VLOOKUP($C194,商品マスタ範囲,4,FALSE),"")</f>
        <v/>
      </c>
      <c r="E194" s="6">
        <f>IFERROR(VLOOKUP($C194,商品マスタ範囲,2,FALSE),"")</f>
        <v/>
      </c>
      <c r="F194" s="6">
        <f>IFERROR(VLOOKUP($C194,商品マスタ範囲,3,FALSE),"")</f>
        <v/>
      </c>
      <c r="G194" s="9">
        <f>IFERROR(VLOOKUP($C194,商品マスタ範囲,5,FALSE),"")</f>
        <v/>
      </c>
      <c r="H194" s="9" t="n"/>
      <c r="I194" s="7" t="n"/>
      <c r="J194" s="9">
        <f>IFERROR(VLOOKUP($C194,商品マスタ範囲,6,FALSE),"")</f>
        <v/>
      </c>
      <c r="K194" s="9" t="n"/>
      <c r="L194" s="7" t="n"/>
      <c r="M194" s="8" t="n"/>
      <c r="N194" s="6" t="n"/>
      <c r="O194" s="6" t="n"/>
      <c r="P194" s="6" t="n"/>
    </row>
    <row r="195">
      <c r="A195" s="6">
        <f>IF($B195="","",TEXT(YEAR($B195),"0000")&amp;"-"&amp;TEXT(SUMPRODUCT((YEAR($B$2:$B195)=YEAR($B195))*($B$2:$B195&lt;&gt;"")),"000"))</f>
        <v/>
      </c>
      <c r="B195" s="7" t="n"/>
      <c r="C195" s="8" t="n"/>
      <c r="D195" s="6">
        <f>IFERROR(VLOOKUP($C195,商品マスタ範囲,4,FALSE),"")</f>
        <v/>
      </c>
      <c r="E195" s="6">
        <f>IFERROR(VLOOKUP($C195,商品マスタ範囲,2,FALSE),"")</f>
        <v/>
      </c>
      <c r="F195" s="6">
        <f>IFERROR(VLOOKUP($C195,商品マスタ範囲,3,FALSE),"")</f>
        <v/>
      </c>
      <c r="G195" s="9">
        <f>IFERROR(VLOOKUP($C195,商品マスタ範囲,5,FALSE),"")</f>
        <v/>
      </c>
      <c r="H195" s="9" t="n"/>
      <c r="I195" s="7" t="n"/>
      <c r="J195" s="9">
        <f>IFERROR(VLOOKUP($C195,商品マスタ範囲,6,FALSE),"")</f>
        <v/>
      </c>
      <c r="K195" s="9" t="n"/>
      <c r="L195" s="7" t="n"/>
      <c r="M195" s="8" t="n"/>
      <c r="N195" s="6" t="n"/>
      <c r="O195" s="6" t="n"/>
      <c r="P195" s="6" t="n"/>
    </row>
    <row r="196">
      <c r="A196" s="6">
        <f>IF($B196="","",TEXT(YEAR($B196),"0000")&amp;"-"&amp;TEXT(SUMPRODUCT((YEAR($B$2:$B196)=YEAR($B196))*($B$2:$B196&lt;&gt;"")),"000"))</f>
        <v/>
      </c>
      <c r="B196" s="7" t="n"/>
      <c r="C196" s="8" t="n"/>
      <c r="D196" s="6">
        <f>IFERROR(VLOOKUP($C196,商品マスタ範囲,4,FALSE),"")</f>
        <v/>
      </c>
      <c r="E196" s="6">
        <f>IFERROR(VLOOKUP($C196,商品マスタ範囲,2,FALSE),"")</f>
        <v/>
      </c>
      <c r="F196" s="6">
        <f>IFERROR(VLOOKUP($C196,商品マスタ範囲,3,FALSE),"")</f>
        <v/>
      </c>
      <c r="G196" s="9">
        <f>IFERROR(VLOOKUP($C196,商品マスタ範囲,5,FALSE),"")</f>
        <v/>
      </c>
      <c r="H196" s="9" t="n"/>
      <c r="I196" s="7" t="n"/>
      <c r="J196" s="9">
        <f>IFERROR(VLOOKUP($C196,商品マスタ範囲,6,FALSE),"")</f>
        <v/>
      </c>
      <c r="K196" s="9" t="n"/>
      <c r="L196" s="7" t="n"/>
      <c r="M196" s="8" t="n"/>
      <c r="N196" s="6" t="n"/>
      <c r="O196" s="6" t="n"/>
      <c r="P196" s="6" t="n"/>
    </row>
    <row r="197">
      <c r="A197" s="6">
        <f>IF($B197="","",TEXT(YEAR($B197),"0000")&amp;"-"&amp;TEXT(SUMPRODUCT((YEAR($B$2:$B197)=YEAR($B197))*($B$2:$B197&lt;&gt;"")),"000"))</f>
        <v/>
      </c>
      <c r="B197" s="7" t="n"/>
      <c r="C197" s="8" t="n"/>
      <c r="D197" s="6">
        <f>IFERROR(VLOOKUP($C197,商品マスタ範囲,4,FALSE),"")</f>
        <v/>
      </c>
      <c r="E197" s="6">
        <f>IFERROR(VLOOKUP($C197,商品マスタ範囲,2,FALSE),"")</f>
        <v/>
      </c>
      <c r="F197" s="6">
        <f>IFERROR(VLOOKUP($C197,商品マスタ範囲,3,FALSE),"")</f>
        <v/>
      </c>
      <c r="G197" s="9">
        <f>IFERROR(VLOOKUP($C197,商品マスタ範囲,5,FALSE),"")</f>
        <v/>
      </c>
      <c r="H197" s="9" t="n"/>
      <c r="I197" s="7" t="n"/>
      <c r="J197" s="9">
        <f>IFERROR(VLOOKUP($C197,商品マスタ範囲,6,FALSE),"")</f>
        <v/>
      </c>
      <c r="K197" s="9" t="n"/>
      <c r="L197" s="7" t="n"/>
      <c r="M197" s="8" t="n"/>
      <c r="N197" s="6" t="n"/>
      <c r="O197" s="6" t="n"/>
      <c r="P197" s="6" t="n"/>
    </row>
    <row r="198">
      <c r="A198" s="6">
        <f>IF($B198="","",TEXT(YEAR($B198),"0000")&amp;"-"&amp;TEXT(SUMPRODUCT((YEAR($B$2:$B198)=YEAR($B198))*($B$2:$B198&lt;&gt;"")),"000"))</f>
        <v/>
      </c>
      <c r="B198" s="7" t="n"/>
      <c r="C198" s="8" t="n"/>
      <c r="D198" s="6">
        <f>IFERROR(VLOOKUP($C198,商品マスタ範囲,4,FALSE),"")</f>
        <v/>
      </c>
      <c r="E198" s="6">
        <f>IFERROR(VLOOKUP($C198,商品マスタ範囲,2,FALSE),"")</f>
        <v/>
      </c>
      <c r="F198" s="6">
        <f>IFERROR(VLOOKUP($C198,商品マスタ範囲,3,FALSE),"")</f>
        <v/>
      </c>
      <c r="G198" s="9">
        <f>IFERROR(VLOOKUP($C198,商品マスタ範囲,5,FALSE),"")</f>
        <v/>
      </c>
      <c r="H198" s="9" t="n"/>
      <c r="I198" s="7" t="n"/>
      <c r="J198" s="9">
        <f>IFERROR(VLOOKUP($C198,商品マスタ範囲,6,FALSE),"")</f>
        <v/>
      </c>
      <c r="K198" s="9" t="n"/>
      <c r="L198" s="7" t="n"/>
      <c r="M198" s="8" t="n"/>
      <c r="N198" s="6" t="n"/>
      <c r="O198" s="6" t="n"/>
      <c r="P198" s="6" t="n"/>
    </row>
    <row r="199">
      <c r="A199" s="6">
        <f>IF($B199="","",TEXT(YEAR($B199),"0000")&amp;"-"&amp;TEXT(SUMPRODUCT((YEAR($B$2:$B199)=YEAR($B199))*($B$2:$B199&lt;&gt;"")),"000"))</f>
        <v/>
      </c>
      <c r="B199" s="7" t="n"/>
      <c r="C199" s="8" t="n"/>
      <c r="D199" s="6">
        <f>IFERROR(VLOOKUP($C199,商品マスタ範囲,4,FALSE),"")</f>
        <v/>
      </c>
      <c r="E199" s="6">
        <f>IFERROR(VLOOKUP($C199,商品マスタ範囲,2,FALSE),"")</f>
        <v/>
      </c>
      <c r="F199" s="6">
        <f>IFERROR(VLOOKUP($C199,商品マスタ範囲,3,FALSE),"")</f>
        <v/>
      </c>
      <c r="G199" s="9">
        <f>IFERROR(VLOOKUP($C199,商品マスタ範囲,5,FALSE),"")</f>
        <v/>
      </c>
      <c r="H199" s="9" t="n"/>
      <c r="I199" s="7" t="n"/>
      <c r="J199" s="9">
        <f>IFERROR(VLOOKUP($C199,商品マスタ範囲,6,FALSE),"")</f>
        <v/>
      </c>
      <c r="K199" s="9" t="n"/>
      <c r="L199" s="7" t="n"/>
      <c r="M199" s="8" t="n"/>
      <c r="N199" s="6" t="n"/>
      <c r="O199" s="6" t="n"/>
      <c r="P199" s="6" t="n"/>
    </row>
    <row r="200">
      <c r="A200" s="6">
        <f>IF($B200="","",TEXT(YEAR($B200),"0000")&amp;"-"&amp;TEXT(SUMPRODUCT((YEAR($B$2:$B200)=YEAR($B200))*($B$2:$B200&lt;&gt;"")),"000"))</f>
        <v/>
      </c>
      <c r="B200" s="7" t="n"/>
      <c r="C200" s="8" t="n"/>
      <c r="D200" s="6">
        <f>IFERROR(VLOOKUP($C200,商品マスタ範囲,4,FALSE),"")</f>
        <v/>
      </c>
      <c r="E200" s="6">
        <f>IFERROR(VLOOKUP($C200,商品マスタ範囲,2,FALSE),"")</f>
        <v/>
      </c>
      <c r="F200" s="6">
        <f>IFERROR(VLOOKUP($C200,商品マスタ範囲,3,FALSE),"")</f>
        <v/>
      </c>
      <c r="G200" s="9">
        <f>IFERROR(VLOOKUP($C200,商品マスタ範囲,5,FALSE),"")</f>
        <v/>
      </c>
      <c r="H200" s="9" t="n"/>
      <c r="I200" s="7" t="n"/>
      <c r="J200" s="9">
        <f>IFERROR(VLOOKUP($C200,商品マスタ範囲,6,FALSE),"")</f>
        <v/>
      </c>
      <c r="K200" s="9" t="n"/>
      <c r="L200" s="7" t="n"/>
      <c r="M200" s="8" t="n"/>
      <c r="N200" s="6" t="n"/>
      <c r="O200" s="6" t="n"/>
      <c r="P200" s="6" t="n"/>
    </row>
    <row r="201">
      <c r="A201" s="6">
        <f>IF($B201="","",TEXT(YEAR($B201),"0000")&amp;"-"&amp;TEXT(SUMPRODUCT((YEAR($B$2:$B201)=YEAR($B201))*($B$2:$B201&lt;&gt;"")),"000"))</f>
        <v/>
      </c>
      <c r="B201" s="7" t="n"/>
      <c r="C201" s="8" t="n"/>
      <c r="D201" s="6">
        <f>IFERROR(VLOOKUP($C201,商品マスタ範囲,4,FALSE),"")</f>
        <v/>
      </c>
      <c r="E201" s="6">
        <f>IFERROR(VLOOKUP($C201,商品マスタ範囲,2,FALSE),"")</f>
        <v/>
      </c>
      <c r="F201" s="6">
        <f>IFERROR(VLOOKUP($C201,商品マスタ範囲,3,FALSE),"")</f>
        <v/>
      </c>
      <c r="G201" s="9">
        <f>IFERROR(VLOOKUP($C201,商品マスタ範囲,5,FALSE),"")</f>
        <v/>
      </c>
      <c r="H201" s="9" t="n"/>
      <c r="I201" s="7" t="n"/>
      <c r="J201" s="9">
        <f>IFERROR(VLOOKUP($C201,商品マスタ範囲,6,FALSE),"")</f>
        <v/>
      </c>
      <c r="K201" s="9" t="n"/>
      <c r="L201" s="7" t="n"/>
      <c r="M201" s="8" t="n"/>
      <c r="N201" s="6" t="n"/>
      <c r="O201" s="6" t="n"/>
      <c r="P201" s="6" t="n"/>
    </row>
    <row r="202">
      <c r="A202" s="6">
        <f>IF($B202="","",TEXT(YEAR($B202),"0000")&amp;"-"&amp;TEXT(SUMPRODUCT((YEAR($B$2:$B202)=YEAR($B202))*($B$2:$B202&lt;&gt;"")),"000"))</f>
        <v/>
      </c>
      <c r="B202" s="7" t="n"/>
      <c r="C202" s="8" t="n"/>
      <c r="D202" s="6">
        <f>IFERROR(VLOOKUP($C202,商品マスタ範囲,4,FALSE),"")</f>
        <v/>
      </c>
      <c r="E202" s="6">
        <f>IFERROR(VLOOKUP($C202,商品マスタ範囲,2,FALSE),"")</f>
        <v/>
      </c>
      <c r="F202" s="6">
        <f>IFERROR(VLOOKUP($C202,商品マスタ範囲,3,FALSE),"")</f>
        <v/>
      </c>
      <c r="G202" s="9">
        <f>IFERROR(VLOOKUP($C202,商品マスタ範囲,5,FALSE),"")</f>
        <v/>
      </c>
      <c r="H202" s="9" t="n"/>
      <c r="I202" s="7" t="n"/>
      <c r="J202" s="9">
        <f>IFERROR(VLOOKUP($C202,商品マスタ範囲,6,FALSE),"")</f>
        <v/>
      </c>
      <c r="K202" s="9" t="n"/>
      <c r="L202" s="7" t="n"/>
      <c r="M202" s="8" t="n"/>
      <c r="N202" s="6" t="n"/>
      <c r="O202" s="6" t="n"/>
      <c r="P202" s="6" t="n"/>
    </row>
    <row r="203">
      <c r="A203" s="6">
        <f>IF($B203="","",TEXT(YEAR($B203),"0000")&amp;"-"&amp;TEXT(SUMPRODUCT((YEAR($B$2:$B203)=YEAR($B203))*($B$2:$B203&lt;&gt;"")),"000"))</f>
        <v/>
      </c>
      <c r="B203" s="7" t="n"/>
      <c r="C203" s="8" t="n"/>
      <c r="D203" s="6">
        <f>IFERROR(VLOOKUP($C203,商品マスタ範囲,4,FALSE),"")</f>
        <v/>
      </c>
      <c r="E203" s="6">
        <f>IFERROR(VLOOKUP($C203,商品マスタ範囲,2,FALSE),"")</f>
        <v/>
      </c>
      <c r="F203" s="6">
        <f>IFERROR(VLOOKUP($C203,商品マスタ範囲,3,FALSE),"")</f>
        <v/>
      </c>
      <c r="G203" s="9">
        <f>IFERROR(VLOOKUP($C203,商品マスタ範囲,5,FALSE),"")</f>
        <v/>
      </c>
      <c r="H203" s="9" t="n"/>
      <c r="I203" s="7" t="n"/>
      <c r="J203" s="9">
        <f>IFERROR(VLOOKUP($C203,商品マスタ範囲,6,FALSE),"")</f>
        <v/>
      </c>
      <c r="K203" s="9" t="n"/>
      <c r="L203" s="7" t="n"/>
      <c r="M203" s="8" t="n"/>
      <c r="N203" s="6" t="n"/>
      <c r="O203" s="6" t="n"/>
      <c r="P203" s="6" t="n"/>
    </row>
    <row r="204">
      <c r="A204" s="6">
        <f>IF($B204="","",TEXT(YEAR($B204),"0000")&amp;"-"&amp;TEXT(SUMPRODUCT((YEAR($B$2:$B204)=YEAR($B204))*($B$2:$B204&lt;&gt;"")),"000"))</f>
        <v/>
      </c>
      <c r="B204" s="7" t="n"/>
      <c r="C204" s="8" t="n"/>
      <c r="D204" s="6">
        <f>IFERROR(VLOOKUP($C204,商品マスタ範囲,4,FALSE),"")</f>
        <v/>
      </c>
      <c r="E204" s="6">
        <f>IFERROR(VLOOKUP($C204,商品マスタ範囲,2,FALSE),"")</f>
        <v/>
      </c>
      <c r="F204" s="6">
        <f>IFERROR(VLOOKUP($C204,商品マスタ範囲,3,FALSE),"")</f>
        <v/>
      </c>
      <c r="G204" s="9">
        <f>IFERROR(VLOOKUP($C204,商品マスタ範囲,5,FALSE),"")</f>
        <v/>
      </c>
      <c r="H204" s="9" t="n"/>
      <c r="I204" s="7" t="n"/>
      <c r="J204" s="9">
        <f>IFERROR(VLOOKUP($C204,商品マスタ範囲,6,FALSE),"")</f>
        <v/>
      </c>
      <c r="K204" s="9" t="n"/>
      <c r="L204" s="7" t="n"/>
      <c r="M204" s="8" t="n"/>
      <c r="N204" s="6" t="n"/>
      <c r="O204" s="6" t="n"/>
      <c r="P204" s="6" t="n"/>
    </row>
    <row r="205">
      <c r="A205" s="6">
        <f>IF($B205="","",TEXT(YEAR($B205),"0000")&amp;"-"&amp;TEXT(SUMPRODUCT((YEAR($B$2:$B205)=YEAR($B205))*($B$2:$B205&lt;&gt;"")),"000"))</f>
        <v/>
      </c>
      <c r="B205" s="7" t="n"/>
      <c r="C205" s="8" t="n"/>
      <c r="D205" s="6">
        <f>IFERROR(VLOOKUP($C205,商品マスタ範囲,4,FALSE),"")</f>
        <v/>
      </c>
      <c r="E205" s="6">
        <f>IFERROR(VLOOKUP($C205,商品マスタ範囲,2,FALSE),"")</f>
        <v/>
      </c>
      <c r="F205" s="6">
        <f>IFERROR(VLOOKUP($C205,商品マスタ範囲,3,FALSE),"")</f>
        <v/>
      </c>
      <c r="G205" s="9">
        <f>IFERROR(VLOOKUP($C205,商品マスタ範囲,5,FALSE),"")</f>
        <v/>
      </c>
      <c r="H205" s="9" t="n"/>
      <c r="I205" s="7" t="n"/>
      <c r="J205" s="9">
        <f>IFERROR(VLOOKUP($C205,商品マスタ範囲,6,FALSE),"")</f>
        <v/>
      </c>
      <c r="K205" s="9" t="n"/>
      <c r="L205" s="7" t="n"/>
      <c r="M205" s="8" t="n"/>
      <c r="N205" s="6" t="n"/>
      <c r="O205" s="6" t="n"/>
      <c r="P205" s="6" t="n"/>
    </row>
    <row r="206">
      <c r="A206" s="6">
        <f>IF($B206="","",TEXT(YEAR($B206),"0000")&amp;"-"&amp;TEXT(SUMPRODUCT((YEAR($B$2:$B206)=YEAR($B206))*($B$2:$B206&lt;&gt;"")),"000"))</f>
        <v/>
      </c>
      <c r="B206" s="7" t="n"/>
      <c r="C206" s="8" t="n"/>
      <c r="D206" s="6">
        <f>IFERROR(VLOOKUP($C206,商品マスタ範囲,4,FALSE),"")</f>
        <v/>
      </c>
      <c r="E206" s="6">
        <f>IFERROR(VLOOKUP($C206,商品マスタ範囲,2,FALSE),"")</f>
        <v/>
      </c>
      <c r="F206" s="6">
        <f>IFERROR(VLOOKUP($C206,商品マスタ範囲,3,FALSE),"")</f>
        <v/>
      </c>
      <c r="G206" s="9">
        <f>IFERROR(VLOOKUP($C206,商品マスタ範囲,5,FALSE),"")</f>
        <v/>
      </c>
      <c r="H206" s="9" t="n"/>
      <c r="I206" s="7" t="n"/>
      <c r="J206" s="9">
        <f>IFERROR(VLOOKUP($C206,商品マスタ範囲,6,FALSE),"")</f>
        <v/>
      </c>
      <c r="K206" s="9" t="n"/>
      <c r="L206" s="7" t="n"/>
      <c r="M206" s="8" t="n"/>
      <c r="N206" s="6" t="n"/>
      <c r="O206" s="6" t="n"/>
      <c r="P206" s="6" t="n"/>
    </row>
    <row r="207">
      <c r="A207" s="6">
        <f>IF($B207="","",TEXT(YEAR($B207),"0000")&amp;"-"&amp;TEXT(SUMPRODUCT((YEAR($B$2:$B207)=YEAR($B207))*($B$2:$B207&lt;&gt;"")),"000"))</f>
        <v/>
      </c>
      <c r="B207" s="7" t="n"/>
      <c r="C207" s="8" t="n"/>
      <c r="D207" s="6">
        <f>IFERROR(VLOOKUP($C207,商品マスタ範囲,4,FALSE),"")</f>
        <v/>
      </c>
      <c r="E207" s="6">
        <f>IFERROR(VLOOKUP($C207,商品マスタ範囲,2,FALSE),"")</f>
        <v/>
      </c>
      <c r="F207" s="6">
        <f>IFERROR(VLOOKUP($C207,商品マスタ範囲,3,FALSE),"")</f>
        <v/>
      </c>
      <c r="G207" s="9">
        <f>IFERROR(VLOOKUP($C207,商品マスタ範囲,5,FALSE),"")</f>
        <v/>
      </c>
      <c r="H207" s="9" t="n"/>
      <c r="I207" s="7" t="n"/>
      <c r="J207" s="9">
        <f>IFERROR(VLOOKUP($C207,商品マスタ範囲,6,FALSE),"")</f>
        <v/>
      </c>
      <c r="K207" s="9" t="n"/>
      <c r="L207" s="7" t="n"/>
      <c r="M207" s="8" t="n"/>
      <c r="N207" s="6" t="n"/>
      <c r="O207" s="6" t="n"/>
      <c r="P207" s="6" t="n"/>
    </row>
    <row r="208">
      <c r="A208" s="6">
        <f>IF($B208="","",TEXT(YEAR($B208),"0000")&amp;"-"&amp;TEXT(SUMPRODUCT((YEAR($B$2:$B208)=YEAR($B208))*($B$2:$B208&lt;&gt;"")),"000"))</f>
        <v/>
      </c>
      <c r="B208" s="7" t="n"/>
      <c r="C208" s="8" t="n"/>
      <c r="D208" s="6">
        <f>IFERROR(VLOOKUP($C208,商品マスタ範囲,4,FALSE),"")</f>
        <v/>
      </c>
      <c r="E208" s="6">
        <f>IFERROR(VLOOKUP($C208,商品マスタ範囲,2,FALSE),"")</f>
        <v/>
      </c>
      <c r="F208" s="6">
        <f>IFERROR(VLOOKUP($C208,商品マスタ範囲,3,FALSE),"")</f>
        <v/>
      </c>
      <c r="G208" s="9">
        <f>IFERROR(VLOOKUP($C208,商品マスタ範囲,5,FALSE),"")</f>
        <v/>
      </c>
      <c r="H208" s="9" t="n"/>
      <c r="I208" s="7" t="n"/>
      <c r="J208" s="9">
        <f>IFERROR(VLOOKUP($C208,商品マスタ範囲,6,FALSE),"")</f>
        <v/>
      </c>
      <c r="K208" s="9" t="n"/>
      <c r="L208" s="7" t="n"/>
      <c r="M208" s="8" t="n"/>
      <c r="N208" s="6" t="n"/>
      <c r="O208" s="6" t="n"/>
      <c r="P208" s="6" t="n"/>
    </row>
    <row r="209">
      <c r="A209" s="6">
        <f>IF($B209="","",TEXT(YEAR($B209),"0000")&amp;"-"&amp;TEXT(SUMPRODUCT((YEAR($B$2:$B209)=YEAR($B209))*($B$2:$B209&lt;&gt;"")),"000"))</f>
        <v/>
      </c>
      <c r="B209" s="7" t="n"/>
      <c r="C209" s="8" t="n"/>
      <c r="D209" s="6">
        <f>IFERROR(VLOOKUP($C209,商品マスタ範囲,4,FALSE),"")</f>
        <v/>
      </c>
      <c r="E209" s="6">
        <f>IFERROR(VLOOKUP($C209,商品マスタ範囲,2,FALSE),"")</f>
        <v/>
      </c>
      <c r="F209" s="6">
        <f>IFERROR(VLOOKUP($C209,商品マスタ範囲,3,FALSE),"")</f>
        <v/>
      </c>
      <c r="G209" s="9">
        <f>IFERROR(VLOOKUP($C209,商品マスタ範囲,5,FALSE),"")</f>
        <v/>
      </c>
      <c r="H209" s="9" t="n"/>
      <c r="I209" s="7" t="n"/>
      <c r="J209" s="9">
        <f>IFERROR(VLOOKUP($C209,商品マスタ範囲,6,FALSE),"")</f>
        <v/>
      </c>
      <c r="K209" s="9" t="n"/>
      <c r="L209" s="7" t="n"/>
      <c r="M209" s="8" t="n"/>
      <c r="N209" s="6" t="n"/>
      <c r="O209" s="6" t="n"/>
      <c r="P209" s="6" t="n"/>
    </row>
    <row r="210">
      <c r="A210" s="6">
        <f>IF($B210="","",TEXT(YEAR($B210),"0000")&amp;"-"&amp;TEXT(SUMPRODUCT((YEAR($B$2:$B210)=YEAR($B210))*($B$2:$B210&lt;&gt;"")),"000"))</f>
        <v/>
      </c>
      <c r="B210" s="7" t="n"/>
      <c r="C210" s="8" t="n"/>
      <c r="D210" s="6">
        <f>IFERROR(VLOOKUP($C210,商品マスタ範囲,4,FALSE),"")</f>
        <v/>
      </c>
      <c r="E210" s="6">
        <f>IFERROR(VLOOKUP($C210,商品マスタ範囲,2,FALSE),"")</f>
        <v/>
      </c>
      <c r="F210" s="6">
        <f>IFERROR(VLOOKUP($C210,商品マスタ範囲,3,FALSE),"")</f>
        <v/>
      </c>
      <c r="G210" s="9">
        <f>IFERROR(VLOOKUP($C210,商品マスタ範囲,5,FALSE),"")</f>
        <v/>
      </c>
      <c r="H210" s="9" t="n"/>
      <c r="I210" s="7" t="n"/>
      <c r="J210" s="9">
        <f>IFERROR(VLOOKUP($C210,商品マスタ範囲,6,FALSE),"")</f>
        <v/>
      </c>
      <c r="K210" s="9" t="n"/>
      <c r="L210" s="7" t="n"/>
      <c r="M210" s="8" t="n"/>
      <c r="N210" s="6" t="n"/>
      <c r="O210" s="6" t="n"/>
      <c r="P210" s="6" t="n"/>
    </row>
    <row r="211">
      <c r="A211" s="6">
        <f>IF($B211="","",TEXT(YEAR($B211),"0000")&amp;"-"&amp;TEXT(SUMPRODUCT((YEAR($B$2:$B211)=YEAR($B211))*($B$2:$B211&lt;&gt;"")),"000"))</f>
        <v/>
      </c>
      <c r="B211" s="7" t="n"/>
      <c r="C211" s="8" t="n"/>
      <c r="D211" s="6">
        <f>IFERROR(VLOOKUP($C211,商品マスタ範囲,4,FALSE),"")</f>
        <v/>
      </c>
      <c r="E211" s="6">
        <f>IFERROR(VLOOKUP($C211,商品マスタ範囲,2,FALSE),"")</f>
        <v/>
      </c>
      <c r="F211" s="6">
        <f>IFERROR(VLOOKUP($C211,商品マスタ範囲,3,FALSE),"")</f>
        <v/>
      </c>
      <c r="G211" s="9">
        <f>IFERROR(VLOOKUP($C211,商品マスタ範囲,5,FALSE),"")</f>
        <v/>
      </c>
      <c r="H211" s="9" t="n"/>
      <c r="I211" s="7" t="n"/>
      <c r="J211" s="9">
        <f>IFERROR(VLOOKUP($C211,商品マスタ範囲,6,FALSE),"")</f>
        <v/>
      </c>
      <c r="K211" s="9" t="n"/>
      <c r="L211" s="7" t="n"/>
      <c r="M211" s="8" t="n"/>
      <c r="N211" s="6" t="n"/>
      <c r="O211" s="6" t="n"/>
      <c r="P211" s="6" t="n"/>
    </row>
    <row r="212">
      <c r="A212" s="6">
        <f>IF($B212="","",TEXT(YEAR($B212),"0000")&amp;"-"&amp;TEXT(SUMPRODUCT((YEAR($B$2:$B212)=YEAR($B212))*($B$2:$B212&lt;&gt;"")),"000"))</f>
        <v/>
      </c>
      <c r="B212" s="7" t="n"/>
      <c r="C212" s="8" t="n"/>
      <c r="D212" s="6">
        <f>IFERROR(VLOOKUP($C212,商品マスタ範囲,4,FALSE),"")</f>
        <v/>
      </c>
      <c r="E212" s="6">
        <f>IFERROR(VLOOKUP($C212,商品マスタ範囲,2,FALSE),"")</f>
        <v/>
      </c>
      <c r="F212" s="6">
        <f>IFERROR(VLOOKUP($C212,商品マスタ範囲,3,FALSE),"")</f>
        <v/>
      </c>
      <c r="G212" s="9">
        <f>IFERROR(VLOOKUP($C212,商品マスタ範囲,5,FALSE),"")</f>
        <v/>
      </c>
      <c r="H212" s="9" t="n"/>
      <c r="I212" s="7" t="n"/>
      <c r="J212" s="9">
        <f>IFERROR(VLOOKUP($C212,商品マスタ範囲,6,FALSE),"")</f>
        <v/>
      </c>
      <c r="K212" s="9" t="n"/>
      <c r="L212" s="7" t="n"/>
      <c r="M212" s="8" t="n"/>
      <c r="N212" s="6" t="n"/>
      <c r="O212" s="6" t="n"/>
      <c r="P212" s="6" t="n"/>
    </row>
    <row r="213">
      <c r="A213" s="6">
        <f>IF($B213="","",TEXT(YEAR($B213),"0000")&amp;"-"&amp;TEXT(SUMPRODUCT((YEAR($B$2:$B213)=YEAR($B213))*($B$2:$B213&lt;&gt;"")),"000"))</f>
        <v/>
      </c>
      <c r="B213" s="7" t="n"/>
      <c r="C213" s="8" t="n"/>
      <c r="D213" s="6">
        <f>IFERROR(VLOOKUP($C213,商品マスタ範囲,4,FALSE),"")</f>
        <v/>
      </c>
      <c r="E213" s="6">
        <f>IFERROR(VLOOKUP($C213,商品マスタ範囲,2,FALSE),"")</f>
        <v/>
      </c>
      <c r="F213" s="6">
        <f>IFERROR(VLOOKUP($C213,商品マスタ範囲,3,FALSE),"")</f>
        <v/>
      </c>
      <c r="G213" s="9">
        <f>IFERROR(VLOOKUP($C213,商品マスタ範囲,5,FALSE),"")</f>
        <v/>
      </c>
      <c r="H213" s="9" t="n"/>
      <c r="I213" s="7" t="n"/>
      <c r="J213" s="9">
        <f>IFERROR(VLOOKUP($C213,商品マスタ範囲,6,FALSE),"")</f>
        <v/>
      </c>
      <c r="K213" s="9" t="n"/>
      <c r="L213" s="7" t="n"/>
      <c r="M213" s="8" t="n"/>
      <c r="N213" s="6" t="n"/>
      <c r="O213" s="6" t="n"/>
      <c r="P213" s="6" t="n"/>
    </row>
    <row r="214">
      <c r="A214" s="6">
        <f>IF($B214="","",TEXT(YEAR($B214),"0000")&amp;"-"&amp;TEXT(SUMPRODUCT((YEAR($B$2:$B214)=YEAR($B214))*($B$2:$B214&lt;&gt;"")),"000"))</f>
        <v/>
      </c>
      <c r="B214" s="7" t="n"/>
      <c r="C214" s="8" t="n"/>
      <c r="D214" s="6">
        <f>IFERROR(VLOOKUP($C214,商品マスタ範囲,4,FALSE),"")</f>
        <v/>
      </c>
      <c r="E214" s="6">
        <f>IFERROR(VLOOKUP($C214,商品マスタ範囲,2,FALSE),"")</f>
        <v/>
      </c>
      <c r="F214" s="6">
        <f>IFERROR(VLOOKUP($C214,商品マスタ範囲,3,FALSE),"")</f>
        <v/>
      </c>
      <c r="G214" s="9">
        <f>IFERROR(VLOOKUP($C214,商品マスタ範囲,5,FALSE),"")</f>
        <v/>
      </c>
      <c r="H214" s="9" t="n"/>
      <c r="I214" s="7" t="n"/>
      <c r="J214" s="9">
        <f>IFERROR(VLOOKUP($C214,商品マスタ範囲,6,FALSE),"")</f>
        <v/>
      </c>
      <c r="K214" s="9" t="n"/>
      <c r="L214" s="7" t="n"/>
      <c r="M214" s="8" t="n"/>
      <c r="N214" s="6" t="n"/>
      <c r="O214" s="6" t="n"/>
      <c r="P214" s="6" t="n"/>
    </row>
    <row r="215">
      <c r="A215" s="6">
        <f>IF($B215="","",TEXT(YEAR($B215),"0000")&amp;"-"&amp;TEXT(SUMPRODUCT((YEAR($B$2:$B215)=YEAR($B215))*($B$2:$B215&lt;&gt;"")),"000"))</f>
        <v/>
      </c>
      <c r="B215" s="7" t="n"/>
      <c r="C215" s="8" t="n"/>
      <c r="D215" s="6">
        <f>IFERROR(VLOOKUP($C215,商品マスタ範囲,4,FALSE),"")</f>
        <v/>
      </c>
      <c r="E215" s="6">
        <f>IFERROR(VLOOKUP($C215,商品マスタ範囲,2,FALSE),"")</f>
        <v/>
      </c>
      <c r="F215" s="6">
        <f>IFERROR(VLOOKUP($C215,商品マスタ範囲,3,FALSE),"")</f>
        <v/>
      </c>
      <c r="G215" s="9">
        <f>IFERROR(VLOOKUP($C215,商品マスタ範囲,5,FALSE),"")</f>
        <v/>
      </c>
      <c r="H215" s="9" t="n"/>
      <c r="I215" s="7" t="n"/>
      <c r="J215" s="9">
        <f>IFERROR(VLOOKUP($C215,商品マスタ範囲,6,FALSE),"")</f>
        <v/>
      </c>
      <c r="K215" s="9" t="n"/>
      <c r="L215" s="7" t="n"/>
      <c r="M215" s="8" t="n"/>
      <c r="N215" s="6" t="n"/>
      <c r="O215" s="6" t="n"/>
      <c r="P215" s="6" t="n"/>
    </row>
    <row r="216">
      <c r="A216" s="6">
        <f>IF($B216="","",TEXT(YEAR($B216),"0000")&amp;"-"&amp;TEXT(SUMPRODUCT((YEAR($B$2:$B216)=YEAR($B216))*($B$2:$B216&lt;&gt;"")),"000"))</f>
        <v/>
      </c>
      <c r="B216" s="7" t="n"/>
      <c r="C216" s="8" t="n"/>
      <c r="D216" s="6">
        <f>IFERROR(VLOOKUP($C216,商品マスタ範囲,4,FALSE),"")</f>
        <v/>
      </c>
      <c r="E216" s="6">
        <f>IFERROR(VLOOKUP($C216,商品マスタ範囲,2,FALSE),"")</f>
        <v/>
      </c>
      <c r="F216" s="6">
        <f>IFERROR(VLOOKUP($C216,商品マスタ範囲,3,FALSE),"")</f>
        <v/>
      </c>
      <c r="G216" s="9">
        <f>IFERROR(VLOOKUP($C216,商品マスタ範囲,5,FALSE),"")</f>
        <v/>
      </c>
      <c r="H216" s="9" t="n"/>
      <c r="I216" s="7" t="n"/>
      <c r="J216" s="9">
        <f>IFERROR(VLOOKUP($C216,商品マスタ範囲,6,FALSE),"")</f>
        <v/>
      </c>
      <c r="K216" s="9" t="n"/>
      <c r="L216" s="7" t="n"/>
      <c r="M216" s="8" t="n"/>
      <c r="N216" s="6" t="n"/>
      <c r="O216" s="6" t="n"/>
      <c r="P216" s="6" t="n"/>
    </row>
    <row r="217">
      <c r="A217" s="6">
        <f>IF($B217="","",TEXT(YEAR($B217),"0000")&amp;"-"&amp;TEXT(SUMPRODUCT((YEAR($B$2:$B217)=YEAR($B217))*($B$2:$B217&lt;&gt;"")),"000"))</f>
        <v/>
      </c>
      <c r="B217" s="7" t="n"/>
      <c r="C217" s="8" t="n"/>
      <c r="D217" s="6">
        <f>IFERROR(VLOOKUP($C217,商品マスタ範囲,4,FALSE),"")</f>
        <v/>
      </c>
      <c r="E217" s="6">
        <f>IFERROR(VLOOKUP($C217,商品マスタ範囲,2,FALSE),"")</f>
        <v/>
      </c>
      <c r="F217" s="6">
        <f>IFERROR(VLOOKUP($C217,商品マスタ範囲,3,FALSE),"")</f>
        <v/>
      </c>
      <c r="G217" s="9">
        <f>IFERROR(VLOOKUP($C217,商品マスタ範囲,5,FALSE),"")</f>
        <v/>
      </c>
      <c r="H217" s="9" t="n"/>
      <c r="I217" s="7" t="n"/>
      <c r="J217" s="9">
        <f>IFERROR(VLOOKUP($C217,商品マスタ範囲,6,FALSE),"")</f>
        <v/>
      </c>
      <c r="K217" s="9" t="n"/>
      <c r="L217" s="7" t="n"/>
      <c r="M217" s="8" t="n"/>
      <c r="N217" s="6" t="n"/>
      <c r="O217" s="6" t="n"/>
      <c r="P217" s="6" t="n"/>
    </row>
    <row r="218">
      <c r="A218" s="6">
        <f>IF($B218="","",TEXT(YEAR($B218),"0000")&amp;"-"&amp;TEXT(SUMPRODUCT((YEAR($B$2:$B218)=YEAR($B218))*($B$2:$B218&lt;&gt;"")),"000"))</f>
        <v/>
      </c>
      <c r="B218" s="7" t="n"/>
      <c r="C218" s="8" t="n"/>
      <c r="D218" s="6">
        <f>IFERROR(VLOOKUP($C218,商品マスタ範囲,4,FALSE),"")</f>
        <v/>
      </c>
      <c r="E218" s="6">
        <f>IFERROR(VLOOKUP($C218,商品マスタ範囲,2,FALSE),"")</f>
        <v/>
      </c>
      <c r="F218" s="6">
        <f>IFERROR(VLOOKUP($C218,商品マスタ範囲,3,FALSE),"")</f>
        <v/>
      </c>
      <c r="G218" s="9">
        <f>IFERROR(VLOOKUP($C218,商品マスタ範囲,5,FALSE),"")</f>
        <v/>
      </c>
      <c r="H218" s="9" t="n"/>
      <c r="I218" s="7" t="n"/>
      <c r="J218" s="9">
        <f>IFERROR(VLOOKUP($C218,商品マスタ範囲,6,FALSE),"")</f>
        <v/>
      </c>
      <c r="K218" s="9" t="n"/>
      <c r="L218" s="7" t="n"/>
      <c r="M218" s="8" t="n"/>
      <c r="N218" s="6" t="n"/>
      <c r="O218" s="6" t="n"/>
      <c r="P218" s="6" t="n"/>
    </row>
    <row r="219">
      <c r="A219" s="6">
        <f>IF($B219="","",TEXT(YEAR($B219),"0000")&amp;"-"&amp;TEXT(SUMPRODUCT((YEAR($B$2:$B219)=YEAR($B219))*($B$2:$B219&lt;&gt;"")),"000"))</f>
        <v/>
      </c>
      <c r="B219" s="7" t="n"/>
      <c r="C219" s="8" t="n"/>
      <c r="D219" s="6">
        <f>IFERROR(VLOOKUP($C219,商品マスタ範囲,4,FALSE),"")</f>
        <v/>
      </c>
      <c r="E219" s="6">
        <f>IFERROR(VLOOKUP($C219,商品マスタ範囲,2,FALSE),"")</f>
        <v/>
      </c>
      <c r="F219" s="6">
        <f>IFERROR(VLOOKUP($C219,商品マスタ範囲,3,FALSE),"")</f>
        <v/>
      </c>
      <c r="G219" s="9">
        <f>IFERROR(VLOOKUP($C219,商品マスタ範囲,5,FALSE),"")</f>
        <v/>
      </c>
      <c r="H219" s="9" t="n"/>
      <c r="I219" s="7" t="n"/>
      <c r="J219" s="9">
        <f>IFERROR(VLOOKUP($C219,商品マスタ範囲,6,FALSE),"")</f>
        <v/>
      </c>
      <c r="K219" s="9" t="n"/>
      <c r="L219" s="7" t="n"/>
      <c r="M219" s="8" t="n"/>
      <c r="N219" s="6" t="n"/>
      <c r="O219" s="6" t="n"/>
      <c r="P219" s="6" t="n"/>
    </row>
    <row r="220">
      <c r="A220" s="6">
        <f>IF($B220="","",TEXT(YEAR($B220),"0000")&amp;"-"&amp;TEXT(SUMPRODUCT((YEAR($B$2:$B220)=YEAR($B220))*($B$2:$B220&lt;&gt;"")),"000"))</f>
        <v/>
      </c>
      <c r="B220" s="7" t="n"/>
      <c r="C220" s="8" t="n"/>
      <c r="D220" s="6">
        <f>IFERROR(VLOOKUP($C220,商品マスタ範囲,4,FALSE),"")</f>
        <v/>
      </c>
      <c r="E220" s="6">
        <f>IFERROR(VLOOKUP($C220,商品マスタ範囲,2,FALSE),"")</f>
        <v/>
      </c>
      <c r="F220" s="6">
        <f>IFERROR(VLOOKUP($C220,商品マスタ範囲,3,FALSE),"")</f>
        <v/>
      </c>
      <c r="G220" s="9">
        <f>IFERROR(VLOOKUP($C220,商品マスタ範囲,5,FALSE),"")</f>
        <v/>
      </c>
      <c r="H220" s="9" t="n"/>
      <c r="I220" s="7" t="n"/>
      <c r="J220" s="9">
        <f>IFERROR(VLOOKUP($C220,商品マスタ範囲,6,FALSE),"")</f>
        <v/>
      </c>
      <c r="K220" s="9" t="n"/>
      <c r="L220" s="7" t="n"/>
      <c r="M220" s="8" t="n"/>
      <c r="N220" s="6" t="n"/>
      <c r="O220" s="6" t="n"/>
      <c r="P220" s="6" t="n"/>
    </row>
    <row r="221">
      <c r="A221" s="6">
        <f>IF($B221="","",TEXT(YEAR($B221),"0000")&amp;"-"&amp;TEXT(SUMPRODUCT((YEAR($B$2:$B221)=YEAR($B221))*($B$2:$B221&lt;&gt;"")),"000"))</f>
        <v/>
      </c>
      <c r="B221" s="7" t="n"/>
      <c r="C221" s="8" t="n"/>
      <c r="D221" s="6">
        <f>IFERROR(VLOOKUP($C221,商品マスタ範囲,4,FALSE),"")</f>
        <v/>
      </c>
      <c r="E221" s="6">
        <f>IFERROR(VLOOKUP($C221,商品マスタ範囲,2,FALSE),"")</f>
        <v/>
      </c>
      <c r="F221" s="6">
        <f>IFERROR(VLOOKUP($C221,商品マスタ範囲,3,FALSE),"")</f>
        <v/>
      </c>
      <c r="G221" s="9">
        <f>IFERROR(VLOOKUP($C221,商品マスタ範囲,5,FALSE),"")</f>
        <v/>
      </c>
      <c r="H221" s="9" t="n"/>
      <c r="I221" s="7" t="n"/>
      <c r="J221" s="9">
        <f>IFERROR(VLOOKUP($C221,商品マスタ範囲,6,FALSE),"")</f>
        <v/>
      </c>
      <c r="K221" s="9" t="n"/>
      <c r="L221" s="7" t="n"/>
      <c r="M221" s="8" t="n"/>
      <c r="N221" s="6" t="n"/>
      <c r="O221" s="6" t="n"/>
      <c r="P221" s="6" t="n"/>
    </row>
    <row r="222">
      <c r="A222" s="6">
        <f>IF($B222="","",TEXT(YEAR($B222),"0000")&amp;"-"&amp;TEXT(SUMPRODUCT((YEAR($B$2:$B222)=YEAR($B222))*($B$2:$B222&lt;&gt;"")),"000"))</f>
        <v/>
      </c>
      <c r="B222" s="7" t="n"/>
      <c r="C222" s="8" t="n"/>
      <c r="D222" s="6">
        <f>IFERROR(VLOOKUP($C222,商品マスタ範囲,4,FALSE),"")</f>
        <v/>
      </c>
      <c r="E222" s="6">
        <f>IFERROR(VLOOKUP($C222,商品マスタ範囲,2,FALSE),"")</f>
        <v/>
      </c>
      <c r="F222" s="6">
        <f>IFERROR(VLOOKUP($C222,商品マスタ範囲,3,FALSE),"")</f>
        <v/>
      </c>
      <c r="G222" s="9">
        <f>IFERROR(VLOOKUP($C222,商品マスタ範囲,5,FALSE),"")</f>
        <v/>
      </c>
      <c r="H222" s="9" t="n"/>
      <c r="I222" s="7" t="n"/>
      <c r="J222" s="9">
        <f>IFERROR(VLOOKUP($C222,商品マスタ範囲,6,FALSE),"")</f>
        <v/>
      </c>
      <c r="K222" s="9" t="n"/>
      <c r="L222" s="7" t="n"/>
      <c r="M222" s="8" t="n"/>
      <c r="N222" s="6" t="n"/>
      <c r="O222" s="6" t="n"/>
      <c r="P222" s="6" t="n"/>
    </row>
    <row r="223">
      <c r="A223" s="6">
        <f>IF($B223="","",TEXT(YEAR($B223),"0000")&amp;"-"&amp;TEXT(SUMPRODUCT((YEAR($B$2:$B223)=YEAR($B223))*($B$2:$B223&lt;&gt;"")),"000"))</f>
        <v/>
      </c>
      <c r="B223" s="7" t="n"/>
      <c r="C223" s="8" t="n"/>
      <c r="D223" s="6">
        <f>IFERROR(VLOOKUP($C223,商品マスタ範囲,4,FALSE),"")</f>
        <v/>
      </c>
      <c r="E223" s="6">
        <f>IFERROR(VLOOKUP($C223,商品マスタ範囲,2,FALSE),"")</f>
        <v/>
      </c>
      <c r="F223" s="6">
        <f>IFERROR(VLOOKUP($C223,商品マスタ範囲,3,FALSE),"")</f>
        <v/>
      </c>
      <c r="G223" s="9">
        <f>IFERROR(VLOOKUP($C223,商品マスタ範囲,5,FALSE),"")</f>
        <v/>
      </c>
      <c r="H223" s="9" t="n"/>
      <c r="I223" s="7" t="n"/>
      <c r="J223" s="9">
        <f>IFERROR(VLOOKUP($C223,商品マスタ範囲,6,FALSE),"")</f>
        <v/>
      </c>
      <c r="K223" s="9" t="n"/>
      <c r="L223" s="7" t="n"/>
      <c r="M223" s="8" t="n"/>
      <c r="N223" s="6" t="n"/>
      <c r="O223" s="6" t="n"/>
      <c r="P223" s="6" t="n"/>
    </row>
    <row r="224">
      <c r="A224" s="6">
        <f>IF($B224="","",TEXT(YEAR($B224),"0000")&amp;"-"&amp;TEXT(SUMPRODUCT((YEAR($B$2:$B224)=YEAR($B224))*($B$2:$B224&lt;&gt;"")),"000"))</f>
        <v/>
      </c>
      <c r="B224" s="7" t="n"/>
      <c r="C224" s="8" t="n"/>
      <c r="D224" s="6">
        <f>IFERROR(VLOOKUP($C224,商品マスタ範囲,4,FALSE),"")</f>
        <v/>
      </c>
      <c r="E224" s="6">
        <f>IFERROR(VLOOKUP($C224,商品マスタ範囲,2,FALSE),"")</f>
        <v/>
      </c>
      <c r="F224" s="6">
        <f>IFERROR(VLOOKUP($C224,商品マスタ範囲,3,FALSE),"")</f>
        <v/>
      </c>
      <c r="G224" s="9">
        <f>IFERROR(VLOOKUP($C224,商品マスタ範囲,5,FALSE),"")</f>
        <v/>
      </c>
      <c r="H224" s="9" t="n"/>
      <c r="I224" s="7" t="n"/>
      <c r="J224" s="9">
        <f>IFERROR(VLOOKUP($C224,商品マスタ範囲,6,FALSE),"")</f>
        <v/>
      </c>
      <c r="K224" s="9" t="n"/>
      <c r="L224" s="7" t="n"/>
      <c r="M224" s="8" t="n"/>
      <c r="N224" s="6" t="n"/>
      <c r="O224" s="6" t="n"/>
      <c r="P224" s="6" t="n"/>
    </row>
    <row r="225">
      <c r="A225" s="6">
        <f>IF($B225="","",TEXT(YEAR($B225),"0000")&amp;"-"&amp;TEXT(SUMPRODUCT((YEAR($B$2:$B225)=YEAR($B225))*($B$2:$B225&lt;&gt;"")),"000"))</f>
        <v/>
      </c>
      <c r="B225" s="7" t="n"/>
      <c r="C225" s="8" t="n"/>
      <c r="D225" s="6">
        <f>IFERROR(VLOOKUP($C225,商品マスタ範囲,4,FALSE),"")</f>
        <v/>
      </c>
      <c r="E225" s="6">
        <f>IFERROR(VLOOKUP($C225,商品マスタ範囲,2,FALSE),"")</f>
        <v/>
      </c>
      <c r="F225" s="6">
        <f>IFERROR(VLOOKUP($C225,商品マスタ範囲,3,FALSE),"")</f>
        <v/>
      </c>
      <c r="G225" s="9">
        <f>IFERROR(VLOOKUP($C225,商品マスタ範囲,5,FALSE),"")</f>
        <v/>
      </c>
      <c r="H225" s="9" t="n"/>
      <c r="I225" s="7" t="n"/>
      <c r="J225" s="9">
        <f>IFERROR(VLOOKUP($C225,商品マスタ範囲,6,FALSE),"")</f>
        <v/>
      </c>
      <c r="K225" s="9" t="n"/>
      <c r="L225" s="7" t="n"/>
      <c r="M225" s="8" t="n"/>
      <c r="N225" s="6" t="n"/>
      <c r="O225" s="6" t="n"/>
      <c r="P225" s="6" t="n"/>
    </row>
    <row r="226">
      <c r="A226" s="6">
        <f>IF($B226="","",TEXT(YEAR($B226),"0000")&amp;"-"&amp;TEXT(SUMPRODUCT((YEAR($B$2:$B226)=YEAR($B226))*($B$2:$B226&lt;&gt;"")),"000"))</f>
        <v/>
      </c>
      <c r="B226" s="7" t="n"/>
      <c r="C226" s="8" t="n"/>
      <c r="D226" s="6">
        <f>IFERROR(VLOOKUP($C226,商品マスタ範囲,4,FALSE),"")</f>
        <v/>
      </c>
      <c r="E226" s="6">
        <f>IFERROR(VLOOKUP($C226,商品マスタ範囲,2,FALSE),"")</f>
        <v/>
      </c>
      <c r="F226" s="6">
        <f>IFERROR(VLOOKUP($C226,商品マスタ範囲,3,FALSE),"")</f>
        <v/>
      </c>
      <c r="G226" s="9">
        <f>IFERROR(VLOOKUP($C226,商品マスタ範囲,5,FALSE),"")</f>
        <v/>
      </c>
      <c r="H226" s="9" t="n"/>
      <c r="I226" s="7" t="n"/>
      <c r="J226" s="9">
        <f>IFERROR(VLOOKUP($C226,商品マスタ範囲,6,FALSE),"")</f>
        <v/>
      </c>
      <c r="K226" s="9" t="n"/>
      <c r="L226" s="7" t="n"/>
      <c r="M226" s="8" t="n"/>
      <c r="N226" s="6" t="n"/>
      <c r="O226" s="6" t="n"/>
      <c r="P226" s="6" t="n"/>
    </row>
    <row r="227">
      <c r="A227" s="6">
        <f>IF($B227="","",TEXT(YEAR($B227),"0000")&amp;"-"&amp;TEXT(SUMPRODUCT((YEAR($B$2:$B227)=YEAR($B227))*($B$2:$B227&lt;&gt;"")),"000"))</f>
        <v/>
      </c>
      <c r="B227" s="7" t="n"/>
      <c r="C227" s="8" t="n"/>
      <c r="D227" s="6">
        <f>IFERROR(VLOOKUP($C227,商品マスタ範囲,4,FALSE),"")</f>
        <v/>
      </c>
      <c r="E227" s="6">
        <f>IFERROR(VLOOKUP($C227,商品マスタ範囲,2,FALSE),"")</f>
        <v/>
      </c>
      <c r="F227" s="6">
        <f>IFERROR(VLOOKUP($C227,商品マスタ範囲,3,FALSE),"")</f>
        <v/>
      </c>
      <c r="G227" s="9">
        <f>IFERROR(VLOOKUP($C227,商品マスタ範囲,5,FALSE),"")</f>
        <v/>
      </c>
      <c r="H227" s="9" t="n"/>
      <c r="I227" s="7" t="n"/>
      <c r="J227" s="9">
        <f>IFERROR(VLOOKUP($C227,商品マスタ範囲,6,FALSE),"")</f>
        <v/>
      </c>
      <c r="K227" s="9" t="n"/>
      <c r="L227" s="7" t="n"/>
      <c r="M227" s="8" t="n"/>
      <c r="N227" s="6" t="n"/>
      <c r="O227" s="6" t="n"/>
      <c r="P227" s="6" t="n"/>
    </row>
    <row r="228">
      <c r="A228" s="6">
        <f>IF($B228="","",TEXT(YEAR($B228),"0000")&amp;"-"&amp;TEXT(SUMPRODUCT((YEAR($B$2:$B228)=YEAR($B228))*($B$2:$B228&lt;&gt;"")),"000"))</f>
        <v/>
      </c>
      <c r="B228" s="7" t="n"/>
      <c r="C228" s="8" t="n"/>
      <c r="D228" s="6">
        <f>IFERROR(VLOOKUP($C228,商品マスタ範囲,4,FALSE),"")</f>
        <v/>
      </c>
      <c r="E228" s="6">
        <f>IFERROR(VLOOKUP($C228,商品マスタ範囲,2,FALSE),"")</f>
        <v/>
      </c>
      <c r="F228" s="6">
        <f>IFERROR(VLOOKUP($C228,商品マスタ範囲,3,FALSE),"")</f>
        <v/>
      </c>
      <c r="G228" s="9">
        <f>IFERROR(VLOOKUP($C228,商品マスタ範囲,5,FALSE),"")</f>
        <v/>
      </c>
      <c r="H228" s="9" t="n"/>
      <c r="I228" s="7" t="n"/>
      <c r="J228" s="9">
        <f>IFERROR(VLOOKUP($C228,商品マスタ範囲,6,FALSE),"")</f>
        <v/>
      </c>
      <c r="K228" s="9" t="n"/>
      <c r="L228" s="7" t="n"/>
      <c r="M228" s="8" t="n"/>
      <c r="N228" s="6" t="n"/>
      <c r="O228" s="6" t="n"/>
      <c r="P228" s="6" t="n"/>
    </row>
    <row r="229">
      <c r="A229" s="6">
        <f>IF($B229="","",TEXT(YEAR($B229),"0000")&amp;"-"&amp;TEXT(SUMPRODUCT((YEAR($B$2:$B229)=YEAR($B229))*($B$2:$B229&lt;&gt;"")),"000"))</f>
        <v/>
      </c>
      <c r="B229" s="7" t="n"/>
      <c r="C229" s="8" t="n"/>
      <c r="D229" s="6">
        <f>IFERROR(VLOOKUP($C229,商品マスタ範囲,4,FALSE),"")</f>
        <v/>
      </c>
      <c r="E229" s="6">
        <f>IFERROR(VLOOKUP($C229,商品マスタ範囲,2,FALSE),"")</f>
        <v/>
      </c>
      <c r="F229" s="6">
        <f>IFERROR(VLOOKUP($C229,商品マスタ範囲,3,FALSE),"")</f>
        <v/>
      </c>
      <c r="G229" s="9">
        <f>IFERROR(VLOOKUP($C229,商品マスタ範囲,5,FALSE),"")</f>
        <v/>
      </c>
      <c r="H229" s="9" t="n"/>
      <c r="I229" s="7" t="n"/>
      <c r="J229" s="9">
        <f>IFERROR(VLOOKUP($C229,商品マスタ範囲,6,FALSE),"")</f>
        <v/>
      </c>
      <c r="K229" s="9" t="n"/>
      <c r="L229" s="7" t="n"/>
      <c r="M229" s="8" t="n"/>
      <c r="N229" s="6" t="n"/>
      <c r="O229" s="6" t="n"/>
      <c r="P229" s="6" t="n"/>
    </row>
    <row r="230">
      <c r="A230" s="6">
        <f>IF($B230="","",TEXT(YEAR($B230),"0000")&amp;"-"&amp;TEXT(SUMPRODUCT((YEAR($B$2:$B230)=YEAR($B230))*($B$2:$B230&lt;&gt;"")),"000"))</f>
        <v/>
      </c>
      <c r="B230" s="7" t="n"/>
      <c r="C230" s="8" t="n"/>
      <c r="D230" s="6">
        <f>IFERROR(VLOOKUP($C230,商品マスタ範囲,4,FALSE),"")</f>
        <v/>
      </c>
      <c r="E230" s="6">
        <f>IFERROR(VLOOKUP($C230,商品マスタ範囲,2,FALSE),"")</f>
        <v/>
      </c>
      <c r="F230" s="6">
        <f>IFERROR(VLOOKUP($C230,商品マスタ範囲,3,FALSE),"")</f>
        <v/>
      </c>
      <c r="G230" s="9">
        <f>IFERROR(VLOOKUP($C230,商品マスタ範囲,5,FALSE),"")</f>
        <v/>
      </c>
      <c r="H230" s="9" t="n"/>
      <c r="I230" s="7" t="n"/>
      <c r="J230" s="9">
        <f>IFERROR(VLOOKUP($C230,商品マスタ範囲,6,FALSE),"")</f>
        <v/>
      </c>
      <c r="K230" s="9" t="n"/>
      <c r="L230" s="7" t="n"/>
      <c r="M230" s="8" t="n"/>
      <c r="N230" s="6" t="n"/>
      <c r="O230" s="6" t="n"/>
      <c r="P230" s="6" t="n"/>
    </row>
    <row r="231">
      <c r="A231" s="6">
        <f>IF($B231="","",TEXT(YEAR($B231),"0000")&amp;"-"&amp;TEXT(SUMPRODUCT((YEAR($B$2:$B231)=YEAR($B231))*($B$2:$B231&lt;&gt;"")),"000"))</f>
        <v/>
      </c>
      <c r="B231" s="7" t="n"/>
      <c r="C231" s="8" t="n"/>
      <c r="D231" s="6">
        <f>IFERROR(VLOOKUP($C231,商品マスタ範囲,4,FALSE),"")</f>
        <v/>
      </c>
      <c r="E231" s="6">
        <f>IFERROR(VLOOKUP($C231,商品マスタ範囲,2,FALSE),"")</f>
        <v/>
      </c>
      <c r="F231" s="6">
        <f>IFERROR(VLOOKUP($C231,商品マスタ範囲,3,FALSE),"")</f>
        <v/>
      </c>
      <c r="G231" s="9">
        <f>IFERROR(VLOOKUP($C231,商品マスタ範囲,5,FALSE),"")</f>
        <v/>
      </c>
      <c r="H231" s="9" t="n"/>
      <c r="I231" s="7" t="n"/>
      <c r="J231" s="9">
        <f>IFERROR(VLOOKUP($C231,商品マスタ範囲,6,FALSE),"")</f>
        <v/>
      </c>
      <c r="K231" s="9" t="n"/>
      <c r="L231" s="7" t="n"/>
      <c r="M231" s="8" t="n"/>
      <c r="N231" s="6" t="n"/>
      <c r="O231" s="6" t="n"/>
      <c r="P231" s="6" t="n"/>
    </row>
    <row r="232">
      <c r="A232" s="6">
        <f>IF($B232="","",TEXT(YEAR($B232),"0000")&amp;"-"&amp;TEXT(SUMPRODUCT((YEAR($B$2:$B232)=YEAR($B232))*($B$2:$B232&lt;&gt;"")),"000"))</f>
        <v/>
      </c>
      <c r="B232" s="7" t="n"/>
      <c r="C232" s="8" t="n"/>
      <c r="D232" s="6">
        <f>IFERROR(VLOOKUP($C232,商品マスタ範囲,4,FALSE),"")</f>
        <v/>
      </c>
      <c r="E232" s="6">
        <f>IFERROR(VLOOKUP($C232,商品マスタ範囲,2,FALSE),"")</f>
        <v/>
      </c>
      <c r="F232" s="6">
        <f>IFERROR(VLOOKUP($C232,商品マスタ範囲,3,FALSE),"")</f>
        <v/>
      </c>
      <c r="G232" s="9">
        <f>IFERROR(VLOOKUP($C232,商品マスタ範囲,5,FALSE),"")</f>
        <v/>
      </c>
      <c r="H232" s="9" t="n"/>
      <c r="I232" s="7" t="n"/>
      <c r="J232" s="9">
        <f>IFERROR(VLOOKUP($C232,商品マスタ範囲,6,FALSE),"")</f>
        <v/>
      </c>
      <c r="K232" s="9" t="n"/>
      <c r="L232" s="7" t="n"/>
      <c r="M232" s="8" t="n"/>
      <c r="N232" s="6" t="n"/>
      <c r="O232" s="6" t="n"/>
      <c r="P232" s="6" t="n"/>
    </row>
    <row r="233">
      <c r="A233" s="6">
        <f>IF($B233="","",TEXT(YEAR($B233),"0000")&amp;"-"&amp;TEXT(SUMPRODUCT((YEAR($B$2:$B233)=YEAR($B233))*($B$2:$B233&lt;&gt;"")),"000"))</f>
        <v/>
      </c>
      <c r="B233" s="7" t="n"/>
      <c r="C233" s="8" t="n"/>
      <c r="D233" s="6">
        <f>IFERROR(VLOOKUP($C233,商品マスタ範囲,4,FALSE),"")</f>
        <v/>
      </c>
      <c r="E233" s="6">
        <f>IFERROR(VLOOKUP($C233,商品マスタ範囲,2,FALSE),"")</f>
        <v/>
      </c>
      <c r="F233" s="6">
        <f>IFERROR(VLOOKUP($C233,商品マスタ範囲,3,FALSE),"")</f>
        <v/>
      </c>
      <c r="G233" s="9">
        <f>IFERROR(VLOOKUP($C233,商品マスタ範囲,5,FALSE),"")</f>
        <v/>
      </c>
      <c r="H233" s="9" t="n"/>
      <c r="I233" s="7" t="n"/>
      <c r="J233" s="9">
        <f>IFERROR(VLOOKUP($C233,商品マスタ範囲,6,FALSE),"")</f>
        <v/>
      </c>
      <c r="K233" s="9" t="n"/>
      <c r="L233" s="7" t="n"/>
      <c r="M233" s="8" t="n"/>
      <c r="N233" s="6" t="n"/>
      <c r="O233" s="6" t="n"/>
      <c r="P233" s="6" t="n"/>
    </row>
    <row r="234">
      <c r="A234" s="6">
        <f>IF($B234="","",TEXT(YEAR($B234),"0000")&amp;"-"&amp;TEXT(SUMPRODUCT((YEAR($B$2:$B234)=YEAR($B234))*($B$2:$B234&lt;&gt;"")),"000"))</f>
        <v/>
      </c>
      <c r="B234" s="7" t="n"/>
      <c r="C234" s="8" t="n"/>
      <c r="D234" s="6">
        <f>IFERROR(VLOOKUP($C234,商品マスタ範囲,4,FALSE),"")</f>
        <v/>
      </c>
      <c r="E234" s="6">
        <f>IFERROR(VLOOKUP($C234,商品マスタ範囲,2,FALSE),"")</f>
        <v/>
      </c>
      <c r="F234" s="6">
        <f>IFERROR(VLOOKUP($C234,商品マスタ範囲,3,FALSE),"")</f>
        <v/>
      </c>
      <c r="G234" s="9">
        <f>IFERROR(VLOOKUP($C234,商品マスタ範囲,5,FALSE),"")</f>
        <v/>
      </c>
      <c r="H234" s="9" t="n"/>
      <c r="I234" s="7" t="n"/>
      <c r="J234" s="9">
        <f>IFERROR(VLOOKUP($C234,商品マスタ範囲,6,FALSE),"")</f>
        <v/>
      </c>
      <c r="K234" s="9" t="n"/>
      <c r="L234" s="7" t="n"/>
      <c r="M234" s="8" t="n"/>
      <c r="N234" s="6" t="n"/>
      <c r="O234" s="6" t="n"/>
      <c r="P234" s="6" t="n"/>
    </row>
    <row r="235">
      <c r="A235" s="6">
        <f>IF($B235="","",TEXT(YEAR($B235),"0000")&amp;"-"&amp;TEXT(SUMPRODUCT((YEAR($B$2:$B235)=YEAR($B235))*($B$2:$B235&lt;&gt;"")),"000"))</f>
        <v/>
      </c>
      <c r="B235" s="7" t="n"/>
      <c r="C235" s="8" t="n"/>
      <c r="D235" s="6">
        <f>IFERROR(VLOOKUP($C235,商品マスタ範囲,4,FALSE),"")</f>
        <v/>
      </c>
      <c r="E235" s="6">
        <f>IFERROR(VLOOKUP($C235,商品マスタ範囲,2,FALSE),"")</f>
        <v/>
      </c>
      <c r="F235" s="6">
        <f>IFERROR(VLOOKUP($C235,商品マスタ範囲,3,FALSE),"")</f>
        <v/>
      </c>
      <c r="G235" s="9">
        <f>IFERROR(VLOOKUP($C235,商品マスタ範囲,5,FALSE),"")</f>
        <v/>
      </c>
      <c r="H235" s="9" t="n"/>
      <c r="I235" s="7" t="n"/>
      <c r="J235" s="9">
        <f>IFERROR(VLOOKUP($C235,商品マスタ範囲,6,FALSE),"")</f>
        <v/>
      </c>
      <c r="K235" s="9" t="n"/>
      <c r="L235" s="7" t="n"/>
      <c r="M235" s="8" t="n"/>
      <c r="N235" s="6" t="n"/>
      <c r="O235" s="6" t="n"/>
      <c r="P235" s="6" t="n"/>
    </row>
    <row r="236">
      <c r="A236" s="6">
        <f>IF($B236="","",TEXT(YEAR($B236),"0000")&amp;"-"&amp;TEXT(SUMPRODUCT((YEAR($B$2:$B236)=YEAR($B236))*($B$2:$B236&lt;&gt;"")),"000"))</f>
        <v/>
      </c>
      <c r="B236" s="7" t="n"/>
      <c r="C236" s="8" t="n"/>
      <c r="D236" s="6">
        <f>IFERROR(VLOOKUP($C236,商品マスタ範囲,4,FALSE),"")</f>
        <v/>
      </c>
      <c r="E236" s="6">
        <f>IFERROR(VLOOKUP($C236,商品マスタ範囲,2,FALSE),"")</f>
        <v/>
      </c>
      <c r="F236" s="6">
        <f>IFERROR(VLOOKUP($C236,商品マスタ範囲,3,FALSE),"")</f>
        <v/>
      </c>
      <c r="G236" s="9">
        <f>IFERROR(VLOOKUP($C236,商品マスタ範囲,5,FALSE),"")</f>
        <v/>
      </c>
      <c r="H236" s="9" t="n"/>
      <c r="I236" s="7" t="n"/>
      <c r="J236" s="9">
        <f>IFERROR(VLOOKUP($C236,商品マスタ範囲,6,FALSE),"")</f>
        <v/>
      </c>
      <c r="K236" s="9" t="n"/>
      <c r="L236" s="7" t="n"/>
      <c r="M236" s="8" t="n"/>
      <c r="N236" s="6" t="n"/>
      <c r="O236" s="6" t="n"/>
      <c r="P236" s="6" t="n"/>
    </row>
    <row r="237">
      <c r="A237" s="6">
        <f>IF($B237="","",TEXT(YEAR($B237),"0000")&amp;"-"&amp;TEXT(SUMPRODUCT((YEAR($B$2:$B237)=YEAR($B237))*($B$2:$B237&lt;&gt;"")),"000"))</f>
        <v/>
      </c>
      <c r="B237" s="7" t="n"/>
      <c r="C237" s="8" t="n"/>
      <c r="D237" s="6">
        <f>IFERROR(VLOOKUP($C237,商品マスタ範囲,4,FALSE),"")</f>
        <v/>
      </c>
      <c r="E237" s="6">
        <f>IFERROR(VLOOKUP($C237,商品マスタ範囲,2,FALSE),"")</f>
        <v/>
      </c>
      <c r="F237" s="6">
        <f>IFERROR(VLOOKUP($C237,商品マスタ範囲,3,FALSE),"")</f>
        <v/>
      </c>
      <c r="G237" s="9">
        <f>IFERROR(VLOOKUP($C237,商品マスタ範囲,5,FALSE),"")</f>
        <v/>
      </c>
      <c r="H237" s="9" t="n"/>
      <c r="I237" s="7" t="n"/>
      <c r="J237" s="9">
        <f>IFERROR(VLOOKUP($C237,商品マスタ範囲,6,FALSE),"")</f>
        <v/>
      </c>
      <c r="K237" s="9" t="n"/>
      <c r="L237" s="7" t="n"/>
      <c r="M237" s="8" t="n"/>
      <c r="N237" s="6" t="n"/>
      <c r="O237" s="6" t="n"/>
      <c r="P237" s="6" t="n"/>
    </row>
    <row r="238">
      <c r="A238" s="6">
        <f>IF($B238="","",TEXT(YEAR($B238),"0000")&amp;"-"&amp;TEXT(SUMPRODUCT((YEAR($B$2:$B238)=YEAR($B238))*($B$2:$B238&lt;&gt;"")),"000"))</f>
        <v/>
      </c>
      <c r="B238" s="7" t="n"/>
      <c r="C238" s="8" t="n"/>
      <c r="D238" s="6">
        <f>IFERROR(VLOOKUP($C238,商品マスタ範囲,4,FALSE),"")</f>
        <v/>
      </c>
      <c r="E238" s="6">
        <f>IFERROR(VLOOKUP($C238,商品マスタ範囲,2,FALSE),"")</f>
        <v/>
      </c>
      <c r="F238" s="6">
        <f>IFERROR(VLOOKUP($C238,商品マスタ範囲,3,FALSE),"")</f>
        <v/>
      </c>
      <c r="G238" s="9">
        <f>IFERROR(VLOOKUP($C238,商品マスタ範囲,5,FALSE),"")</f>
        <v/>
      </c>
      <c r="H238" s="9" t="n"/>
      <c r="I238" s="7" t="n"/>
      <c r="J238" s="9">
        <f>IFERROR(VLOOKUP($C238,商品マスタ範囲,6,FALSE),"")</f>
        <v/>
      </c>
      <c r="K238" s="9" t="n"/>
      <c r="L238" s="7" t="n"/>
      <c r="M238" s="8" t="n"/>
      <c r="N238" s="6" t="n"/>
      <c r="O238" s="6" t="n"/>
      <c r="P238" s="6" t="n"/>
    </row>
    <row r="239">
      <c r="A239" s="6">
        <f>IF($B239="","",TEXT(YEAR($B239),"0000")&amp;"-"&amp;TEXT(SUMPRODUCT((YEAR($B$2:$B239)=YEAR($B239))*($B$2:$B239&lt;&gt;"")),"000"))</f>
        <v/>
      </c>
      <c r="B239" s="7" t="n"/>
      <c r="C239" s="8" t="n"/>
      <c r="D239" s="6">
        <f>IFERROR(VLOOKUP($C239,商品マスタ範囲,4,FALSE),"")</f>
        <v/>
      </c>
      <c r="E239" s="6">
        <f>IFERROR(VLOOKUP($C239,商品マスタ範囲,2,FALSE),"")</f>
        <v/>
      </c>
      <c r="F239" s="6">
        <f>IFERROR(VLOOKUP($C239,商品マスタ範囲,3,FALSE),"")</f>
        <v/>
      </c>
      <c r="G239" s="9">
        <f>IFERROR(VLOOKUP($C239,商品マスタ範囲,5,FALSE),"")</f>
        <v/>
      </c>
      <c r="H239" s="9" t="n"/>
      <c r="I239" s="7" t="n"/>
      <c r="J239" s="9">
        <f>IFERROR(VLOOKUP($C239,商品マスタ範囲,6,FALSE),"")</f>
        <v/>
      </c>
      <c r="K239" s="9" t="n"/>
      <c r="L239" s="7" t="n"/>
      <c r="M239" s="8" t="n"/>
      <c r="N239" s="6" t="n"/>
      <c r="O239" s="6" t="n"/>
      <c r="P239" s="6" t="n"/>
    </row>
    <row r="240">
      <c r="A240" s="6">
        <f>IF($B240="","",TEXT(YEAR($B240),"0000")&amp;"-"&amp;TEXT(SUMPRODUCT((YEAR($B$2:$B240)=YEAR($B240))*($B$2:$B240&lt;&gt;"")),"000"))</f>
        <v/>
      </c>
      <c r="B240" s="7" t="n"/>
      <c r="C240" s="8" t="n"/>
      <c r="D240" s="6">
        <f>IFERROR(VLOOKUP($C240,商品マスタ範囲,4,FALSE),"")</f>
        <v/>
      </c>
      <c r="E240" s="6">
        <f>IFERROR(VLOOKUP($C240,商品マスタ範囲,2,FALSE),"")</f>
        <v/>
      </c>
      <c r="F240" s="6">
        <f>IFERROR(VLOOKUP($C240,商品マスタ範囲,3,FALSE),"")</f>
        <v/>
      </c>
      <c r="G240" s="9">
        <f>IFERROR(VLOOKUP($C240,商品マスタ範囲,5,FALSE),"")</f>
        <v/>
      </c>
      <c r="H240" s="9" t="n"/>
      <c r="I240" s="7" t="n"/>
      <c r="J240" s="9">
        <f>IFERROR(VLOOKUP($C240,商品マスタ範囲,6,FALSE),"")</f>
        <v/>
      </c>
      <c r="K240" s="9" t="n"/>
      <c r="L240" s="7" t="n"/>
      <c r="M240" s="8" t="n"/>
      <c r="N240" s="6" t="n"/>
      <c r="O240" s="6" t="n"/>
      <c r="P240" s="6" t="n"/>
    </row>
    <row r="241">
      <c r="A241" s="6">
        <f>IF($B241="","",TEXT(YEAR($B241),"0000")&amp;"-"&amp;TEXT(SUMPRODUCT((YEAR($B$2:$B241)=YEAR($B241))*($B$2:$B241&lt;&gt;"")),"000"))</f>
        <v/>
      </c>
      <c r="B241" s="7" t="n"/>
      <c r="C241" s="8" t="n"/>
      <c r="D241" s="6">
        <f>IFERROR(VLOOKUP($C241,商品マスタ範囲,4,FALSE),"")</f>
        <v/>
      </c>
      <c r="E241" s="6">
        <f>IFERROR(VLOOKUP($C241,商品マスタ範囲,2,FALSE),"")</f>
        <v/>
      </c>
      <c r="F241" s="6">
        <f>IFERROR(VLOOKUP($C241,商品マスタ範囲,3,FALSE),"")</f>
        <v/>
      </c>
      <c r="G241" s="9">
        <f>IFERROR(VLOOKUP($C241,商品マスタ範囲,5,FALSE),"")</f>
        <v/>
      </c>
      <c r="H241" s="9" t="n"/>
      <c r="I241" s="7" t="n"/>
      <c r="J241" s="9">
        <f>IFERROR(VLOOKUP($C241,商品マスタ範囲,6,FALSE),"")</f>
        <v/>
      </c>
      <c r="K241" s="9" t="n"/>
      <c r="L241" s="7" t="n"/>
      <c r="M241" s="8" t="n"/>
      <c r="N241" s="6" t="n"/>
      <c r="O241" s="6" t="n"/>
      <c r="P241" s="6" t="n"/>
    </row>
    <row r="242">
      <c r="A242" s="6">
        <f>IF($B242="","",TEXT(YEAR($B242),"0000")&amp;"-"&amp;TEXT(SUMPRODUCT((YEAR($B$2:$B242)=YEAR($B242))*($B$2:$B242&lt;&gt;"")),"000"))</f>
        <v/>
      </c>
      <c r="B242" s="7" t="n"/>
      <c r="C242" s="8" t="n"/>
      <c r="D242" s="6">
        <f>IFERROR(VLOOKUP($C242,商品マスタ範囲,4,FALSE),"")</f>
        <v/>
      </c>
      <c r="E242" s="6">
        <f>IFERROR(VLOOKUP($C242,商品マスタ範囲,2,FALSE),"")</f>
        <v/>
      </c>
      <c r="F242" s="6">
        <f>IFERROR(VLOOKUP($C242,商品マスタ範囲,3,FALSE),"")</f>
        <v/>
      </c>
      <c r="G242" s="9">
        <f>IFERROR(VLOOKUP($C242,商品マスタ範囲,5,FALSE),"")</f>
        <v/>
      </c>
      <c r="H242" s="9" t="n"/>
      <c r="I242" s="7" t="n"/>
      <c r="J242" s="9">
        <f>IFERROR(VLOOKUP($C242,商品マスタ範囲,6,FALSE),"")</f>
        <v/>
      </c>
      <c r="K242" s="9" t="n"/>
      <c r="L242" s="7" t="n"/>
      <c r="M242" s="8" t="n"/>
      <c r="N242" s="6" t="n"/>
      <c r="O242" s="6" t="n"/>
      <c r="P242" s="6" t="n"/>
    </row>
    <row r="243">
      <c r="A243" s="6">
        <f>IF($B243="","",TEXT(YEAR($B243),"0000")&amp;"-"&amp;TEXT(SUMPRODUCT((YEAR($B$2:$B243)=YEAR($B243))*($B$2:$B243&lt;&gt;"")),"000"))</f>
        <v/>
      </c>
      <c r="B243" s="7" t="n"/>
      <c r="C243" s="8" t="n"/>
      <c r="D243" s="6">
        <f>IFERROR(VLOOKUP($C243,商品マスタ範囲,4,FALSE),"")</f>
        <v/>
      </c>
      <c r="E243" s="6">
        <f>IFERROR(VLOOKUP($C243,商品マスタ範囲,2,FALSE),"")</f>
        <v/>
      </c>
      <c r="F243" s="6">
        <f>IFERROR(VLOOKUP($C243,商品マスタ範囲,3,FALSE),"")</f>
        <v/>
      </c>
      <c r="G243" s="9">
        <f>IFERROR(VLOOKUP($C243,商品マスタ範囲,5,FALSE),"")</f>
        <v/>
      </c>
      <c r="H243" s="9" t="n"/>
      <c r="I243" s="7" t="n"/>
      <c r="J243" s="9">
        <f>IFERROR(VLOOKUP($C243,商品マスタ範囲,6,FALSE),"")</f>
        <v/>
      </c>
      <c r="K243" s="9" t="n"/>
      <c r="L243" s="7" t="n"/>
      <c r="M243" s="8" t="n"/>
      <c r="N243" s="6" t="n"/>
      <c r="O243" s="6" t="n"/>
      <c r="P243" s="6" t="n"/>
    </row>
    <row r="244">
      <c r="A244" s="6">
        <f>IF($B244="","",TEXT(YEAR($B244),"0000")&amp;"-"&amp;TEXT(SUMPRODUCT((YEAR($B$2:$B244)=YEAR($B244))*($B$2:$B244&lt;&gt;"")),"000"))</f>
        <v/>
      </c>
      <c r="B244" s="7" t="n"/>
      <c r="C244" s="8" t="n"/>
      <c r="D244" s="6">
        <f>IFERROR(VLOOKUP($C244,商品マスタ範囲,4,FALSE),"")</f>
        <v/>
      </c>
      <c r="E244" s="6">
        <f>IFERROR(VLOOKUP($C244,商品マスタ範囲,2,FALSE),"")</f>
        <v/>
      </c>
      <c r="F244" s="6">
        <f>IFERROR(VLOOKUP($C244,商品マスタ範囲,3,FALSE),"")</f>
        <v/>
      </c>
      <c r="G244" s="9">
        <f>IFERROR(VLOOKUP($C244,商品マスタ範囲,5,FALSE),"")</f>
        <v/>
      </c>
      <c r="H244" s="9" t="n"/>
      <c r="I244" s="7" t="n"/>
      <c r="J244" s="9">
        <f>IFERROR(VLOOKUP($C244,商品マスタ範囲,6,FALSE),"")</f>
        <v/>
      </c>
      <c r="K244" s="9" t="n"/>
      <c r="L244" s="7" t="n"/>
      <c r="M244" s="8" t="n"/>
      <c r="N244" s="6" t="n"/>
      <c r="O244" s="6" t="n"/>
      <c r="P244" s="6" t="n"/>
    </row>
    <row r="245">
      <c r="A245" s="6">
        <f>IF($B245="","",TEXT(YEAR($B245),"0000")&amp;"-"&amp;TEXT(SUMPRODUCT((YEAR($B$2:$B245)=YEAR($B245))*($B$2:$B245&lt;&gt;"")),"000"))</f>
        <v/>
      </c>
      <c r="B245" s="7" t="n"/>
      <c r="C245" s="8" t="n"/>
      <c r="D245" s="6">
        <f>IFERROR(VLOOKUP($C245,商品マスタ範囲,4,FALSE),"")</f>
        <v/>
      </c>
      <c r="E245" s="6">
        <f>IFERROR(VLOOKUP($C245,商品マスタ範囲,2,FALSE),"")</f>
        <v/>
      </c>
      <c r="F245" s="6">
        <f>IFERROR(VLOOKUP($C245,商品マスタ範囲,3,FALSE),"")</f>
        <v/>
      </c>
      <c r="G245" s="9">
        <f>IFERROR(VLOOKUP($C245,商品マスタ範囲,5,FALSE),"")</f>
        <v/>
      </c>
      <c r="H245" s="9" t="n"/>
      <c r="I245" s="7" t="n"/>
      <c r="J245" s="9">
        <f>IFERROR(VLOOKUP($C245,商品マスタ範囲,6,FALSE),"")</f>
        <v/>
      </c>
      <c r="K245" s="9" t="n"/>
      <c r="L245" s="7" t="n"/>
      <c r="M245" s="8" t="n"/>
      <c r="N245" s="6" t="n"/>
      <c r="O245" s="6" t="n"/>
      <c r="P245" s="6" t="n"/>
    </row>
    <row r="246">
      <c r="A246" s="6">
        <f>IF($B246="","",TEXT(YEAR($B246),"0000")&amp;"-"&amp;TEXT(SUMPRODUCT((YEAR($B$2:$B246)=YEAR($B246))*($B$2:$B246&lt;&gt;"")),"000"))</f>
        <v/>
      </c>
      <c r="B246" s="7" t="n"/>
      <c r="C246" s="8" t="n"/>
      <c r="D246" s="6">
        <f>IFERROR(VLOOKUP($C246,商品マスタ範囲,4,FALSE),"")</f>
        <v/>
      </c>
      <c r="E246" s="6">
        <f>IFERROR(VLOOKUP($C246,商品マスタ範囲,2,FALSE),"")</f>
        <v/>
      </c>
      <c r="F246" s="6">
        <f>IFERROR(VLOOKUP($C246,商品マスタ範囲,3,FALSE),"")</f>
        <v/>
      </c>
      <c r="G246" s="9">
        <f>IFERROR(VLOOKUP($C246,商品マスタ範囲,5,FALSE),"")</f>
        <v/>
      </c>
      <c r="H246" s="9" t="n"/>
      <c r="I246" s="7" t="n"/>
      <c r="J246" s="9">
        <f>IFERROR(VLOOKUP($C246,商品マスタ範囲,6,FALSE),"")</f>
        <v/>
      </c>
      <c r="K246" s="9" t="n"/>
      <c r="L246" s="7" t="n"/>
      <c r="M246" s="8" t="n"/>
      <c r="N246" s="6" t="n"/>
      <c r="O246" s="6" t="n"/>
      <c r="P246" s="6" t="n"/>
    </row>
    <row r="247">
      <c r="A247" s="6">
        <f>IF($B247="","",TEXT(YEAR($B247),"0000")&amp;"-"&amp;TEXT(SUMPRODUCT((YEAR($B$2:$B247)=YEAR($B247))*($B$2:$B247&lt;&gt;"")),"000"))</f>
        <v/>
      </c>
      <c r="B247" s="7" t="n"/>
      <c r="C247" s="8" t="n"/>
      <c r="D247" s="6">
        <f>IFERROR(VLOOKUP($C247,商品マスタ範囲,4,FALSE),"")</f>
        <v/>
      </c>
      <c r="E247" s="6">
        <f>IFERROR(VLOOKUP($C247,商品マスタ範囲,2,FALSE),"")</f>
        <v/>
      </c>
      <c r="F247" s="6">
        <f>IFERROR(VLOOKUP($C247,商品マスタ範囲,3,FALSE),"")</f>
        <v/>
      </c>
      <c r="G247" s="9">
        <f>IFERROR(VLOOKUP($C247,商品マスタ範囲,5,FALSE),"")</f>
        <v/>
      </c>
      <c r="H247" s="9" t="n"/>
      <c r="I247" s="7" t="n"/>
      <c r="J247" s="9">
        <f>IFERROR(VLOOKUP($C247,商品マスタ範囲,6,FALSE),"")</f>
        <v/>
      </c>
      <c r="K247" s="9" t="n"/>
      <c r="L247" s="7" t="n"/>
      <c r="M247" s="8" t="n"/>
      <c r="N247" s="6" t="n"/>
      <c r="O247" s="6" t="n"/>
      <c r="P247" s="6" t="n"/>
    </row>
    <row r="248">
      <c r="A248" s="6">
        <f>IF($B248="","",TEXT(YEAR($B248),"0000")&amp;"-"&amp;TEXT(SUMPRODUCT((YEAR($B$2:$B248)=YEAR($B248))*($B$2:$B248&lt;&gt;"")),"000"))</f>
        <v/>
      </c>
      <c r="B248" s="7" t="n"/>
      <c r="C248" s="8" t="n"/>
      <c r="D248" s="6">
        <f>IFERROR(VLOOKUP($C248,商品マスタ範囲,4,FALSE),"")</f>
        <v/>
      </c>
      <c r="E248" s="6">
        <f>IFERROR(VLOOKUP($C248,商品マスタ範囲,2,FALSE),"")</f>
        <v/>
      </c>
      <c r="F248" s="6">
        <f>IFERROR(VLOOKUP($C248,商品マスタ範囲,3,FALSE),"")</f>
        <v/>
      </c>
      <c r="G248" s="9">
        <f>IFERROR(VLOOKUP($C248,商品マスタ範囲,5,FALSE),"")</f>
        <v/>
      </c>
      <c r="H248" s="9" t="n"/>
      <c r="I248" s="7" t="n"/>
      <c r="J248" s="9">
        <f>IFERROR(VLOOKUP($C248,商品マスタ範囲,6,FALSE),"")</f>
        <v/>
      </c>
      <c r="K248" s="9" t="n"/>
      <c r="L248" s="7" t="n"/>
      <c r="M248" s="8" t="n"/>
      <c r="N248" s="6" t="n"/>
      <c r="O248" s="6" t="n"/>
      <c r="P248" s="6" t="n"/>
    </row>
    <row r="249">
      <c r="A249" s="6">
        <f>IF($B249="","",TEXT(YEAR($B249),"0000")&amp;"-"&amp;TEXT(SUMPRODUCT((YEAR($B$2:$B249)=YEAR($B249))*($B$2:$B249&lt;&gt;"")),"000"))</f>
        <v/>
      </c>
      <c r="B249" s="7" t="n"/>
      <c r="C249" s="8" t="n"/>
      <c r="D249" s="6">
        <f>IFERROR(VLOOKUP($C249,商品マスタ範囲,4,FALSE),"")</f>
        <v/>
      </c>
      <c r="E249" s="6">
        <f>IFERROR(VLOOKUP($C249,商品マスタ範囲,2,FALSE),"")</f>
        <v/>
      </c>
      <c r="F249" s="6">
        <f>IFERROR(VLOOKUP($C249,商品マスタ範囲,3,FALSE),"")</f>
        <v/>
      </c>
      <c r="G249" s="9">
        <f>IFERROR(VLOOKUP($C249,商品マスタ範囲,5,FALSE),"")</f>
        <v/>
      </c>
      <c r="H249" s="9" t="n"/>
      <c r="I249" s="7" t="n"/>
      <c r="J249" s="9">
        <f>IFERROR(VLOOKUP($C249,商品マスタ範囲,6,FALSE),"")</f>
        <v/>
      </c>
      <c r="K249" s="9" t="n"/>
      <c r="L249" s="7" t="n"/>
      <c r="M249" s="8" t="n"/>
      <c r="N249" s="6" t="n"/>
      <c r="O249" s="6" t="n"/>
      <c r="P249" s="6" t="n"/>
    </row>
    <row r="250">
      <c r="A250" s="6">
        <f>IF($B250="","",TEXT(YEAR($B250),"0000")&amp;"-"&amp;TEXT(SUMPRODUCT((YEAR($B$2:$B250)=YEAR($B250))*($B$2:$B250&lt;&gt;"")),"000"))</f>
        <v/>
      </c>
      <c r="B250" s="7" t="n"/>
      <c r="C250" s="8" t="n"/>
      <c r="D250" s="6">
        <f>IFERROR(VLOOKUP($C250,商品マスタ範囲,4,FALSE),"")</f>
        <v/>
      </c>
      <c r="E250" s="6">
        <f>IFERROR(VLOOKUP($C250,商品マスタ範囲,2,FALSE),"")</f>
        <v/>
      </c>
      <c r="F250" s="6">
        <f>IFERROR(VLOOKUP($C250,商品マスタ範囲,3,FALSE),"")</f>
        <v/>
      </c>
      <c r="G250" s="9">
        <f>IFERROR(VLOOKUP($C250,商品マスタ範囲,5,FALSE),"")</f>
        <v/>
      </c>
      <c r="H250" s="9" t="n"/>
      <c r="I250" s="7" t="n"/>
      <c r="J250" s="9">
        <f>IFERROR(VLOOKUP($C250,商品マスタ範囲,6,FALSE),"")</f>
        <v/>
      </c>
      <c r="K250" s="9" t="n"/>
      <c r="L250" s="7" t="n"/>
      <c r="M250" s="8" t="n"/>
      <c r="N250" s="6" t="n"/>
      <c r="O250" s="6" t="n"/>
      <c r="P250" s="6" t="n"/>
    </row>
    <row r="251">
      <c r="A251" s="6">
        <f>IF($B251="","",TEXT(YEAR($B251),"0000")&amp;"-"&amp;TEXT(SUMPRODUCT((YEAR($B$2:$B251)=YEAR($B251))*($B$2:$B251&lt;&gt;"")),"000"))</f>
        <v/>
      </c>
      <c r="B251" s="7" t="n"/>
      <c r="C251" s="8" t="n"/>
      <c r="D251" s="6">
        <f>IFERROR(VLOOKUP($C251,商品マスタ範囲,4,FALSE),"")</f>
        <v/>
      </c>
      <c r="E251" s="6">
        <f>IFERROR(VLOOKUP($C251,商品マスタ範囲,2,FALSE),"")</f>
        <v/>
      </c>
      <c r="F251" s="6">
        <f>IFERROR(VLOOKUP($C251,商品マスタ範囲,3,FALSE),"")</f>
        <v/>
      </c>
      <c r="G251" s="9">
        <f>IFERROR(VLOOKUP($C251,商品マスタ範囲,5,FALSE),"")</f>
        <v/>
      </c>
      <c r="H251" s="9" t="n"/>
      <c r="I251" s="7" t="n"/>
      <c r="J251" s="9">
        <f>IFERROR(VLOOKUP($C251,商品マスタ範囲,6,FALSE),"")</f>
        <v/>
      </c>
      <c r="K251" s="9" t="n"/>
      <c r="L251" s="7" t="n"/>
      <c r="M251" s="8" t="n"/>
      <c r="N251" s="6" t="n"/>
      <c r="O251" s="6" t="n"/>
      <c r="P251" s="6" t="n"/>
    </row>
    <row r="252">
      <c r="A252" s="6">
        <f>IF($B252="","",TEXT(YEAR($B252),"0000")&amp;"-"&amp;TEXT(SUMPRODUCT((YEAR($B$2:$B252)=YEAR($B252))*($B$2:$B252&lt;&gt;"")),"000"))</f>
        <v/>
      </c>
      <c r="B252" s="7" t="n"/>
      <c r="C252" s="8" t="n"/>
      <c r="D252" s="6">
        <f>IFERROR(VLOOKUP($C252,商品マスタ範囲,4,FALSE),"")</f>
        <v/>
      </c>
      <c r="E252" s="6">
        <f>IFERROR(VLOOKUP($C252,商品マスタ範囲,2,FALSE),"")</f>
        <v/>
      </c>
      <c r="F252" s="6">
        <f>IFERROR(VLOOKUP($C252,商品マスタ範囲,3,FALSE),"")</f>
        <v/>
      </c>
      <c r="G252" s="9">
        <f>IFERROR(VLOOKUP($C252,商品マスタ範囲,5,FALSE),"")</f>
        <v/>
      </c>
      <c r="H252" s="9" t="n"/>
      <c r="I252" s="7" t="n"/>
      <c r="J252" s="9">
        <f>IFERROR(VLOOKUP($C252,商品マスタ範囲,6,FALSE),"")</f>
        <v/>
      </c>
      <c r="K252" s="9" t="n"/>
      <c r="L252" s="7" t="n"/>
      <c r="M252" s="8" t="n"/>
      <c r="N252" s="6" t="n"/>
      <c r="O252" s="6" t="n"/>
      <c r="P252" s="6" t="n"/>
    </row>
    <row r="253">
      <c r="A253" s="6">
        <f>IF($B253="","",TEXT(YEAR($B253),"0000")&amp;"-"&amp;TEXT(SUMPRODUCT((YEAR($B$2:$B253)=YEAR($B253))*($B$2:$B253&lt;&gt;"")),"000"))</f>
        <v/>
      </c>
      <c r="B253" s="7" t="n"/>
      <c r="C253" s="8" t="n"/>
      <c r="D253" s="6">
        <f>IFERROR(VLOOKUP($C253,商品マスタ範囲,4,FALSE),"")</f>
        <v/>
      </c>
      <c r="E253" s="6">
        <f>IFERROR(VLOOKUP($C253,商品マスタ範囲,2,FALSE),"")</f>
        <v/>
      </c>
      <c r="F253" s="6">
        <f>IFERROR(VLOOKUP($C253,商品マスタ範囲,3,FALSE),"")</f>
        <v/>
      </c>
      <c r="G253" s="9">
        <f>IFERROR(VLOOKUP($C253,商品マスタ範囲,5,FALSE),"")</f>
        <v/>
      </c>
      <c r="H253" s="9" t="n"/>
      <c r="I253" s="7" t="n"/>
      <c r="J253" s="9">
        <f>IFERROR(VLOOKUP($C253,商品マスタ範囲,6,FALSE),"")</f>
        <v/>
      </c>
      <c r="K253" s="9" t="n"/>
      <c r="L253" s="7" t="n"/>
      <c r="M253" s="8" t="n"/>
      <c r="N253" s="6" t="n"/>
      <c r="O253" s="6" t="n"/>
      <c r="P253" s="6" t="n"/>
    </row>
    <row r="254">
      <c r="A254" s="6">
        <f>IF($B254="","",TEXT(YEAR($B254),"0000")&amp;"-"&amp;TEXT(SUMPRODUCT((YEAR($B$2:$B254)=YEAR($B254))*($B$2:$B254&lt;&gt;"")),"000"))</f>
        <v/>
      </c>
      <c r="B254" s="7" t="n"/>
      <c r="C254" s="8" t="n"/>
      <c r="D254" s="6">
        <f>IFERROR(VLOOKUP($C254,商品マスタ範囲,4,FALSE),"")</f>
        <v/>
      </c>
      <c r="E254" s="6">
        <f>IFERROR(VLOOKUP($C254,商品マスタ範囲,2,FALSE),"")</f>
        <v/>
      </c>
      <c r="F254" s="6">
        <f>IFERROR(VLOOKUP($C254,商品マスタ範囲,3,FALSE),"")</f>
        <v/>
      </c>
      <c r="G254" s="9">
        <f>IFERROR(VLOOKUP($C254,商品マスタ範囲,5,FALSE),"")</f>
        <v/>
      </c>
      <c r="H254" s="9" t="n"/>
      <c r="I254" s="7" t="n"/>
      <c r="J254" s="9">
        <f>IFERROR(VLOOKUP($C254,商品マスタ範囲,6,FALSE),"")</f>
        <v/>
      </c>
      <c r="K254" s="9" t="n"/>
      <c r="L254" s="7" t="n"/>
      <c r="M254" s="8" t="n"/>
      <c r="N254" s="6" t="n"/>
      <c r="O254" s="6" t="n"/>
      <c r="P254" s="6" t="n"/>
    </row>
    <row r="255">
      <c r="A255" s="6">
        <f>IF($B255="","",TEXT(YEAR($B255),"0000")&amp;"-"&amp;TEXT(SUMPRODUCT((YEAR($B$2:$B255)=YEAR($B255))*($B$2:$B255&lt;&gt;"")),"000"))</f>
        <v/>
      </c>
      <c r="B255" s="7" t="n"/>
      <c r="C255" s="8" t="n"/>
      <c r="D255" s="6">
        <f>IFERROR(VLOOKUP($C255,商品マスタ範囲,4,FALSE),"")</f>
        <v/>
      </c>
      <c r="E255" s="6">
        <f>IFERROR(VLOOKUP($C255,商品マスタ範囲,2,FALSE),"")</f>
        <v/>
      </c>
      <c r="F255" s="6">
        <f>IFERROR(VLOOKUP($C255,商品マスタ範囲,3,FALSE),"")</f>
        <v/>
      </c>
      <c r="G255" s="9">
        <f>IFERROR(VLOOKUP($C255,商品マスタ範囲,5,FALSE),"")</f>
        <v/>
      </c>
      <c r="H255" s="9" t="n"/>
      <c r="I255" s="7" t="n"/>
      <c r="J255" s="9">
        <f>IFERROR(VLOOKUP($C255,商品マスタ範囲,6,FALSE),"")</f>
        <v/>
      </c>
      <c r="K255" s="9" t="n"/>
      <c r="L255" s="7" t="n"/>
      <c r="M255" s="8" t="n"/>
      <c r="N255" s="6" t="n"/>
      <c r="O255" s="6" t="n"/>
      <c r="P255" s="6" t="n"/>
    </row>
    <row r="256">
      <c r="A256" s="6">
        <f>IF($B256="","",TEXT(YEAR($B256),"0000")&amp;"-"&amp;TEXT(SUMPRODUCT((YEAR($B$2:$B256)=YEAR($B256))*($B$2:$B256&lt;&gt;"")),"000"))</f>
        <v/>
      </c>
      <c r="B256" s="7" t="n"/>
      <c r="C256" s="8" t="n"/>
      <c r="D256" s="6">
        <f>IFERROR(VLOOKUP($C256,商品マスタ範囲,4,FALSE),"")</f>
        <v/>
      </c>
      <c r="E256" s="6">
        <f>IFERROR(VLOOKUP($C256,商品マスタ範囲,2,FALSE),"")</f>
        <v/>
      </c>
      <c r="F256" s="6">
        <f>IFERROR(VLOOKUP($C256,商品マスタ範囲,3,FALSE),"")</f>
        <v/>
      </c>
      <c r="G256" s="9">
        <f>IFERROR(VLOOKUP($C256,商品マスタ範囲,5,FALSE),"")</f>
        <v/>
      </c>
      <c r="H256" s="9" t="n"/>
      <c r="I256" s="7" t="n"/>
      <c r="J256" s="9">
        <f>IFERROR(VLOOKUP($C256,商品マスタ範囲,6,FALSE),"")</f>
        <v/>
      </c>
      <c r="K256" s="9" t="n"/>
      <c r="L256" s="7" t="n"/>
      <c r="M256" s="8" t="n"/>
      <c r="N256" s="6" t="n"/>
      <c r="O256" s="6" t="n"/>
      <c r="P256" s="6" t="n"/>
    </row>
    <row r="257">
      <c r="A257" s="6">
        <f>IF($B257="","",TEXT(YEAR($B257),"0000")&amp;"-"&amp;TEXT(SUMPRODUCT((YEAR($B$2:$B257)=YEAR($B257))*($B$2:$B257&lt;&gt;"")),"000"))</f>
        <v/>
      </c>
      <c r="B257" s="7" t="n"/>
      <c r="C257" s="8" t="n"/>
      <c r="D257" s="6">
        <f>IFERROR(VLOOKUP($C257,商品マスタ範囲,4,FALSE),"")</f>
        <v/>
      </c>
      <c r="E257" s="6">
        <f>IFERROR(VLOOKUP($C257,商品マスタ範囲,2,FALSE),"")</f>
        <v/>
      </c>
      <c r="F257" s="6">
        <f>IFERROR(VLOOKUP($C257,商品マスタ範囲,3,FALSE),"")</f>
        <v/>
      </c>
      <c r="G257" s="9">
        <f>IFERROR(VLOOKUP($C257,商品マスタ範囲,5,FALSE),"")</f>
        <v/>
      </c>
      <c r="H257" s="9" t="n"/>
      <c r="I257" s="7" t="n"/>
      <c r="J257" s="9">
        <f>IFERROR(VLOOKUP($C257,商品マスタ範囲,6,FALSE),"")</f>
        <v/>
      </c>
      <c r="K257" s="9" t="n"/>
      <c r="L257" s="7" t="n"/>
      <c r="M257" s="8" t="n"/>
      <c r="N257" s="6" t="n"/>
      <c r="O257" s="6" t="n"/>
      <c r="P257" s="6" t="n"/>
    </row>
    <row r="258">
      <c r="A258" s="6">
        <f>IF($B258="","",TEXT(YEAR($B258),"0000")&amp;"-"&amp;TEXT(SUMPRODUCT((YEAR($B$2:$B258)=YEAR($B258))*($B$2:$B258&lt;&gt;"")),"000"))</f>
        <v/>
      </c>
      <c r="B258" s="7" t="n"/>
      <c r="C258" s="8" t="n"/>
      <c r="D258" s="6">
        <f>IFERROR(VLOOKUP($C258,商品マスタ範囲,4,FALSE),"")</f>
        <v/>
      </c>
      <c r="E258" s="6">
        <f>IFERROR(VLOOKUP($C258,商品マスタ範囲,2,FALSE),"")</f>
        <v/>
      </c>
      <c r="F258" s="6">
        <f>IFERROR(VLOOKUP($C258,商品マスタ範囲,3,FALSE),"")</f>
        <v/>
      </c>
      <c r="G258" s="9">
        <f>IFERROR(VLOOKUP($C258,商品マスタ範囲,5,FALSE),"")</f>
        <v/>
      </c>
      <c r="H258" s="9" t="n"/>
      <c r="I258" s="7" t="n"/>
      <c r="J258" s="9">
        <f>IFERROR(VLOOKUP($C258,商品マスタ範囲,6,FALSE),"")</f>
        <v/>
      </c>
      <c r="K258" s="9" t="n"/>
      <c r="L258" s="7" t="n"/>
      <c r="M258" s="8" t="n"/>
      <c r="N258" s="6" t="n"/>
      <c r="O258" s="6" t="n"/>
      <c r="P258" s="6" t="n"/>
    </row>
    <row r="259">
      <c r="A259" s="6">
        <f>IF($B259="","",TEXT(YEAR($B259),"0000")&amp;"-"&amp;TEXT(SUMPRODUCT((YEAR($B$2:$B259)=YEAR($B259))*($B$2:$B259&lt;&gt;"")),"000"))</f>
        <v/>
      </c>
      <c r="B259" s="7" t="n"/>
      <c r="C259" s="8" t="n"/>
      <c r="D259" s="6">
        <f>IFERROR(VLOOKUP($C259,商品マスタ範囲,4,FALSE),"")</f>
        <v/>
      </c>
      <c r="E259" s="6">
        <f>IFERROR(VLOOKUP($C259,商品マスタ範囲,2,FALSE),"")</f>
        <v/>
      </c>
      <c r="F259" s="6">
        <f>IFERROR(VLOOKUP($C259,商品マスタ範囲,3,FALSE),"")</f>
        <v/>
      </c>
      <c r="G259" s="9">
        <f>IFERROR(VLOOKUP($C259,商品マスタ範囲,5,FALSE),"")</f>
        <v/>
      </c>
      <c r="H259" s="9" t="n"/>
      <c r="I259" s="7" t="n"/>
      <c r="J259" s="9">
        <f>IFERROR(VLOOKUP($C259,商品マスタ範囲,6,FALSE),"")</f>
        <v/>
      </c>
      <c r="K259" s="9" t="n"/>
      <c r="L259" s="7" t="n"/>
      <c r="M259" s="8" t="n"/>
      <c r="N259" s="6" t="n"/>
      <c r="O259" s="6" t="n"/>
      <c r="P259" s="6" t="n"/>
    </row>
    <row r="260">
      <c r="A260" s="6">
        <f>IF($B260="","",TEXT(YEAR($B260),"0000")&amp;"-"&amp;TEXT(SUMPRODUCT((YEAR($B$2:$B260)=YEAR($B260))*($B$2:$B260&lt;&gt;"")),"000"))</f>
        <v/>
      </c>
      <c r="B260" s="7" t="n"/>
      <c r="C260" s="8" t="n"/>
      <c r="D260" s="6">
        <f>IFERROR(VLOOKUP($C260,商品マスタ範囲,4,FALSE),"")</f>
        <v/>
      </c>
      <c r="E260" s="6">
        <f>IFERROR(VLOOKUP($C260,商品マスタ範囲,2,FALSE),"")</f>
        <v/>
      </c>
      <c r="F260" s="6">
        <f>IFERROR(VLOOKUP($C260,商品マスタ範囲,3,FALSE),"")</f>
        <v/>
      </c>
      <c r="G260" s="9">
        <f>IFERROR(VLOOKUP($C260,商品マスタ範囲,5,FALSE),"")</f>
        <v/>
      </c>
      <c r="H260" s="9" t="n"/>
      <c r="I260" s="7" t="n"/>
      <c r="J260" s="9">
        <f>IFERROR(VLOOKUP($C260,商品マスタ範囲,6,FALSE),"")</f>
        <v/>
      </c>
      <c r="K260" s="9" t="n"/>
      <c r="L260" s="7" t="n"/>
      <c r="M260" s="8" t="n"/>
      <c r="N260" s="6" t="n"/>
      <c r="O260" s="6" t="n"/>
      <c r="P260" s="6" t="n"/>
    </row>
    <row r="261">
      <c r="A261" s="6">
        <f>IF($B261="","",TEXT(YEAR($B261),"0000")&amp;"-"&amp;TEXT(SUMPRODUCT((YEAR($B$2:$B261)=YEAR($B261))*($B$2:$B261&lt;&gt;"")),"000"))</f>
        <v/>
      </c>
      <c r="B261" s="7" t="n"/>
      <c r="C261" s="8" t="n"/>
      <c r="D261" s="6">
        <f>IFERROR(VLOOKUP($C261,商品マスタ範囲,4,FALSE),"")</f>
        <v/>
      </c>
      <c r="E261" s="6">
        <f>IFERROR(VLOOKUP($C261,商品マスタ範囲,2,FALSE),"")</f>
        <v/>
      </c>
      <c r="F261" s="6">
        <f>IFERROR(VLOOKUP($C261,商品マスタ範囲,3,FALSE),"")</f>
        <v/>
      </c>
      <c r="G261" s="9">
        <f>IFERROR(VLOOKUP($C261,商品マスタ範囲,5,FALSE),"")</f>
        <v/>
      </c>
      <c r="H261" s="9" t="n"/>
      <c r="I261" s="7" t="n"/>
      <c r="J261" s="9">
        <f>IFERROR(VLOOKUP($C261,商品マスタ範囲,6,FALSE),"")</f>
        <v/>
      </c>
      <c r="K261" s="9" t="n"/>
      <c r="L261" s="7" t="n"/>
      <c r="M261" s="8" t="n"/>
      <c r="N261" s="6" t="n"/>
      <c r="O261" s="6" t="n"/>
      <c r="P261" s="6" t="n"/>
    </row>
    <row r="262">
      <c r="A262" s="6">
        <f>IF($B262="","",TEXT(YEAR($B262),"0000")&amp;"-"&amp;TEXT(SUMPRODUCT((YEAR($B$2:$B262)=YEAR($B262))*($B$2:$B262&lt;&gt;"")),"000"))</f>
        <v/>
      </c>
      <c r="B262" s="7" t="n"/>
      <c r="C262" s="8" t="n"/>
      <c r="D262" s="6">
        <f>IFERROR(VLOOKUP($C262,商品マスタ範囲,4,FALSE),"")</f>
        <v/>
      </c>
      <c r="E262" s="6">
        <f>IFERROR(VLOOKUP($C262,商品マスタ範囲,2,FALSE),"")</f>
        <v/>
      </c>
      <c r="F262" s="6">
        <f>IFERROR(VLOOKUP($C262,商品マスタ範囲,3,FALSE),"")</f>
        <v/>
      </c>
      <c r="G262" s="9">
        <f>IFERROR(VLOOKUP($C262,商品マスタ範囲,5,FALSE),"")</f>
        <v/>
      </c>
      <c r="H262" s="9" t="n"/>
      <c r="I262" s="7" t="n"/>
      <c r="J262" s="9">
        <f>IFERROR(VLOOKUP($C262,商品マスタ範囲,6,FALSE),"")</f>
        <v/>
      </c>
      <c r="K262" s="9" t="n"/>
      <c r="L262" s="7" t="n"/>
      <c r="M262" s="8" t="n"/>
      <c r="N262" s="6" t="n"/>
      <c r="O262" s="6" t="n"/>
      <c r="P262" s="6" t="n"/>
    </row>
    <row r="263">
      <c r="A263" s="6">
        <f>IF($B263="","",TEXT(YEAR($B263),"0000")&amp;"-"&amp;TEXT(SUMPRODUCT((YEAR($B$2:$B263)=YEAR($B263))*($B$2:$B263&lt;&gt;"")),"000"))</f>
        <v/>
      </c>
      <c r="B263" s="7" t="n"/>
      <c r="C263" s="8" t="n"/>
      <c r="D263" s="6">
        <f>IFERROR(VLOOKUP($C263,商品マスタ範囲,4,FALSE),"")</f>
        <v/>
      </c>
      <c r="E263" s="6">
        <f>IFERROR(VLOOKUP($C263,商品マスタ範囲,2,FALSE),"")</f>
        <v/>
      </c>
      <c r="F263" s="6">
        <f>IFERROR(VLOOKUP($C263,商品マスタ範囲,3,FALSE),"")</f>
        <v/>
      </c>
      <c r="G263" s="9">
        <f>IFERROR(VLOOKUP($C263,商品マスタ範囲,5,FALSE),"")</f>
        <v/>
      </c>
      <c r="H263" s="9" t="n"/>
      <c r="I263" s="7" t="n"/>
      <c r="J263" s="9">
        <f>IFERROR(VLOOKUP($C263,商品マスタ範囲,6,FALSE),"")</f>
        <v/>
      </c>
      <c r="K263" s="9" t="n"/>
      <c r="L263" s="7" t="n"/>
      <c r="M263" s="8" t="n"/>
      <c r="N263" s="6" t="n"/>
      <c r="O263" s="6" t="n"/>
      <c r="P263" s="6" t="n"/>
    </row>
    <row r="264">
      <c r="A264" s="6">
        <f>IF($B264="","",TEXT(YEAR($B264),"0000")&amp;"-"&amp;TEXT(SUMPRODUCT((YEAR($B$2:$B264)=YEAR($B264))*($B$2:$B264&lt;&gt;"")),"000"))</f>
        <v/>
      </c>
      <c r="B264" s="7" t="n"/>
      <c r="C264" s="8" t="n"/>
      <c r="D264" s="6">
        <f>IFERROR(VLOOKUP($C264,商品マスタ範囲,4,FALSE),"")</f>
        <v/>
      </c>
      <c r="E264" s="6">
        <f>IFERROR(VLOOKUP($C264,商品マスタ範囲,2,FALSE),"")</f>
        <v/>
      </c>
      <c r="F264" s="6">
        <f>IFERROR(VLOOKUP($C264,商品マスタ範囲,3,FALSE),"")</f>
        <v/>
      </c>
      <c r="G264" s="9">
        <f>IFERROR(VLOOKUP($C264,商品マスタ範囲,5,FALSE),"")</f>
        <v/>
      </c>
      <c r="H264" s="9" t="n"/>
      <c r="I264" s="7" t="n"/>
      <c r="J264" s="9">
        <f>IFERROR(VLOOKUP($C264,商品マスタ範囲,6,FALSE),"")</f>
        <v/>
      </c>
      <c r="K264" s="9" t="n"/>
      <c r="L264" s="7" t="n"/>
      <c r="M264" s="8" t="n"/>
      <c r="N264" s="6" t="n"/>
      <c r="O264" s="6" t="n"/>
      <c r="P264" s="6" t="n"/>
    </row>
    <row r="265">
      <c r="A265" s="6">
        <f>IF($B265="","",TEXT(YEAR($B265),"0000")&amp;"-"&amp;TEXT(SUMPRODUCT((YEAR($B$2:$B265)=YEAR($B265))*($B$2:$B265&lt;&gt;"")),"000"))</f>
        <v/>
      </c>
      <c r="B265" s="7" t="n"/>
      <c r="C265" s="8" t="n"/>
      <c r="D265" s="6">
        <f>IFERROR(VLOOKUP($C265,商品マスタ範囲,4,FALSE),"")</f>
        <v/>
      </c>
      <c r="E265" s="6">
        <f>IFERROR(VLOOKUP($C265,商品マスタ範囲,2,FALSE),"")</f>
        <v/>
      </c>
      <c r="F265" s="6">
        <f>IFERROR(VLOOKUP($C265,商品マスタ範囲,3,FALSE),"")</f>
        <v/>
      </c>
      <c r="G265" s="9">
        <f>IFERROR(VLOOKUP($C265,商品マスタ範囲,5,FALSE),"")</f>
        <v/>
      </c>
      <c r="H265" s="9" t="n"/>
      <c r="I265" s="7" t="n"/>
      <c r="J265" s="9">
        <f>IFERROR(VLOOKUP($C265,商品マスタ範囲,6,FALSE),"")</f>
        <v/>
      </c>
      <c r="K265" s="9" t="n"/>
      <c r="L265" s="7" t="n"/>
      <c r="M265" s="8" t="n"/>
      <c r="N265" s="6" t="n"/>
      <c r="O265" s="6" t="n"/>
      <c r="P265" s="6" t="n"/>
    </row>
    <row r="266">
      <c r="A266" s="6">
        <f>IF($B266="","",TEXT(YEAR($B266),"0000")&amp;"-"&amp;TEXT(SUMPRODUCT((YEAR($B$2:$B266)=YEAR($B266))*($B$2:$B266&lt;&gt;"")),"000"))</f>
        <v/>
      </c>
      <c r="B266" s="7" t="n"/>
      <c r="C266" s="8" t="n"/>
      <c r="D266" s="6">
        <f>IFERROR(VLOOKUP($C266,商品マスタ範囲,4,FALSE),"")</f>
        <v/>
      </c>
      <c r="E266" s="6">
        <f>IFERROR(VLOOKUP($C266,商品マスタ範囲,2,FALSE),"")</f>
        <v/>
      </c>
      <c r="F266" s="6">
        <f>IFERROR(VLOOKUP($C266,商品マスタ範囲,3,FALSE),"")</f>
        <v/>
      </c>
      <c r="G266" s="9">
        <f>IFERROR(VLOOKUP($C266,商品マスタ範囲,5,FALSE),"")</f>
        <v/>
      </c>
      <c r="H266" s="9" t="n"/>
      <c r="I266" s="7" t="n"/>
      <c r="J266" s="9">
        <f>IFERROR(VLOOKUP($C266,商品マスタ範囲,6,FALSE),"")</f>
        <v/>
      </c>
      <c r="K266" s="9" t="n"/>
      <c r="L266" s="7" t="n"/>
      <c r="M266" s="8" t="n"/>
      <c r="N266" s="6" t="n"/>
      <c r="O266" s="6" t="n"/>
      <c r="P266" s="6" t="n"/>
    </row>
    <row r="267">
      <c r="A267" s="6">
        <f>IF($B267="","",TEXT(YEAR($B267),"0000")&amp;"-"&amp;TEXT(SUMPRODUCT((YEAR($B$2:$B267)=YEAR($B267))*($B$2:$B267&lt;&gt;"")),"000"))</f>
        <v/>
      </c>
      <c r="B267" s="7" t="n"/>
      <c r="C267" s="8" t="n"/>
      <c r="D267" s="6">
        <f>IFERROR(VLOOKUP($C267,商品マスタ範囲,4,FALSE),"")</f>
        <v/>
      </c>
      <c r="E267" s="6">
        <f>IFERROR(VLOOKUP($C267,商品マスタ範囲,2,FALSE),"")</f>
        <v/>
      </c>
      <c r="F267" s="6">
        <f>IFERROR(VLOOKUP($C267,商品マスタ範囲,3,FALSE),"")</f>
        <v/>
      </c>
      <c r="G267" s="9">
        <f>IFERROR(VLOOKUP($C267,商品マスタ範囲,5,FALSE),"")</f>
        <v/>
      </c>
      <c r="H267" s="9" t="n"/>
      <c r="I267" s="7" t="n"/>
      <c r="J267" s="9">
        <f>IFERROR(VLOOKUP($C267,商品マスタ範囲,6,FALSE),"")</f>
        <v/>
      </c>
      <c r="K267" s="9" t="n"/>
      <c r="L267" s="7" t="n"/>
      <c r="M267" s="8" t="n"/>
      <c r="N267" s="6" t="n"/>
      <c r="O267" s="6" t="n"/>
      <c r="P267" s="6" t="n"/>
    </row>
    <row r="268">
      <c r="A268" s="6">
        <f>IF($B268="","",TEXT(YEAR($B268),"0000")&amp;"-"&amp;TEXT(SUMPRODUCT((YEAR($B$2:$B268)=YEAR($B268))*($B$2:$B268&lt;&gt;"")),"000"))</f>
        <v/>
      </c>
      <c r="B268" s="7" t="n"/>
      <c r="C268" s="8" t="n"/>
      <c r="D268" s="6">
        <f>IFERROR(VLOOKUP($C268,商品マスタ範囲,4,FALSE),"")</f>
        <v/>
      </c>
      <c r="E268" s="6">
        <f>IFERROR(VLOOKUP($C268,商品マスタ範囲,2,FALSE),"")</f>
        <v/>
      </c>
      <c r="F268" s="6">
        <f>IFERROR(VLOOKUP($C268,商品マスタ範囲,3,FALSE),"")</f>
        <v/>
      </c>
      <c r="G268" s="9">
        <f>IFERROR(VLOOKUP($C268,商品マスタ範囲,5,FALSE),"")</f>
        <v/>
      </c>
      <c r="H268" s="9" t="n"/>
      <c r="I268" s="7" t="n"/>
      <c r="J268" s="9">
        <f>IFERROR(VLOOKUP($C268,商品マスタ範囲,6,FALSE),"")</f>
        <v/>
      </c>
      <c r="K268" s="9" t="n"/>
      <c r="L268" s="7" t="n"/>
      <c r="M268" s="8" t="n"/>
      <c r="N268" s="6" t="n"/>
      <c r="O268" s="6" t="n"/>
      <c r="P268" s="6" t="n"/>
    </row>
    <row r="269">
      <c r="A269" s="6">
        <f>IF($B269="","",TEXT(YEAR($B269),"0000")&amp;"-"&amp;TEXT(SUMPRODUCT((YEAR($B$2:$B269)=YEAR($B269))*($B$2:$B269&lt;&gt;"")),"000"))</f>
        <v/>
      </c>
      <c r="B269" s="7" t="n"/>
      <c r="C269" s="8" t="n"/>
      <c r="D269" s="6">
        <f>IFERROR(VLOOKUP($C269,商品マスタ範囲,4,FALSE),"")</f>
        <v/>
      </c>
      <c r="E269" s="6">
        <f>IFERROR(VLOOKUP($C269,商品マスタ範囲,2,FALSE),"")</f>
        <v/>
      </c>
      <c r="F269" s="6">
        <f>IFERROR(VLOOKUP($C269,商品マスタ範囲,3,FALSE),"")</f>
        <v/>
      </c>
      <c r="G269" s="9">
        <f>IFERROR(VLOOKUP($C269,商品マスタ範囲,5,FALSE),"")</f>
        <v/>
      </c>
      <c r="H269" s="9" t="n"/>
      <c r="I269" s="7" t="n"/>
      <c r="J269" s="9">
        <f>IFERROR(VLOOKUP($C269,商品マスタ範囲,6,FALSE),"")</f>
        <v/>
      </c>
      <c r="K269" s="9" t="n"/>
      <c r="L269" s="7" t="n"/>
      <c r="M269" s="8" t="n"/>
      <c r="N269" s="6" t="n"/>
      <c r="O269" s="6" t="n"/>
      <c r="P269" s="6" t="n"/>
    </row>
    <row r="270">
      <c r="A270" s="6">
        <f>IF($B270="","",TEXT(YEAR($B270),"0000")&amp;"-"&amp;TEXT(SUMPRODUCT((YEAR($B$2:$B270)=YEAR($B270))*($B$2:$B270&lt;&gt;"")),"000"))</f>
        <v/>
      </c>
      <c r="B270" s="7" t="n"/>
      <c r="C270" s="8" t="n"/>
      <c r="D270" s="6">
        <f>IFERROR(VLOOKUP($C270,商品マスタ範囲,4,FALSE),"")</f>
        <v/>
      </c>
      <c r="E270" s="6">
        <f>IFERROR(VLOOKUP($C270,商品マスタ範囲,2,FALSE),"")</f>
        <v/>
      </c>
      <c r="F270" s="6">
        <f>IFERROR(VLOOKUP($C270,商品マスタ範囲,3,FALSE),"")</f>
        <v/>
      </c>
      <c r="G270" s="9">
        <f>IFERROR(VLOOKUP($C270,商品マスタ範囲,5,FALSE),"")</f>
        <v/>
      </c>
      <c r="H270" s="9" t="n"/>
      <c r="I270" s="7" t="n"/>
      <c r="J270" s="9">
        <f>IFERROR(VLOOKUP($C270,商品マスタ範囲,6,FALSE),"")</f>
        <v/>
      </c>
      <c r="K270" s="9" t="n"/>
      <c r="L270" s="7" t="n"/>
      <c r="M270" s="8" t="n"/>
      <c r="N270" s="6" t="n"/>
      <c r="O270" s="6" t="n"/>
      <c r="P270" s="6" t="n"/>
    </row>
    <row r="271">
      <c r="A271" s="6">
        <f>IF($B271="","",TEXT(YEAR($B271),"0000")&amp;"-"&amp;TEXT(SUMPRODUCT((YEAR($B$2:$B271)=YEAR($B271))*($B$2:$B271&lt;&gt;"")),"000"))</f>
        <v/>
      </c>
      <c r="B271" s="7" t="n"/>
      <c r="C271" s="8" t="n"/>
      <c r="D271" s="6">
        <f>IFERROR(VLOOKUP($C271,商品マスタ範囲,4,FALSE),"")</f>
        <v/>
      </c>
      <c r="E271" s="6">
        <f>IFERROR(VLOOKUP($C271,商品マスタ範囲,2,FALSE),"")</f>
        <v/>
      </c>
      <c r="F271" s="6">
        <f>IFERROR(VLOOKUP($C271,商品マスタ範囲,3,FALSE),"")</f>
        <v/>
      </c>
      <c r="G271" s="9">
        <f>IFERROR(VLOOKUP($C271,商品マスタ範囲,5,FALSE),"")</f>
        <v/>
      </c>
      <c r="H271" s="9" t="n"/>
      <c r="I271" s="7" t="n"/>
      <c r="J271" s="9">
        <f>IFERROR(VLOOKUP($C271,商品マスタ範囲,6,FALSE),"")</f>
        <v/>
      </c>
      <c r="K271" s="9" t="n"/>
      <c r="L271" s="7" t="n"/>
      <c r="M271" s="8" t="n"/>
      <c r="N271" s="6" t="n"/>
      <c r="O271" s="6" t="n"/>
      <c r="P271" s="6" t="n"/>
    </row>
    <row r="272">
      <c r="A272" s="6">
        <f>IF($B272="","",TEXT(YEAR($B272),"0000")&amp;"-"&amp;TEXT(SUMPRODUCT((YEAR($B$2:$B272)=YEAR($B272))*($B$2:$B272&lt;&gt;"")),"000"))</f>
        <v/>
      </c>
      <c r="B272" s="7" t="n"/>
      <c r="C272" s="8" t="n"/>
      <c r="D272" s="6">
        <f>IFERROR(VLOOKUP($C272,商品マスタ範囲,4,FALSE),"")</f>
        <v/>
      </c>
      <c r="E272" s="6">
        <f>IFERROR(VLOOKUP($C272,商品マスタ範囲,2,FALSE),"")</f>
        <v/>
      </c>
      <c r="F272" s="6">
        <f>IFERROR(VLOOKUP($C272,商品マスタ範囲,3,FALSE),"")</f>
        <v/>
      </c>
      <c r="G272" s="9">
        <f>IFERROR(VLOOKUP($C272,商品マスタ範囲,5,FALSE),"")</f>
        <v/>
      </c>
      <c r="H272" s="9" t="n"/>
      <c r="I272" s="7" t="n"/>
      <c r="J272" s="9">
        <f>IFERROR(VLOOKUP($C272,商品マスタ範囲,6,FALSE),"")</f>
        <v/>
      </c>
      <c r="K272" s="9" t="n"/>
      <c r="L272" s="7" t="n"/>
      <c r="M272" s="8" t="n"/>
      <c r="N272" s="6" t="n"/>
      <c r="O272" s="6" t="n"/>
      <c r="P272" s="6" t="n"/>
    </row>
    <row r="273">
      <c r="A273" s="6">
        <f>IF($B273="","",TEXT(YEAR($B273),"0000")&amp;"-"&amp;TEXT(SUMPRODUCT((YEAR($B$2:$B273)=YEAR($B273))*($B$2:$B273&lt;&gt;"")),"000"))</f>
        <v/>
      </c>
      <c r="B273" s="7" t="n"/>
      <c r="C273" s="8" t="n"/>
      <c r="D273" s="6">
        <f>IFERROR(VLOOKUP($C273,商品マスタ範囲,4,FALSE),"")</f>
        <v/>
      </c>
      <c r="E273" s="6">
        <f>IFERROR(VLOOKUP($C273,商品マスタ範囲,2,FALSE),"")</f>
        <v/>
      </c>
      <c r="F273" s="6">
        <f>IFERROR(VLOOKUP($C273,商品マスタ範囲,3,FALSE),"")</f>
        <v/>
      </c>
      <c r="G273" s="9">
        <f>IFERROR(VLOOKUP($C273,商品マスタ範囲,5,FALSE),"")</f>
        <v/>
      </c>
      <c r="H273" s="9" t="n"/>
      <c r="I273" s="7" t="n"/>
      <c r="J273" s="9">
        <f>IFERROR(VLOOKUP($C273,商品マスタ範囲,6,FALSE),"")</f>
        <v/>
      </c>
      <c r="K273" s="9" t="n"/>
      <c r="L273" s="7" t="n"/>
      <c r="M273" s="8" t="n"/>
      <c r="N273" s="6" t="n"/>
      <c r="O273" s="6" t="n"/>
      <c r="P273" s="6" t="n"/>
    </row>
    <row r="274">
      <c r="A274" s="6">
        <f>IF($B274="","",TEXT(YEAR($B274),"0000")&amp;"-"&amp;TEXT(SUMPRODUCT((YEAR($B$2:$B274)=YEAR($B274))*($B$2:$B274&lt;&gt;"")),"000"))</f>
        <v/>
      </c>
      <c r="B274" s="7" t="n"/>
      <c r="C274" s="8" t="n"/>
      <c r="D274" s="6">
        <f>IFERROR(VLOOKUP($C274,商品マスタ範囲,4,FALSE),"")</f>
        <v/>
      </c>
      <c r="E274" s="6">
        <f>IFERROR(VLOOKUP($C274,商品マスタ範囲,2,FALSE),"")</f>
        <v/>
      </c>
      <c r="F274" s="6">
        <f>IFERROR(VLOOKUP($C274,商品マスタ範囲,3,FALSE),"")</f>
        <v/>
      </c>
      <c r="G274" s="9">
        <f>IFERROR(VLOOKUP($C274,商品マスタ範囲,5,FALSE),"")</f>
        <v/>
      </c>
      <c r="H274" s="9" t="n"/>
      <c r="I274" s="7" t="n"/>
      <c r="J274" s="9">
        <f>IFERROR(VLOOKUP($C274,商品マスタ範囲,6,FALSE),"")</f>
        <v/>
      </c>
      <c r="K274" s="9" t="n"/>
      <c r="L274" s="7" t="n"/>
      <c r="M274" s="8" t="n"/>
      <c r="N274" s="6" t="n"/>
      <c r="O274" s="6" t="n"/>
      <c r="P274" s="6" t="n"/>
    </row>
    <row r="275">
      <c r="A275" s="6">
        <f>IF($B275="","",TEXT(YEAR($B275),"0000")&amp;"-"&amp;TEXT(SUMPRODUCT((YEAR($B$2:$B275)=YEAR($B275))*($B$2:$B275&lt;&gt;"")),"000"))</f>
        <v/>
      </c>
      <c r="B275" s="7" t="n"/>
      <c r="C275" s="8" t="n"/>
      <c r="D275" s="6">
        <f>IFERROR(VLOOKUP($C275,商品マスタ範囲,4,FALSE),"")</f>
        <v/>
      </c>
      <c r="E275" s="6">
        <f>IFERROR(VLOOKUP($C275,商品マスタ範囲,2,FALSE),"")</f>
        <v/>
      </c>
      <c r="F275" s="6">
        <f>IFERROR(VLOOKUP($C275,商品マスタ範囲,3,FALSE),"")</f>
        <v/>
      </c>
      <c r="G275" s="9">
        <f>IFERROR(VLOOKUP($C275,商品マスタ範囲,5,FALSE),"")</f>
        <v/>
      </c>
      <c r="H275" s="9" t="n"/>
      <c r="I275" s="7" t="n"/>
      <c r="J275" s="9">
        <f>IFERROR(VLOOKUP($C275,商品マスタ範囲,6,FALSE),"")</f>
        <v/>
      </c>
      <c r="K275" s="9" t="n"/>
      <c r="L275" s="7" t="n"/>
      <c r="M275" s="8" t="n"/>
      <c r="N275" s="6" t="n"/>
      <c r="O275" s="6" t="n"/>
      <c r="P275" s="6" t="n"/>
    </row>
    <row r="276">
      <c r="A276" s="6">
        <f>IF($B276="","",TEXT(YEAR($B276),"0000")&amp;"-"&amp;TEXT(SUMPRODUCT((YEAR($B$2:$B276)=YEAR($B276))*($B$2:$B276&lt;&gt;"")),"000"))</f>
        <v/>
      </c>
      <c r="B276" s="7" t="n"/>
      <c r="C276" s="8" t="n"/>
      <c r="D276" s="6">
        <f>IFERROR(VLOOKUP($C276,商品マスタ範囲,4,FALSE),"")</f>
        <v/>
      </c>
      <c r="E276" s="6">
        <f>IFERROR(VLOOKUP($C276,商品マスタ範囲,2,FALSE),"")</f>
        <v/>
      </c>
      <c r="F276" s="6">
        <f>IFERROR(VLOOKUP($C276,商品マスタ範囲,3,FALSE),"")</f>
        <v/>
      </c>
      <c r="G276" s="9">
        <f>IFERROR(VLOOKUP($C276,商品マスタ範囲,5,FALSE),"")</f>
        <v/>
      </c>
      <c r="H276" s="9" t="n"/>
      <c r="I276" s="7" t="n"/>
      <c r="J276" s="9">
        <f>IFERROR(VLOOKUP($C276,商品マスタ範囲,6,FALSE),"")</f>
        <v/>
      </c>
      <c r="K276" s="9" t="n"/>
      <c r="L276" s="7" t="n"/>
      <c r="M276" s="8" t="n"/>
      <c r="N276" s="6" t="n"/>
      <c r="O276" s="6" t="n"/>
      <c r="P276" s="6" t="n"/>
    </row>
    <row r="277">
      <c r="A277" s="6">
        <f>IF($B277="","",TEXT(YEAR($B277),"0000")&amp;"-"&amp;TEXT(SUMPRODUCT((YEAR($B$2:$B277)=YEAR($B277))*($B$2:$B277&lt;&gt;"")),"000"))</f>
        <v/>
      </c>
      <c r="B277" s="7" t="n"/>
      <c r="C277" s="8" t="n"/>
      <c r="D277" s="6">
        <f>IFERROR(VLOOKUP($C277,商品マスタ範囲,4,FALSE),"")</f>
        <v/>
      </c>
      <c r="E277" s="6">
        <f>IFERROR(VLOOKUP($C277,商品マスタ範囲,2,FALSE),"")</f>
        <v/>
      </c>
      <c r="F277" s="6">
        <f>IFERROR(VLOOKUP($C277,商品マスタ範囲,3,FALSE),"")</f>
        <v/>
      </c>
      <c r="G277" s="9">
        <f>IFERROR(VLOOKUP($C277,商品マスタ範囲,5,FALSE),"")</f>
        <v/>
      </c>
      <c r="H277" s="9" t="n"/>
      <c r="I277" s="7" t="n"/>
      <c r="J277" s="9">
        <f>IFERROR(VLOOKUP($C277,商品マスタ範囲,6,FALSE),"")</f>
        <v/>
      </c>
      <c r="K277" s="9" t="n"/>
      <c r="L277" s="7" t="n"/>
      <c r="M277" s="8" t="n"/>
      <c r="N277" s="6" t="n"/>
      <c r="O277" s="6" t="n"/>
      <c r="P277" s="6" t="n"/>
    </row>
    <row r="278">
      <c r="A278" s="6">
        <f>IF($B278="","",TEXT(YEAR($B278),"0000")&amp;"-"&amp;TEXT(SUMPRODUCT((YEAR($B$2:$B278)=YEAR($B278))*($B$2:$B278&lt;&gt;"")),"000"))</f>
        <v/>
      </c>
      <c r="B278" s="7" t="n"/>
      <c r="C278" s="8" t="n"/>
      <c r="D278" s="6">
        <f>IFERROR(VLOOKUP($C278,商品マスタ範囲,4,FALSE),"")</f>
        <v/>
      </c>
      <c r="E278" s="6">
        <f>IFERROR(VLOOKUP($C278,商品マスタ範囲,2,FALSE),"")</f>
        <v/>
      </c>
      <c r="F278" s="6">
        <f>IFERROR(VLOOKUP($C278,商品マスタ範囲,3,FALSE),"")</f>
        <v/>
      </c>
      <c r="G278" s="9">
        <f>IFERROR(VLOOKUP($C278,商品マスタ範囲,5,FALSE),"")</f>
        <v/>
      </c>
      <c r="H278" s="9" t="n"/>
      <c r="I278" s="7" t="n"/>
      <c r="J278" s="9">
        <f>IFERROR(VLOOKUP($C278,商品マスタ範囲,6,FALSE),"")</f>
        <v/>
      </c>
      <c r="K278" s="9" t="n"/>
      <c r="L278" s="7" t="n"/>
      <c r="M278" s="8" t="n"/>
      <c r="N278" s="6" t="n"/>
      <c r="O278" s="6" t="n"/>
      <c r="P278" s="6" t="n"/>
    </row>
    <row r="279">
      <c r="A279" s="6">
        <f>IF($B279="","",TEXT(YEAR($B279),"0000")&amp;"-"&amp;TEXT(SUMPRODUCT((YEAR($B$2:$B279)=YEAR($B279))*($B$2:$B279&lt;&gt;"")),"000"))</f>
        <v/>
      </c>
      <c r="B279" s="7" t="n"/>
      <c r="C279" s="8" t="n"/>
      <c r="D279" s="6">
        <f>IFERROR(VLOOKUP($C279,商品マスタ範囲,4,FALSE),"")</f>
        <v/>
      </c>
      <c r="E279" s="6">
        <f>IFERROR(VLOOKUP($C279,商品マスタ範囲,2,FALSE),"")</f>
        <v/>
      </c>
      <c r="F279" s="6">
        <f>IFERROR(VLOOKUP($C279,商品マスタ範囲,3,FALSE),"")</f>
        <v/>
      </c>
      <c r="G279" s="9">
        <f>IFERROR(VLOOKUP($C279,商品マスタ範囲,5,FALSE),"")</f>
        <v/>
      </c>
      <c r="H279" s="9" t="n"/>
      <c r="I279" s="7" t="n"/>
      <c r="J279" s="9">
        <f>IFERROR(VLOOKUP($C279,商品マスタ範囲,6,FALSE),"")</f>
        <v/>
      </c>
      <c r="K279" s="9" t="n"/>
      <c r="L279" s="7" t="n"/>
      <c r="M279" s="8" t="n"/>
      <c r="N279" s="6" t="n"/>
      <c r="O279" s="6" t="n"/>
      <c r="P279" s="6" t="n"/>
    </row>
    <row r="280">
      <c r="A280" s="6">
        <f>IF($B280="","",TEXT(YEAR($B280),"0000")&amp;"-"&amp;TEXT(SUMPRODUCT((YEAR($B$2:$B280)=YEAR($B280))*($B$2:$B280&lt;&gt;"")),"000"))</f>
        <v/>
      </c>
      <c r="B280" s="7" t="n"/>
      <c r="C280" s="8" t="n"/>
      <c r="D280" s="6">
        <f>IFERROR(VLOOKUP($C280,商品マスタ範囲,4,FALSE),"")</f>
        <v/>
      </c>
      <c r="E280" s="6">
        <f>IFERROR(VLOOKUP($C280,商品マスタ範囲,2,FALSE),"")</f>
        <v/>
      </c>
      <c r="F280" s="6">
        <f>IFERROR(VLOOKUP($C280,商品マスタ範囲,3,FALSE),"")</f>
        <v/>
      </c>
      <c r="G280" s="9">
        <f>IFERROR(VLOOKUP($C280,商品マスタ範囲,5,FALSE),"")</f>
        <v/>
      </c>
      <c r="H280" s="9" t="n"/>
      <c r="I280" s="7" t="n"/>
      <c r="J280" s="9">
        <f>IFERROR(VLOOKUP($C280,商品マスタ範囲,6,FALSE),"")</f>
        <v/>
      </c>
      <c r="K280" s="9" t="n"/>
      <c r="L280" s="7" t="n"/>
      <c r="M280" s="8" t="n"/>
      <c r="N280" s="6" t="n"/>
      <c r="O280" s="6" t="n"/>
      <c r="P280" s="6" t="n"/>
    </row>
    <row r="281">
      <c r="A281" s="6">
        <f>IF($B281="","",TEXT(YEAR($B281),"0000")&amp;"-"&amp;TEXT(SUMPRODUCT((YEAR($B$2:$B281)=YEAR($B281))*($B$2:$B281&lt;&gt;"")),"000"))</f>
        <v/>
      </c>
      <c r="B281" s="7" t="n"/>
      <c r="C281" s="8" t="n"/>
      <c r="D281" s="6">
        <f>IFERROR(VLOOKUP($C281,商品マスタ範囲,4,FALSE),"")</f>
        <v/>
      </c>
      <c r="E281" s="6">
        <f>IFERROR(VLOOKUP($C281,商品マスタ範囲,2,FALSE),"")</f>
        <v/>
      </c>
      <c r="F281" s="6">
        <f>IFERROR(VLOOKUP($C281,商品マスタ範囲,3,FALSE),"")</f>
        <v/>
      </c>
      <c r="G281" s="9">
        <f>IFERROR(VLOOKUP($C281,商品マスタ範囲,5,FALSE),"")</f>
        <v/>
      </c>
      <c r="H281" s="9" t="n"/>
      <c r="I281" s="7" t="n"/>
      <c r="J281" s="9">
        <f>IFERROR(VLOOKUP($C281,商品マスタ範囲,6,FALSE),"")</f>
        <v/>
      </c>
      <c r="K281" s="9" t="n"/>
      <c r="L281" s="7" t="n"/>
      <c r="M281" s="8" t="n"/>
      <c r="N281" s="6" t="n"/>
      <c r="O281" s="6" t="n"/>
      <c r="P281" s="6" t="n"/>
    </row>
    <row r="282">
      <c r="A282" s="6">
        <f>IF($B282="","",TEXT(YEAR($B282),"0000")&amp;"-"&amp;TEXT(SUMPRODUCT((YEAR($B$2:$B282)=YEAR($B282))*($B$2:$B282&lt;&gt;"")),"000"))</f>
        <v/>
      </c>
      <c r="B282" s="7" t="n"/>
      <c r="C282" s="8" t="n"/>
      <c r="D282" s="6">
        <f>IFERROR(VLOOKUP($C282,商品マスタ範囲,4,FALSE),"")</f>
        <v/>
      </c>
      <c r="E282" s="6">
        <f>IFERROR(VLOOKUP($C282,商品マスタ範囲,2,FALSE),"")</f>
        <v/>
      </c>
      <c r="F282" s="6">
        <f>IFERROR(VLOOKUP($C282,商品マスタ範囲,3,FALSE),"")</f>
        <v/>
      </c>
      <c r="G282" s="9">
        <f>IFERROR(VLOOKUP($C282,商品マスタ範囲,5,FALSE),"")</f>
        <v/>
      </c>
      <c r="H282" s="9" t="n"/>
      <c r="I282" s="7" t="n"/>
      <c r="J282" s="9">
        <f>IFERROR(VLOOKUP($C282,商品マスタ範囲,6,FALSE),"")</f>
        <v/>
      </c>
      <c r="K282" s="9" t="n"/>
      <c r="L282" s="7" t="n"/>
      <c r="M282" s="8" t="n"/>
      <c r="N282" s="6" t="n"/>
      <c r="O282" s="6" t="n"/>
      <c r="P282" s="6" t="n"/>
    </row>
    <row r="283">
      <c r="A283" s="6">
        <f>IF($B283="","",TEXT(YEAR($B283),"0000")&amp;"-"&amp;TEXT(SUMPRODUCT((YEAR($B$2:$B283)=YEAR($B283))*($B$2:$B283&lt;&gt;"")),"000"))</f>
        <v/>
      </c>
      <c r="B283" s="7" t="n"/>
      <c r="C283" s="8" t="n"/>
      <c r="D283" s="6">
        <f>IFERROR(VLOOKUP($C283,商品マスタ範囲,4,FALSE),"")</f>
        <v/>
      </c>
      <c r="E283" s="6">
        <f>IFERROR(VLOOKUP($C283,商品マスタ範囲,2,FALSE),"")</f>
        <v/>
      </c>
      <c r="F283" s="6">
        <f>IFERROR(VLOOKUP($C283,商品マスタ範囲,3,FALSE),"")</f>
        <v/>
      </c>
      <c r="G283" s="9">
        <f>IFERROR(VLOOKUP($C283,商品マスタ範囲,5,FALSE),"")</f>
        <v/>
      </c>
      <c r="H283" s="9" t="n"/>
      <c r="I283" s="7" t="n"/>
      <c r="J283" s="9">
        <f>IFERROR(VLOOKUP($C283,商品マスタ範囲,6,FALSE),"")</f>
        <v/>
      </c>
      <c r="K283" s="9" t="n"/>
      <c r="L283" s="7" t="n"/>
      <c r="M283" s="8" t="n"/>
      <c r="N283" s="6" t="n"/>
      <c r="O283" s="6" t="n"/>
      <c r="P283" s="6" t="n"/>
    </row>
    <row r="284">
      <c r="A284" s="6">
        <f>IF($B284="","",TEXT(YEAR($B284),"0000")&amp;"-"&amp;TEXT(SUMPRODUCT((YEAR($B$2:$B284)=YEAR($B284))*($B$2:$B284&lt;&gt;"")),"000"))</f>
        <v/>
      </c>
      <c r="B284" s="7" t="n"/>
      <c r="C284" s="8" t="n"/>
      <c r="D284" s="6">
        <f>IFERROR(VLOOKUP($C284,商品マスタ範囲,4,FALSE),"")</f>
        <v/>
      </c>
      <c r="E284" s="6">
        <f>IFERROR(VLOOKUP($C284,商品マスタ範囲,2,FALSE),"")</f>
        <v/>
      </c>
      <c r="F284" s="6">
        <f>IFERROR(VLOOKUP($C284,商品マスタ範囲,3,FALSE),"")</f>
        <v/>
      </c>
      <c r="G284" s="9">
        <f>IFERROR(VLOOKUP($C284,商品マスタ範囲,5,FALSE),"")</f>
        <v/>
      </c>
      <c r="H284" s="9" t="n"/>
      <c r="I284" s="7" t="n"/>
      <c r="J284" s="9">
        <f>IFERROR(VLOOKUP($C284,商品マスタ範囲,6,FALSE),"")</f>
        <v/>
      </c>
      <c r="K284" s="9" t="n"/>
      <c r="L284" s="7" t="n"/>
      <c r="M284" s="8" t="n"/>
      <c r="N284" s="6" t="n"/>
      <c r="O284" s="6" t="n"/>
      <c r="P284" s="6" t="n"/>
    </row>
    <row r="285">
      <c r="A285" s="6">
        <f>IF($B285="","",TEXT(YEAR($B285),"0000")&amp;"-"&amp;TEXT(SUMPRODUCT((YEAR($B$2:$B285)=YEAR($B285))*($B$2:$B285&lt;&gt;"")),"000"))</f>
        <v/>
      </c>
      <c r="B285" s="7" t="n"/>
      <c r="C285" s="8" t="n"/>
      <c r="D285" s="6">
        <f>IFERROR(VLOOKUP($C285,商品マスタ範囲,4,FALSE),"")</f>
        <v/>
      </c>
      <c r="E285" s="6">
        <f>IFERROR(VLOOKUP($C285,商品マスタ範囲,2,FALSE),"")</f>
        <v/>
      </c>
      <c r="F285" s="6">
        <f>IFERROR(VLOOKUP($C285,商品マスタ範囲,3,FALSE),"")</f>
        <v/>
      </c>
      <c r="G285" s="9">
        <f>IFERROR(VLOOKUP($C285,商品マスタ範囲,5,FALSE),"")</f>
        <v/>
      </c>
      <c r="H285" s="9" t="n"/>
      <c r="I285" s="7" t="n"/>
      <c r="J285" s="9">
        <f>IFERROR(VLOOKUP($C285,商品マスタ範囲,6,FALSE),"")</f>
        <v/>
      </c>
      <c r="K285" s="9" t="n"/>
      <c r="L285" s="7" t="n"/>
      <c r="M285" s="8" t="n"/>
      <c r="N285" s="6" t="n"/>
      <c r="O285" s="6" t="n"/>
      <c r="P285" s="6" t="n"/>
    </row>
    <row r="286">
      <c r="A286" s="6">
        <f>IF($B286="","",TEXT(YEAR($B286),"0000")&amp;"-"&amp;TEXT(SUMPRODUCT((YEAR($B$2:$B286)=YEAR($B286))*($B$2:$B286&lt;&gt;"")),"000"))</f>
        <v/>
      </c>
      <c r="B286" s="7" t="n"/>
      <c r="C286" s="8" t="n"/>
      <c r="D286" s="6">
        <f>IFERROR(VLOOKUP($C286,商品マスタ範囲,4,FALSE),"")</f>
        <v/>
      </c>
      <c r="E286" s="6">
        <f>IFERROR(VLOOKUP($C286,商品マスタ範囲,2,FALSE),"")</f>
        <v/>
      </c>
      <c r="F286" s="6">
        <f>IFERROR(VLOOKUP($C286,商品マスタ範囲,3,FALSE),"")</f>
        <v/>
      </c>
      <c r="G286" s="9">
        <f>IFERROR(VLOOKUP($C286,商品マスタ範囲,5,FALSE),"")</f>
        <v/>
      </c>
      <c r="H286" s="9" t="n"/>
      <c r="I286" s="7" t="n"/>
      <c r="J286" s="9">
        <f>IFERROR(VLOOKUP($C286,商品マスタ範囲,6,FALSE),"")</f>
        <v/>
      </c>
      <c r="K286" s="9" t="n"/>
      <c r="L286" s="7" t="n"/>
      <c r="M286" s="8" t="n"/>
      <c r="N286" s="6" t="n"/>
      <c r="O286" s="6" t="n"/>
      <c r="P286" s="6" t="n"/>
    </row>
    <row r="287">
      <c r="A287" s="6">
        <f>IF($B287="","",TEXT(YEAR($B287),"0000")&amp;"-"&amp;TEXT(SUMPRODUCT((YEAR($B$2:$B287)=YEAR($B287))*($B$2:$B287&lt;&gt;"")),"000"))</f>
        <v/>
      </c>
      <c r="B287" s="7" t="n"/>
      <c r="C287" s="8" t="n"/>
      <c r="D287" s="6">
        <f>IFERROR(VLOOKUP($C287,商品マスタ範囲,4,FALSE),"")</f>
        <v/>
      </c>
      <c r="E287" s="6">
        <f>IFERROR(VLOOKUP($C287,商品マスタ範囲,2,FALSE),"")</f>
        <v/>
      </c>
      <c r="F287" s="6">
        <f>IFERROR(VLOOKUP($C287,商品マスタ範囲,3,FALSE),"")</f>
        <v/>
      </c>
      <c r="G287" s="9">
        <f>IFERROR(VLOOKUP($C287,商品マスタ範囲,5,FALSE),"")</f>
        <v/>
      </c>
      <c r="H287" s="9" t="n"/>
      <c r="I287" s="7" t="n"/>
      <c r="J287" s="9">
        <f>IFERROR(VLOOKUP($C287,商品マスタ範囲,6,FALSE),"")</f>
        <v/>
      </c>
      <c r="K287" s="9" t="n"/>
      <c r="L287" s="7" t="n"/>
      <c r="M287" s="8" t="n"/>
      <c r="N287" s="6" t="n"/>
      <c r="O287" s="6" t="n"/>
      <c r="P287" s="6" t="n"/>
    </row>
    <row r="288">
      <c r="A288" s="6">
        <f>IF($B288="","",TEXT(YEAR($B288),"0000")&amp;"-"&amp;TEXT(SUMPRODUCT((YEAR($B$2:$B288)=YEAR($B288))*($B$2:$B288&lt;&gt;"")),"000"))</f>
        <v/>
      </c>
      <c r="B288" s="7" t="n"/>
      <c r="C288" s="8" t="n"/>
      <c r="D288" s="6">
        <f>IFERROR(VLOOKUP($C288,商品マスタ範囲,4,FALSE),"")</f>
        <v/>
      </c>
      <c r="E288" s="6">
        <f>IFERROR(VLOOKUP($C288,商品マスタ範囲,2,FALSE),"")</f>
        <v/>
      </c>
      <c r="F288" s="6">
        <f>IFERROR(VLOOKUP($C288,商品マスタ範囲,3,FALSE),"")</f>
        <v/>
      </c>
      <c r="G288" s="9">
        <f>IFERROR(VLOOKUP($C288,商品マスタ範囲,5,FALSE),"")</f>
        <v/>
      </c>
      <c r="H288" s="9" t="n"/>
      <c r="I288" s="7" t="n"/>
      <c r="J288" s="9">
        <f>IFERROR(VLOOKUP($C288,商品マスタ範囲,6,FALSE),"")</f>
        <v/>
      </c>
      <c r="K288" s="9" t="n"/>
      <c r="L288" s="7" t="n"/>
      <c r="M288" s="8" t="n"/>
      <c r="N288" s="6" t="n"/>
      <c r="O288" s="6" t="n"/>
      <c r="P288" s="6" t="n"/>
    </row>
    <row r="289">
      <c r="A289" s="6">
        <f>IF($B289="","",TEXT(YEAR($B289),"0000")&amp;"-"&amp;TEXT(SUMPRODUCT((YEAR($B$2:$B289)=YEAR($B289))*($B$2:$B289&lt;&gt;"")),"000"))</f>
        <v/>
      </c>
      <c r="B289" s="7" t="n"/>
      <c r="C289" s="8" t="n"/>
      <c r="D289" s="6">
        <f>IFERROR(VLOOKUP($C289,商品マスタ範囲,4,FALSE),"")</f>
        <v/>
      </c>
      <c r="E289" s="6">
        <f>IFERROR(VLOOKUP($C289,商品マスタ範囲,2,FALSE),"")</f>
        <v/>
      </c>
      <c r="F289" s="6">
        <f>IFERROR(VLOOKUP($C289,商品マスタ範囲,3,FALSE),"")</f>
        <v/>
      </c>
      <c r="G289" s="9">
        <f>IFERROR(VLOOKUP($C289,商品マスタ範囲,5,FALSE),"")</f>
        <v/>
      </c>
      <c r="H289" s="9" t="n"/>
      <c r="I289" s="7" t="n"/>
      <c r="J289" s="9">
        <f>IFERROR(VLOOKUP($C289,商品マスタ範囲,6,FALSE),"")</f>
        <v/>
      </c>
      <c r="K289" s="9" t="n"/>
      <c r="L289" s="7" t="n"/>
      <c r="M289" s="8" t="n"/>
      <c r="N289" s="6" t="n"/>
      <c r="O289" s="6" t="n"/>
      <c r="P289" s="6" t="n"/>
    </row>
    <row r="290">
      <c r="A290" s="6">
        <f>IF($B290="","",TEXT(YEAR($B290),"0000")&amp;"-"&amp;TEXT(SUMPRODUCT((YEAR($B$2:$B290)=YEAR($B290))*($B$2:$B290&lt;&gt;"")),"000"))</f>
        <v/>
      </c>
      <c r="B290" s="7" t="n"/>
      <c r="C290" s="8" t="n"/>
      <c r="D290" s="6">
        <f>IFERROR(VLOOKUP($C290,商品マスタ範囲,4,FALSE),"")</f>
        <v/>
      </c>
      <c r="E290" s="6">
        <f>IFERROR(VLOOKUP($C290,商品マスタ範囲,2,FALSE),"")</f>
        <v/>
      </c>
      <c r="F290" s="6">
        <f>IFERROR(VLOOKUP($C290,商品マスタ範囲,3,FALSE),"")</f>
        <v/>
      </c>
      <c r="G290" s="9">
        <f>IFERROR(VLOOKUP($C290,商品マスタ範囲,5,FALSE),"")</f>
        <v/>
      </c>
      <c r="H290" s="9" t="n"/>
      <c r="I290" s="7" t="n"/>
      <c r="J290" s="9">
        <f>IFERROR(VLOOKUP($C290,商品マスタ範囲,6,FALSE),"")</f>
        <v/>
      </c>
      <c r="K290" s="9" t="n"/>
      <c r="L290" s="7" t="n"/>
      <c r="M290" s="8" t="n"/>
      <c r="N290" s="6" t="n"/>
      <c r="O290" s="6" t="n"/>
      <c r="P290" s="6" t="n"/>
    </row>
    <row r="291">
      <c r="A291" s="6">
        <f>IF($B291="","",TEXT(YEAR($B291),"0000")&amp;"-"&amp;TEXT(SUMPRODUCT((YEAR($B$2:$B291)=YEAR($B291))*($B$2:$B291&lt;&gt;"")),"000"))</f>
        <v/>
      </c>
      <c r="B291" s="7" t="n"/>
      <c r="C291" s="8" t="n"/>
      <c r="D291" s="6">
        <f>IFERROR(VLOOKUP($C291,商品マスタ範囲,4,FALSE),"")</f>
        <v/>
      </c>
      <c r="E291" s="6">
        <f>IFERROR(VLOOKUP($C291,商品マスタ範囲,2,FALSE),"")</f>
        <v/>
      </c>
      <c r="F291" s="6">
        <f>IFERROR(VLOOKUP($C291,商品マスタ範囲,3,FALSE),"")</f>
        <v/>
      </c>
      <c r="G291" s="9">
        <f>IFERROR(VLOOKUP($C291,商品マスタ範囲,5,FALSE),"")</f>
        <v/>
      </c>
      <c r="H291" s="9" t="n"/>
      <c r="I291" s="7" t="n"/>
      <c r="J291" s="9">
        <f>IFERROR(VLOOKUP($C291,商品マスタ範囲,6,FALSE),"")</f>
        <v/>
      </c>
      <c r="K291" s="9" t="n"/>
      <c r="L291" s="7" t="n"/>
      <c r="M291" s="8" t="n"/>
      <c r="N291" s="6" t="n"/>
      <c r="O291" s="6" t="n"/>
      <c r="P291" s="6" t="n"/>
    </row>
    <row r="292">
      <c r="A292" s="6">
        <f>IF($B292="","",TEXT(YEAR($B292),"0000")&amp;"-"&amp;TEXT(SUMPRODUCT((YEAR($B$2:$B292)=YEAR($B292))*($B$2:$B292&lt;&gt;"")),"000"))</f>
        <v/>
      </c>
      <c r="B292" s="7" t="n"/>
      <c r="C292" s="8" t="n"/>
      <c r="D292" s="6">
        <f>IFERROR(VLOOKUP($C292,商品マスタ範囲,4,FALSE),"")</f>
        <v/>
      </c>
      <c r="E292" s="6">
        <f>IFERROR(VLOOKUP($C292,商品マスタ範囲,2,FALSE),"")</f>
        <v/>
      </c>
      <c r="F292" s="6">
        <f>IFERROR(VLOOKUP($C292,商品マスタ範囲,3,FALSE),"")</f>
        <v/>
      </c>
      <c r="G292" s="9">
        <f>IFERROR(VLOOKUP($C292,商品マスタ範囲,5,FALSE),"")</f>
        <v/>
      </c>
      <c r="H292" s="9" t="n"/>
      <c r="I292" s="7" t="n"/>
      <c r="J292" s="9">
        <f>IFERROR(VLOOKUP($C292,商品マスタ範囲,6,FALSE),"")</f>
        <v/>
      </c>
      <c r="K292" s="9" t="n"/>
      <c r="L292" s="7" t="n"/>
      <c r="M292" s="8" t="n"/>
      <c r="N292" s="6" t="n"/>
      <c r="O292" s="6" t="n"/>
      <c r="P292" s="6" t="n"/>
    </row>
    <row r="293">
      <c r="A293" s="6">
        <f>IF($B293="","",TEXT(YEAR($B293),"0000")&amp;"-"&amp;TEXT(SUMPRODUCT((YEAR($B$2:$B293)=YEAR($B293))*($B$2:$B293&lt;&gt;"")),"000"))</f>
        <v/>
      </c>
      <c r="B293" s="7" t="n"/>
      <c r="C293" s="8" t="n"/>
      <c r="D293" s="6">
        <f>IFERROR(VLOOKUP($C293,商品マスタ範囲,4,FALSE),"")</f>
        <v/>
      </c>
      <c r="E293" s="6">
        <f>IFERROR(VLOOKUP($C293,商品マスタ範囲,2,FALSE),"")</f>
        <v/>
      </c>
      <c r="F293" s="6">
        <f>IFERROR(VLOOKUP($C293,商品マスタ範囲,3,FALSE),"")</f>
        <v/>
      </c>
      <c r="G293" s="9">
        <f>IFERROR(VLOOKUP($C293,商品マスタ範囲,5,FALSE),"")</f>
        <v/>
      </c>
      <c r="H293" s="9" t="n"/>
      <c r="I293" s="7" t="n"/>
      <c r="J293" s="9">
        <f>IFERROR(VLOOKUP($C293,商品マスタ範囲,6,FALSE),"")</f>
        <v/>
      </c>
      <c r="K293" s="9" t="n"/>
      <c r="L293" s="7" t="n"/>
      <c r="M293" s="8" t="n"/>
      <c r="N293" s="6" t="n"/>
      <c r="O293" s="6" t="n"/>
      <c r="P293" s="6" t="n"/>
    </row>
    <row r="294">
      <c r="A294" s="6">
        <f>IF($B294="","",TEXT(YEAR($B294),"0000")&amp;"-"&amp;TEXT(SUMPRODUCT((YEAR($B$2:$B294)=YEAR($B294))*($B$2:$B294&lt;&gt;"")),"000"))</f>
        <v/>
      </c>
      <c r="B294" s="7" t="n"/>
      <c r="C294" s="8" t="n"/>
      <c r="D294" s="6">
        <f>IFERROR(VLOOKUP($C294,商品マスタ範囲,4,FALSE),"")</f>
        <v/>
      </c>
      <c r="E294" s="6">
        <f>IFERROR(VLOOKUP($C294,商品マスタ範囲,2,FALSE),"")</f>
        <v/>
      </c>
      <c r="F294" s="6">
        <f>IFERROR(VLOOKUP($C294,商品マスタ範囲,3,FALSE),"")</f>
        <v/>
      </c>
      <c r="G294" s="9">
        <f>IFERROR(VLOOKUP($C294,商品マスタ範囲,5,FALSE),"")</f>
        <v/>
      </c>
      <c r="H294" s="9" t="n"/>
      <c r="I294" s="7" t="n"/>
      <c r="J294" s="9">
        <f>IFERROR(VLOOKUP($C294,商品マスタ範囲,6,FALSE),"")</f>
        <v/>
      </c>
      <c r="K294" s="9" t="n"/>
      <c r="L294" s="7" t="n"/>
      <c r="M294" s="8" t="n"/>
      <c r="N294" s="6" t="n"/>
      <c r="O294" s="6" t="n"/>
      <c r="P294" s="6" t="n"/>
    </row>
    <row r="295">
      <c r="A295" s="6">
        <f>IF($B295="","",TEXT(YEAR($B295),"0000")&amp;"-"&amp;TEXT(SUMPRODUCT((YEAR($B$2:$B295)=YEAR($B295))*($B$2:$B295&lt;&gt;"")),"000"))</f>
        <v/>
      </c>
      <c r="B295" s="7" t="n"/>
      <c r="C295" s="8" t="n"/>
      <c r="D295" s="6">
        <f>IFERROR(VLOOKUP($C295,商品マスタ範囲,4,FALSE),"")</f>
        <v/>
      </c>
      <c r="E295" s="6">
        <f>IFERROR(VLOOKUP($C295,商品マスタ範囲,2,FALSE),"")</f>
        <v/>
      </c>
      <c r="F295" s="6">
        <f>IFERROR(VLOOKUP($C295,商品マスタ範囲,3,FALSE),"")</f>
        <v/>
      </c>
      <c r="G295" s="9">
        <f>IFERROR(VLOOKUP($C295,商品マスタ範囲,5,FALSE),"")</f>
        <v/>
      </c>
      <c r="H295" s="9" t="n"/>
      <c r="I295" s="7" t="n"/>
      <c r="J295" s="9">
        <f>IFERROR(VLOOKUP($C295,商品マスタ範囲,6,FALSE),"")</f>
        <v/>
      </c>
      <c r="K295" s="9" t="n"/>
      <c r="L295" s="7" t="n"/>
      <c r="M295" s="8" t="n"/>
      <c r="N295" s="6" t="n"/>
      <c r="O295" s="6" t="n"/>
      <c r="P295" s="6" t="n"/>
    </row>
    <row r="296">
      <c r="A296" s="6">
        <f>IF($B296="","",TEXT(YEAR($B296),"0000")&amp;"-"&amp;TEXT(SUMPRODUCT((YEAR($B$2:$B296)=YEAR($B296))*($B$2:$B296&lt;&gt;"")),"000"))</f>
        <v/>
      </c>
      <c r="B296" s="7" t="n"/>
      <c r="C296" s="8" t="n"/>
      <c r="D296" s="6">
        <f>IFERROR(VLOOKUP($C296,商品マスタ範囲,4,FALSE),"")</f>
        <v/>
      </c>
      <c r="E296" s="6">
        <f>IFERROR(VLOOKUP($C296,商品マスタ範囲,2,FALSE),"")</f>
        <v/>
      </c>
      <c r="F296" s="6">
        <f>IFERROR(VLOOKUP($C296,商品マスタ範囲,3,FALSE),"")</f>
        <v/>
      </c>
      <c r="G296" s="9">
        <f>IFERROR(VLOOKUP($C296,商品マスタ範囲,5,FALSE),"")</f>
        <v/>
      </c>
      <c r="H296" s="9" t="n"/>
      <c r="I296" s="7" t="n"/>
      <c r="J296" s="9">
        <f>IFERROR(VLOOKUP($C296,商品マスタ範囲,6,FALSE),"")</f>
        <v/>
      </c>
      <c r="K296" s="9" t="n"/>
      <c r="L296" s="7" t="n"/>
      <c r="M296" s="8" t="n"/>
      <c r="N296" s="6" t="n"/>
      <c r="O296" s="6" t="n"/>
      <c r="P296" s="6" t="n"/>
    </row>
    <row r="297">
      <c r="A297" s="6">
        <f>IF($B297="","",TEXT(YEAR($B297),"0000")&amp;"-"&amp;TEXT(SUMPRODUCT((YEAR($B$2:$B297)=YEAR($B297))*($B$2:$B297&lt;&gt;"")),"000"))</f>
        <v/>
      </c>
      <c r="B297" s="7" t="n"/>
      <c r="C297" s="8" t="n"/>
      <c r="D297" s="6">
        <f>IFERROR(VLOOKUP($C297,商品マスタ範囲,4,FALSE),"")</f>
        <v/>
      </c>
      <c r="E297" s="6">
        <f>IFERROR(VLOOKUP($C297,商品マスタ範囲,2,FALSE),"")</f>
        <v/>
      </c>
      <c r="F297" s="6">
        <f>IFERROR(VLOOKUP($C297,商品マスタ範囲,3,FALSE),"")</f>
        <v/>
      </c>
      <c r="G297" s="9">
        <f>IFERROR(VLOOKUP($C297,商品マスタ範囲,5,FALSE),"")</f>
        <v/>
      </c>
      <c r="H297" s="9" t="n"/>
      <c r="I297" s="7" t="n"/>
      <c r="J297" s="9">
        <f>IFERROR(VLOOKUP($C297,商品マスタ範囲,6,FALSE),"")</f>
        <v/>
      </c>
      <c r="K297" s="9" t="n"/>
      <c r="L297" s="7" t="n"/>
      <c r="M297" s="8" t="n"/>
      <c r="N297" s="6" t="n"/>
      <c r="O297" s="6" t="n"/>
      <c r="P297" s="6" t="n"/>
    </row>
    <row r="298">
      <c r="A298" s="6">
        <f>IF($B298="","",TEXT(YEAR($B298),"0000")&amp;"-"&amp;TEXT(SUMPRODUCT((YEAR($B$2:$B298)=YEAR($B298))*($B$2:$B298&lt;&gt;"")),"000"))</f>
        <v/>
      </c>
      <c r="B298" s="7" t="n"/>
      <c r="C298" s="8" t="n"/>
      <c r="D298" s="6">
        <f>IFERROR(VLOOKUP($C298,商品マスタ範囲,4,FALSE),"")</f>
        <v/>
      </c>
      <c r="E298" s="6">
        <f>IFERROR(VLOOKUP($C298,商品マスタ範囲,2,FALSE),"")</f>
        <v/>
      </c>
      <c r="F298" s="6">
        <f>IFERROR(VLOOKUP($C298,商品マスタ範囲,3,FALSE),"")</f>
        <v/>
      </c>
      <c r="G298" s="9">
        <f>IFERROR(VLOOKUP($C298,商品マスタ範囲,5,FALSE),"")</f>
        <v/>
      </c>
      <c r="H298" s="9" t="n"/>
      <c r="I298" s="7" t="n"/>
      <c r="J298" s="9">
        <f>IFERROR(VLOOKUP($C298,商品マスタ範囲,6,FALSE),"")</f>
        <v/>
      </c>
      <c r="K298" s="9" t="n"/>
      <c r="L298" s="7" t="n"/>
      <c r="M298" s="8" t="n"/>
      <c r="N298" s="6" t="n"/>
      <c r="O298" s="6" t="n"/>
      <c r="P298" s="6" t="n"/>
    </row>
    <row r="299">
      <c r="A299" s="6">
        <f>IF($B299="","",TEXT(YEAR($B299),"0000")&amp;"-"&amp;TEXT(SUMPRODUCT((YEAR($B$2:$B299)=YEAR($B299))*($B$2:$B299&lt;&gt;"")),"000"))</f>
        <v/>
      </c>
      <c r="B299" s="7" t="n"/>
      <c r="C299" s="8" t="n"/>
      <c r="D299" s="6">
        <f>IFERROR(VLOOKUP($C299,商品マスタ範囲,4,FALSE),"")</f>
        <v/>
      </c>
      <c r="E299" s="6">
        <f>IFERROR(VLOOKUP($C299,商品マスタ範囲,2,FALSE),"")</f>
        <v/>
      </c>
      <c r="F299" s="6">
        <f>IFERROR(VLOOKUP($C299,商品マスタ範囲,3,FALSE),"")</f>
        <v/>
      </c>
      <c r="G299" s="9">
        <f>IFERROR(VLOOKUP($C299,商品マスタ範囲,5,FALSE),"")</f>
        <v/>
      </c>
      <c r="H299" s="9" t="n"/>
      <c r="I299" s="7" t="n"/>
      <c r="J299" s="9">
        <f>IFERROR(VLOOKUP($C299,商品マスタ範囲,6,FALSE),"")</f>
        <v/>
      </c>
      <c r="K299" s="9" t="n"/>
      <c r="L299" s="7" t="n"/>
      <c r="M299" s="8" t="n"/>
      <c r="N299" s="6" t="n"/>
      <c r="O299" s="6" t="n"/>
      <c r="P299" s="6" t="n"/>
    </row>
    <row r="300">
      <c r="A300" s="6">
        <f>IF($B300="","",TEXT(YEAR($B300),"0000")&amp;"-"&amp;TEXT(SUMPRODUCT((YEAR($B$2:$B300)=YEAR($B300))*($B$2:$B300&lt;&gt;"")),"000"))</f>
        <v/>
      </c>
      <c r="B300" s="7" t="n"/>
      <c r="C300" s="8" t="n"/>
      <c r="D300" s="6">
        <f>IFERROR(VLOOKUP($C300,商品マスタ範囲,4,FALSE),"")</f>
        <v/>
      </c>
      <c r="E300" s="6">
        <f>IFERROR(VLOOKUP($C300,商品マスタ範囲,2,FALSE),"")</f>
        <v/>
      </c>
      <c r="F300" s="6">
        <f>IFERROR(VLOOKUP($C300,商品マスタ範囲,3,FALSE),"")</f>
        <v/>
      </c>
      <c r="G300" s="9">
        <f>IFERROR(VLOOKUP($C300,商品マスタ範囲,5,FALSE),"")</f>
        <v/>
      </c>
      <c r="H300" s="9" t="n"/>
      <c r="I300" s="7" t="n"/>
      <c r="J300" s="9">
        <f>IFERROR(VLOOKUP($C300,商品マスタ範囲,6,FALSE),"")</f>
        <v/>
      </c>
      <c r="K300" s="9" t="n"/>
      <c r="L300" s="7" t="n"/>
      <c r="M300" s="8" t="n"/>
      <c r="N300" s="6" t="n"/>
      <c r="O300" s="6" t="n"/>
      <c r="P300" s="6" t="n"/>
    </row>
    <row r="301">
      <c r="A301" s="6">
        <f>IF($B301="","",TEXT(YEAR($B301),"0000")&amp;"-"&amp;TEXT(SUMPRODUCT((YEAR($B$2:$B301)=YEAR($B301))*($B$2:$B301&lt;&gt;"")),"000"))</f>
        <v/>
      </c>
      <c r="B301" s="7" t="n"/>
      <c r="C301" s="8" t="n"/>
      <c r="D301" s="6">
        <f>IFERROR(VLOOKUP($C301,商品マスタ範囲,4,FALSE),"")</f>
        <v/>
      </c>
      <c r="E301" s="6">
        <f>IFERROR(VLOOKUP($C301,商品マスタ範囲,2,FALSE),"")</f>
        <v/>
      </c>
      <c r="F301" s="6">
        <f>IFERROR(VLOOKUP($C301,商品マスタ範囲,3,FALSE),"")</f>
        <v/>
      </c>
      <c r="G301" s="9">
        <f>IFERROR(VLOOKUP($C301,商品マスタ範囲,5,FALSE),"")</f>
        <v/>
      </c>
      <c r="H301" s="9" t="n"/>
      <c r="I301" s="7" t="n"/>
      <c r="J301" s="9">
        <f>IFERROR(VLOOKUP($C301,商品マスタ範囲,6,FALSE),"")</f>
        <v/>
      </c>
      <c r="K301" s="9" t="n"/>
      <c r="L301" s="7" t="n"/>
      <c r="M301" s="8" t="n"/>
      <c r="N301" s="6" t="n"/>
      <c r="O301" s="6" t="n"/>
      <c r="P301" s="6" t="n"/>
    </row>
  </sheetData>
  <autoFilter ref="A1:P301"/>
  <conditionalFormatting sqref="A2:P301">
    <cfRule type="expression" priority="1" dxfId="0" stopIfTrue="1">
      <formula>$O2="完了"</formula>
    </cfRule>
    <cfRule type="expression" priority="2" dxfId="1" stopIfTrue="1">
      <formula>AND($O2&lt;&gt;"完了",$I2&lt;&gt;"",$I2&lt;TODAY())</formula>
    </cfRule>
    <cfRule type="expression" priority="3" dxfId="2" stopIfTrue="1">
      <formula>AND($O2&lt;&gt;"完了",$I2&lt;&gt;"",$I2&gt;TODAY())</formula>
    </cfRule>
    <cfRule type="expression" priority="4" dxfId="3" stopIfTrue="1">
      <formula>AND($N2="済",$O2&lt;&gt;"完了")</formula>
    </cfRule>
  </conditionalFormatting>
  <dataValidations count="7">
    <dataValidation sqref="C2:C301" showDropDown="0" showInputMessage="0" showErrorMessage="0" allowBlank="1" type="list">
      <formula1>=商品リスト</formula1>
    </dataValidation>
    <dataValidation sqref="D2:D301" showDropDown="0" showInputMessage="0" showErrorMessage="0" allowBlank="1" type="list">
      <formula1>=荷姿リスト</formula1>
    </dataValidation>
    <dataValidation sqref="E2:E301" showDropDown="0" showInputMessage="0" showErrorMessage="0" allowBlank="1" type="list">
      <formula1>=仕入先リスト</formula1>
    </dataValidation>
    <dataValidation sqref="F2:F301" showDropDown="0" showInputMessage="0" showErrorMessage="0" allowBlank="1" type="list">
      <formula1>=得意先リスト</formula1>
    </dataValidation>
    <dataValidation sqref="N2:N301" showDropDown="0" showInputMessage="0" showErrorMessage="0" allowBlank="1" type="list">
      <formula1>"未,済"</formula1>
    </dataValidation>
    <dataValidation sqref="O2:O301" showDropDown="0" showInputMessage="0" showErrorMessage="0" allowBlank="1" type="list">
      <formula1>"未,完了"</formula1>
    </dataValidation>
    <dataValidation sqref="P2:P301" showDropDown="0" showInputMessage="0" showErrorMessage="0" allowBlank="1" type="list">
      <formula1>"藤田,中岡,白石"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30" customWidth="1" min="5" max="5"/>
  </cols>
  <sheetData>
    <row r="1">
      <c r="A1" s="5" t="inlineStr">
        <is>
          <t>仕入先コード</t>
        </is>
      </c>
      <c r="B1" s="5" t="inlineStr">
        <is>
          <t>仕入先名</t>
        </is>
      </c>
      <c r="C1" s="5" t="inlineStr">
        <is>
          <t>電話番号</t>
        </is>
      </c>
      <c r="D1" s="5" t="inlineStr">
        <is>
          <t>担当者</t>
        </is>
      </c>
      <c r="E1" s="5" t="inlineStr">
        <is>
          <t>備考</t>
        </is>
      </c>
    </row>
    <row r="2">
      <c r="A2" s="10" t="inlineStr">
        <is>
          <t>S001</t>
        </is>
      </c>
      <c r="B2" s="10" t="inlineStr">
        <is>
          <t>〇〇青果株式会社</t>
        </is>
      </c>
      <c r="C2" s="10" t="inlineStr">
        <is>
          <t>03-1111-2222</t>
        </is>
      </c>
      <c r="D2" s="10" t="inlineStr">
        <is>
          <t>山田</t>
        </is>
      </c>
      <c r="E2" s="10" t="inlineStr">
        <is>
          <t>サンプルデータ</t>
        </is>
      </c>
    </row>
    <row r="3">
      <c r="A3" s="10" t="inlineStr">
        <is>
          <t>S002</t>
        </is>
      </c>
      <c r="B3" s="10" t="inlineStr">
        <is>
          <t>△△食品卸</t>
        </is>
      </c>
      <c r="C3" s="10" t="inlineStr">
        <is>
          <t>03-2222-3333</t>
        </is>
      </c>
      <c r="D3" s="10" t="inlineStr">
        <is>
          <t>佐藤</t>
        </is>
      </c>
      <c r="E3" s="10" t="inlineStr">
        <is>
          <t>サンプルデータ</t>
        </is>
      </c>
    </row>
    <row r="4">
      <c r="A4" s="10" t="inlineStr">
        <is>
          <t>S003</t>
        </is>
      </c>
      <c r="B4" s="10" t="inlineStr">
        <is>
          <t>□□水産</t>
        </is>
      </c>
      <c r="C4" s="10" t="inlineStr">
        <is>
          <t>03-3333-4444</t>
        </is>
      </c>
      <c r="D4" s="10" t="inlineStr">
        <is>
          <t>鈴木</t>
        </is>
      </c>
      <c r="E4" s="10" t="inlineStr">
        <is>
          <t>サンプルデータ</t>
        </is>
      </c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  <row r="60">
      <c r="A60" s="11" t="n"/>
      <c r="B60" s="11" t="n"/>
      <c r="C60" s="11" t="n"/>
      <c r="D60" s="11" t="n"/>
      <c r="E60" s="11" t="n"/>
    </row>
    <row r="61">
      <c r="A61" s="11" t="n"/>
      <c r="B61" s="11" t="n"/>
      <c r="C61" s="11" t="n"/>
      <c r="D61" s="11" t="n"/>
      <c r="E61" s="11" t="n"/>
    </row>
    <row r="62">
      <c r="A62" s="11" t="n"/>
      <c r="B62" s="11" t="n"/>
      <c r="C62" s="11" t="n"/>
      <c r="D62" s="11" t="n"/>
      <c r="E62" s="11" t="n"/>
    </row>
    <row r="63">
      <c r="A63" s="11" t="n"/>
      <c r="B63" s="11" t="n"/>
      <c r="C63" s="11" t="n"/>
      <c r="D63" s="11" t="n"/>
      <c r="E63" s="11" t="n"/>
    </row>
    <row r="64">
      <c r="A64" s="11" t="n"/>
      <c r="B64" s="11" t="n"/>
      <c r="C64" s="11" t="n"/>
      <c r="D64" s="11" t="n"/>
      <c r="E64" s="11" t="n"/>
    </row>
    <row r="65">
      <c r="A65" s="11" t="n"/>
      <c r="B65" s="11" t="n"/>
      <c r="C65" s="11" t="n"/>
      <c r="D65" s="11" t="n"/>
      <c r="E65" s="11" t="n"/>
    </row>
    <row r="66">
      <c r="A66" s="11" t="n"/>
      <c r="B66" s="11" t="n"/>
      <c r="C66" s="11" t="n"/>
      <c r="D66" s="11" t="n"/>
      <c r="E66" s="11" t="n"/>
    </row>
    <row r="67">
      <c r="A67" s="11" t="n"/>
      <c r="B67" s="11" t="n"/>
      <c r="C67" s="11" t="n"/>
      <c r="D67" s="11" t="n"/>
      <c r="E67" s="11" t="n"/>
    </row>
    <row r="68">
      <c r="A68" s="11" t="n"/>
      <c r="B68" s="11" t="n"/>
      <c r="C68" s="11" t="n"/>
      <c r="D68" s="11" t="n"/>
      <c r="E68" s="11" t="n"/>
    </row>
    <row r="69">
      <c r="A69" s="11" t="n"/>
      <c r="B69" s="11" t="n"/>
      <c r="C69" s="11" t="n"/>
      <c r="D69" s="11" t="n"/>
      <c r="E69" s="11" t="n"/>
    </row>
    <row r="70">
      <c r="A70" s="11" t="n"/>
      <c r="B70" s="11" t="n"/>
      <c r="C70" s="11" t="n"/>
      <c r="D70" s="11" t="n"/>
      <c r="E70" s="11" t="n"/>
    </row>
    <row r="71">
      <c r="A71" s="11" t="n"/>
      <c r="B71" s="11" t="n"/>
      <c r="C71" s="11" t="n"/>
      <c r="D71" s="11" t="n"/>
      <c r="E71" s="11" t="n"/>
    </row>
    <row r="72">
      <c r="A72" s="11" t="n"/>
      <c r="B72" s="11" t="n"/>
      <c r="C72" s="11" t="n"/>
      <c r="D72" s="11" t="n"/>
      <c r="E72" s="11" t="n"/>
    </row>
    <row r="73">
      <c r="A73" s="11" t="n"/>
      <c r="B73" s="11" t="n"/>
      <c r="C73" s="11" t="n"/>
      <c r="D73" s="11" t="n"/>
      <c r="E73" s="11" t="n"/>
    </row>
    <row r="74">
      <c r="A74" s="11" t="n"/>
      <c r="B74" s="11" t="n"/>
      <c r="C74" s="11" t="n"/>
      <c r="D74" s="11" t="n"/>
      <c r="E74" s="11" t="n"/>
    </row>
    <row r="75">
      <c r="A75" s="11" t="n"/>
      <c r="B75" s="11" t="n"/>
      <c r="C75" s="11" t="n"/>
      <c r="D75" s="11" t="n"/>
      <c r="E75" s="11" t="n"/>
    </row>
    <row r="76">
      <c r="A76" s="11" t="n"/>
      <c r="B76" s="11" t="n"/>
      <c r="C76" s="11" t="n"/>
      <c r="D76" s="11" t="n"/>
      <c r="E76" s="11" t="n"/>
    </row>
    <row r="77">
      <c r="A77" s="11" t="n"/>
      <c r="B77" s="11" t="n"/>
      <c r="C77" s="11" t="n"/>
      <c r="D77" s="11" t="n"/>
      <c r="E77" s="11" t="n"/>
    </row>
    <row r="78">
      <c r="A78" s="11" t="n"/>
      <c r="B78" s="11" t="n"/>
      <c r="C78" s="11" t="n"/>
      <c r="D78" s="11" t="n"/>
      <c r="E78" s="11" t="n"/>
    </row>
    <row r="79">
      <c r="A79" s="11" t="n"/>
      <c r="B79" s="11" t="n"/>
      <c r="C79" s="11" t="n"/>
      <c r="D79" s="11" t="n"/>
      <c r="E79" s="11" t="n"/>
    </row>
    <row r="80">
      <c r="A80" s="11" t="n"/>
      <c r="B80" s="11" t="n"/>
      <c r="C80" s="11" t="n"/>
      <c r="D80" s="11" t="n"/>
      <c r="E80" s="11" t="n"/>
    </row>
    <row r="81">
      <c r="A81" s="11" t="n"/>
      <c r="B81" s="11" t="n"/>
      <c r="C81" s="11" t="n"/>
      <c r="D81" s="11" t="n"/>
      <c r="E81" s="11" t="n"/>
    </row>
    <row r="82">
      <c r="A82" s="11" t="n"/>
      <c r="B82" s="11" t="n"/>
      <c r="C82" s="11" t="n"/>
      <c r="D82" s="11" t="n"/>
      <c r="E82" s="11" t="n"/>
    </row>
    <row r="83">
      <c r="A83" s="11" t="n"/>
      <c r="B83" s="11" t="n"/>
      <c r="C83" s="11" t="n"/>
      <c r="D83" s="11" t="n"/>
      <c r="E83" s="11" t="n"/>
    </row>
    <row r="84">
      <c r="A84" s="11" t="n"/>
      <c r="B84" s="11" t="n"/>
      <c r="C84" s="11" t="n"/>
      <c r="D84" s="11" t="n"/>
      <c r="E84" s="11" t="n"/>
    </row>
    <row r="85">
      <c r="A85" s="11" t="n"/>
      <c r="B85" s="11" t="n"/>
      <c r="C85" s="11" t="n"/>
      <c r="D85" s="11" t="n"/>
      <c r="E85" s="11" t="n"/>
    </row>
    <row r="86">
      <c r="A86" s="11" t="n"/>
      <c r="B86" s="11" t="n"/>
      <c r="C86" s="11" t="n"/>
      <c r="D86" s="11" t="n"/>
      <c r="E86" s="11" t="n"/>
    </row>
    <row r="87">
      <c r="A87" s="11" t="n"/>
      <c r="B87" s="11" t="n"/>
      <c r="C87" s="11" t="n"/>
      <c r="D87" s="11" t="n"/>
      <c r="E87" s="11" t="n"/>
    </row>
    <row r="88">
      <c r="A88" s="11" t="n"/>
      <c r="B88" s="11" t="n"/>
      <c r="C88" s="11" t="n"/>
      <c r="D88" s="11" t="n"/>
      <c r="E88" s="11" t="n"/>
    </row>
    <row r="89">
      <c r="A89" s="11" t="n"/>
      <c r="B89" s="11" t="n"/>
      <c r="C89" s="11" t="n"/>
      <c r="D89" s="11" t="n"/>
      <c r="E89" s="11" t="n"/>
    </row>
    <row r="90">
      <c r="A90" s="11" t="n"/>
      <c r="B90" s="11" t="n"/>
      <c r="C90" s="11" t="n"/>
      <c r="D90" s="11" t="n"/>
      <c r="E90" s="11" t="n"/>
    </row>
    <row r="91">
      <c r="A91" s="11" t="n"/>
      <c r="B91" s="11" t="n"/>
      <c r="C91" s="11" t="n"/>
      <c r="D91" s="11" t="n"/>
      <c r="E91" s="11" t="n"/>
    </row>
    <row r="92">
      <c r="A92" s="11" t="n"/>
      <c r="B92" s="11" t="n"/>
      <c r="C92" s="11" t="n"/>
      <c r="D92" s="11" t="n"/>
      <c r="E92" s="11" t="n"/>
    </row>
    <row r="93">
      <c r="A93" s="11" t="n"/>
      <c r="B93" s="11" t="n"/>
      <c r="C93" s="11" t="n"/>
      <c r="D93" s="11" t="n"/>
      <c r="E93" s="11" t="n"/>
    </row>
    <row r="94">
      <c r="A94" s="11" t="n"/>
      <c r="B94" s="11" t="n"/>
      <c r="C94" s="11" t="n"/>
      <c r="D94" s="11" t="n"/>
      <c r="E94" s="11" t="n"/>
    </row>
    <row r="95">
      <c r="A95" s="11" t="n"/>
      <c r="B95" s="11" t="n"/>
      <c r="C95" s="11" t="n"/>
      <c r="D95" s="11" t="n"/>
      <c r="E95" s="11" t="n"/>
    </row>
    <row r="96">
      <c r="A96" s="11" t="n"/>
      <c r="B96" s="11" t="n"/>
      <c r="C96" s="11" t="n"/>
      <c r="D96" s="11" t="n"/>
      <c r="E96" s="11" t="n"/>
    </row>
    <row r="97">
      <c r="A97" s="11" t="n"/>
      <c r="B97" s="11" t="n"/>
      <c r="C97" s="11" t="n"/>
      <c r="D97" s="11" t="n"/>
      <c r="E97" s="11" t="n"/>
    </row>
    <row r="98">
      <c r="A98" s="11" t="n"/>
      <c r="B98" s="11" t="n"/>
      <c r="C98" s="11" t="n"/>
      <c r="D98" s="11" t="n"/>
      <c r="E98" s="11" t="n"/>
    </row>
    <row r="99">
      <c r="A99" s="11" t="n"/>
      <c r="B99" s="11" t="n"/>
      <c r="C99" s="11" t="n"/>
      <c r="D99" s="11" t="n"/>
      <c r="E99" s="11" t="n"/>
    </row>
    <row r="100">
      <c r="A100" s="11" t="n"/>
      <c r="B100" s="11" t="n"/>
      <c r="C100" s="11" t="n"/>
      <c r="D100" s="11" t="n"/>
      <c r="E100" s="11" t="n"/>
    </row>
    <row r="101">
      <c r="A101" s="11" t="n"/>
      <c r="B101" s="11" t="n"/>
      <c r="C101" s="11" t="n"/>
      <c r="D101" s="11" t="n"/>
      <c r="E101" s="11" t="n"/>
    </row>
    <row r="102">
      <c r="A102" s="11" t="n"/>
      <c r="B102" s="11" t="n"/>
      <c r="C102" s="11" t="n"/>
      <c r="D102" s="11" t="n"/>
      <c r="E102" s="11" t="n"/>
    </row>
    <row r="103">
      <c r="A103" s="11" t="n"/>
      <c r="B103" s="11" t="n"/>
      <c r="C103" s="11" t="n"/>
      <c r="D103" s="11" t="n"/>
      <c r="E103" s="11" t="n"/>
    </row>
    <row r="104">
      <c r="A104" s="11" t="n"/>
      <c r="B104" s="11" t="n"/>
      <c r="C104" s="11" t="n"/>
      <c r="D104" s="11" t="n"/>
      <c r="E104" s="11" t="n"/>
    </row>
    <row r="105">
      <c r="A105" s="11" t="n"/>
      <c r="B105" s="11" t="n"/>
      <c r="C105" s="11" t="n"/>
      <c r="D105" s="11" t="n"/>
      <c r="E105" s="11" t="n"/>
    </row>
    <row r="106">
      <c r="A106" s="11" t="n"/>
      <c r="B106" s="11" t="n"/>
      <c r="C106" s="11" t="n"/>
      <c r="D106" s="11" t="n"/>
      <c r="E106" s="11" t="n"/>
    </row>
    <row r="107">
      <c r="A107" s="11" t="n"/>
      <c r="B107" s="11" t="n"/>
      <c r="C107" s="11" t="n"/>
      <c r="D107" s="11" t="n"/>
      <c r="E107" s="11" t="n"/>
    </row>
    <row r="108">
      <c r="A108" s="11" t="n"/>
      <c r="B108" s="11" t="n"/>
      <c r="C108" s="11" t="n"/>
      <c r="D108" s="11" t="n"/>
      <c r="E108" s="11" t="n"/>
    </row>
    <row r="109">
      <c r="A109" s="11" t="n"/>
      <c r="B109" s="11" t="n"/>
      <c r="C109" s="11" t="n"/>
      <c r="D109" s="11" t="n"/>
      <c r="E109" s="11" t="n"/>
    </row>
    <row r="110">
      <c r="A110" s="11" t="n"/>
      <c r="B110" s="11" t="n"/>
      <c r="C110" s="11" t="n"/>
      <c r="D110" s="11" t="n"/>
      <c r="E110" s="11" t="n"/>
    </row>
    <row r="111">
      <c r="A111" s="11" t="n"/>
      <c r="B111" s="11" t="n"/>
      <c r="C111" s="11" t="n"/>
      <c r="D111" s="11" t="n"/>
      <c r="E111" s="11" t="n"/>
    </row>
    <row r="112">
      <c r="A112" s="11" t="n"/>
      <c r="B112" s="11" t="n"/>
      <c r="C112" s="11" t="n"/>
      <c r="D112" s="11" t="n"/>
      <c r="E112" s="11" t="n"/>
    </row>
    <row r="113">
      <c r="A113" s="11" t="n"/>
      <c r="B113" s="11" t="n"/>
      <c r="C113" s="11" t="n"/>
      <c r="D113" s="11" t="n"/>
      <c r="E113" s="11" t="n"/>
    </row>
    <row r="114">
      <c r="A114" s="11" t="n"/>
      <c r="B114" s="11" t="n"/>
      <c r="C114" s="11" t="n"/>
      <c r="D114" s="11" t="n"/>
      <c r="E114" s="11" t="n"/>
    </row>
    <row r="115">
      <c r="A115" s="11" t="n"/>
      <c r="B115" s="11" t="n"/>
      <c r="C115" s="11" t="n"/>
      <c r="D115" s="11" t="n"/>
      <c r="E115" s="11" t="n"/>
    </row>
    <row r="116">
      <c r="A116" s="11" t="n"/>
      <c r="B116" s="11" t="n"/>
      <c r="C116" s="11" t="n"/>
      <c r="D116" s="11" t="n"/>
      <c r="E116" s="11" t="n"/>
    </row>
    <row r="117">
      <c r="A117" s="11" t="n"/>
      <c r="B117" s="11" t="n"/>
      <c r="C117" s="11" t="n"/>
      <c r="D117" s="11" t="n"/>
      <c r="E117" s="11" t="n"/>
    </row>
    <row r="118">
      <c r="A118" s="11" t="n"/>
      <c r="B118" s="11" t="n"/>
      <c r="C118" s="11" t="n"/>
      <c r="D118" s="11" t="n"/>
      <c r="E118" s="11" t="n"/>
    </row>
    <row r="119">
      <c r="A119" s="11" t="n"/>
      <c r="B119" s="11" t="n"/>
      <c r="C119" s="11" t="n"/>
      <c r="D119" s="11" t="n"/>
      <c r="E119" s="11" t="n"/>
    </row>
    <row r="120">
      <c r="A120" s="11" t="n"/>
      <c r="B120" s="11" t="n"/>
      <c r="C120" s="11" t="n"/>
      <c r="D120" s="11" t="n"/>
      <c r="E120" s="11" t="n"/>
    </row>
    <row r="121">
      <c r="A121" s="11" t="n"/>
      <c r="B121" s="11" t="n"/>
      <c r="C121" s="11" t="n"/>
      <c r="D121" s="11" t="n"/>
      <c r="E121" s="11" t="n"/>
    </row>
    <row r="122">
      <c r="A122" s="11" t="n"/>
      <c r="B122" s="11" t="n"/>
      <c r="C122" s="11" t="n"/>
      <c r="D122" s="11" t="n"/>
      <c r="E122" s="11" t="n"/>
    </row>
    <row r="123">
      <c r="A123" s="11" t="n"/>
      <c r="B123" s="11" t="n"/>
      <c r="C123" s="11" t="n"/>
      <c r="D123" s="11" t="n"/>
      <c r="E123" s="11" t="n"/>
    </row>
    <row r="124">
      <c r="A124" s="11" t="n"/>
      <c r="B124" s="11" t="n"/>
      <c r="C124" s="11" t="n"/>
      <c r="D124" s="11" t="n"/>
      <c r="E124" s="11" t="n"/>
    </row>
    <row r="125">
      <c r="A125" s="11" t="n"/>
      <c r="B125" s="11" t="n"/>
      <c r="C125" s="11" t="n"/>
      <c r="D125" s="11" t="n"/>
      <c r="E125" s="11" t="n"/>
    </row>
    <row r="126">
      <c r="A126" s="11" t="n"/>
      <c r="B126" s="11" t="n"/>
      <c r="C126" s="11" t="n"/>
      <c r="D126" s="11" t="n"/>
      <c r="E126" s="11" t="n"/>
    </row>
    <row r="127">
      <c r="A127" s="11" t="n"/>
      <c r="B127" s="11" t="n"/>
      <c r="C127" s="11" t="n"/>
      <c r="D127" s="11" t="n"/>
      <c r="E127" s="11" t="n"/>
    </row>
    <row r="128">
      <c r="A128" s="11" t="n"/>
      <c r="B128" s="11" t="n"/>
      <c r="C128" s="11" t="n"/>
      <c r="D128" s="11" t="n"/>
      <c r="E128" s="11" t="n"/>
    </row>
    <row r="129">
      <c r="A129" s="11" t="n"/>
      <c r="B129" s="11" t="n"/>
      <c r="C129" s="11" t="n"/>
      <c r="D129" s="11" t="n"/>
      <c r="E129" s="11" t="n"/>
    </row>
    <row r="130">
      <c r="A130" s="11" t="n"/>
      <c r="B130" s="11" t="n"/>
      <c r="C130" s="11" t="n"/>
      <c r="D130" s="11" t="n"/>
      <c r="E130" s="11" t="n"/>
    </row>
    <row r="131">
      <c r="A131" s="11" t="n"/>
      <c r="B131" s="11" t="n"/>
      <c r="C131" s="11" t="n"/>
      <c r="D131" s="11" t="n"/>
      <c r="E131" s="11" t="n"/>
    </row>
    <row r="132">
      <c r="A132" s="11" t="n"/>
      <c r="B132" s="11" t="n"/>
      <c r="C132" s="11" t="n"/>
      <c r="D132" s="11" t="n"/>
      <c r="E132" s="11" t="n"/>
    </row>
    <row r="133">
      <c r="A133" s="11" t="n"/>
      <c r="B133" s="11" t="n"/>
      <c r="C133" s="11" t="n"/>
      <c r="D133" s="11" t="n"/>
      <c r="E133" s="11" t="n"/>
    </row>
    <row r="134">
      <c r="A134" s="11" t="n"/>
      <c r="B134" s="11" t="n"/>
      <c r="C134" s="11" t="n"/>
      <c r="D134" s="11" t="n"/>
      <c r="E134" s="11" t="n"/>
    </row>
    <row r="135">
      <c r="A135" s="11" t="n"/>
      <c r="B135" s="11" t="n"/>
      <c r="C135" s="11" t="n"/>
      <c r="D135" s="11" t="n"/>
      <c r="E135" s="11" t="n"/>
    </row>
    <row r="136">
      <c r="A136" s="11" t="n"/>
      <c r="B136" s="11" t="n"/>
      <c r="C136" s="11" t="n"/>
      <c r="D136" s="11" t="n"/>
      <c r="E136" s="11" t="n"/>
    </row>
    <row r="137">
      <c r="A137" s="11" t="n"/>
      <c r="B137" s="11" t="n"/>
      <c r="C137" s="11" t="n"/>
      <c r="D137" s="11" t="n"/>
      <c r="E137" s="11" t="n"/>
    </row>
    <row r="138">
      <c r="A138" s="11" t="n"/>
      <c r="B138" s="11" t="n"/>
      <c r="C138" s="11" t="n"/>
      <c r="D138" s="11" t="n"/>
      <c r="E138" s="11" t="n"/>
    </row>
    <row r="139">
      <c r="A139" s="11" t="n"/>
      <c r="B139" s="11" t="n"/>
      <c r="C139" s="11" t="n"/>
      <c r="D139" s="11" t="n"/>
      <c r="E139" s="11" t="n"/>
    </row>
    <row r="140">
      <c r="A140" s="11" t="n"/>
      <c r="B140" s="11" t="n"/>
      <c r="C140" s="11" t="n"/>
      <c r="D140" s="11" t="n"/>
      <c r="E140" s="11" t="n"/>
    </row>
    <row r="141">
      <c r="A141" s="11" t="n"/>
      <c r="B141" s="11" t="n"/>
      <c r="C141" s="11" t="n"/>
      <c r="D141" s="11" t="n"/>
      <c r="E141" s="11" t="n"/>
    </row>
    <row r="142">
      <c r="A142" s="11" t="n"/>
      <c r="B142" s="11" t="n"/>
      <c r="C142" s="11" t="n"/>
      <c r="D142" s="11" t="n"/>
      <c r="E142" s="11" t="n"/>
    </row>
    <row r="143">
      <c r="A143" s="11" t="n"/>
      <c r="B143" s="11" t="n"/>
      <c r="C143" s="11" t="n"/>
      <c r="D143" s="11" t="n"/>
      <c r="E143" s="11" t="n"/>
    </row>
    <row r="144">
      <c r="A144" s="11" t="n"/>
      <c r="B144" s="11" t="n"/>
      <c r="C144" s="11" t="n"/>
      <c r="D144" s="11" t="n"/>
      <c r="E144" s="11" t="n"/>
    </row>
    <row r="145">
      <c r="A145" s="11" t="n"/>
      <c r="B145" s="11" t="n"/>
      <c r="C145" s="11" t="n"/>
      <c r="D145" s="11" t="n"/>
      <c r="E145" s="11" t="n"/>
    </row>
    <row r="146">
      <c r="A146" s="11" t="n"/>
      <c r="B146" s="11" t="n"/>
      <c r="C146" s="11" t="n"/>
      <c r="D146" s="11" t="n"/>
      <c r="E146" s="11" t="n"/>
    </row>
    <row r="147">
      <c r="A147" s="11" t="n"/>
      <c r="B147" s="11" t="n"/>
      <c r="C147" s="11" t="n"/>
      <c r="D147" s="11" t="n"/>
      <c r="E147" s="11" t="n"/>
    </row>
    <row r="148">
      <c r="A148" s="11" t="n"/>
      <c r="B148" s="11" t="n"/>
      <c r="C148" s="11" t="n"/>
      <c r="D148" s="11" t="n"/>
      <c r="E148" s="11" t="n"/>
    </row>
    <row r="149">
      <c r="A149" s="11" t="n"/>
      <c r="B149" s="11" t="n"/>
      <c r="C149" s="11" t="n"/>
      <c r="D149" s="11" t="n"/>
      <c r="E149" s="11" t="n"/>
    </row>
    <row r="150">
      <c r="A150" s="11" t="n"/>
      <c r="B150" s="11" t="n"/>
      <c r="C150" s="11" t="n"/>
      <c r="D150" s="11" t="n"/>
      <c r="E150" s="11" t="n"/>
    </row>
    <row r="151">
      <c r="A151" s="11" t="n"/>
      <c r="B151" s="11" t="n"/>
      <c r="C151" s="11" t="n"/>
      <c r="D151" s="11" t="n"/>
      <c r="E151" s="11" t="n"/>
    </row>
    <row r="152">
      <c r="A152" s="11" t="n"/>
      <c r="B152" s="11" t="n"/>
      <c r="C152" s="11" t="n"/>
      <c r="D152" s="11" t="n"/>
      <c r="E152" s="11" t="n"/>
    </row>
    <row r="153">
      <c r="A153" s="11" t="n"/>
      <c r="B153" s="11" t="n"/>
      <c r="C153" s="11" t="n"/>
      <c r="D153" s="11" t="n"/>
      <c r="E153" s="11" t="n"/>
    </row>
    <row r="154">
      <c r="A154" s="11" t="n"/>
      <c r="B154" s="11" t="n"/>
      <c r="C154" s="11" t="n"/>
      <c r="D154" s="11" t="n"/>
      <c r="E154" s="11" t="n"/>
    </row>
    <row r="155">
      <c r="A155" s="11" t="n"/>
      <c r="B155" s="11" t="n"/>
      <c r="C155" s="11" t="n"/>
      <c r="D155" s="11" t="n"/>
      <c r="E155" s="11" t="n"/>
    </row>
    <row r="156">
      <c r="A156" s="11" t="n"/>
      <c r="B156" s="11" t="n"/>
      <c r="C156" s="11" t="n"/>
      <c r="D156" s="11" t="n"/>
      <c r="E156" s="11" t="n"/>
    </row>
    <row r="157">
      <c r="A157" s="11" t="n"/>
      <c r="B157" s="11" t="n"/>
      <c r="C157" s="11" t="n"/>
      <c r="D157" s="11" t="n"/>
      <c r="E157" s="11" t="n"/>
    </row>
    <row r="158">
      <c r="A158" s="11" t="n"/>
      <c r="B158" s="11" t="n"/>
      <c r="C158" s="11" t="n"/>
      <c r="D158" s="11" t="n"/>
      <c r="E158" s="11" t="n"/>
    </row>
    <row r="159">
      <c r="A159" s="11" t="n"/>
      <c r="B159" s="11" t="n"/>
      <c r="C159" s="11" t="n"/>
      <c r="D159" s="11" t="n"/>
      <c r="E159" s="11" t="n"/>
    </row>
    <row r="160">
      <c r="A160" s="11" t="n"/>
      <c r="B160" s="11" t="n"/>
      <c r="C160" s="11" t="n"/>
      <c r="D160" s="11" t="n"/>
      <c r="E160" s="11" t="n"/>
    </row>
    <row r="161">
      <c r="A161" s="11" t="n"/>
      <c r="B161" s="11" t="n"/>
      <c r="C161" s="11" t="n"/>
      <c r="D161" s="11" t="n"/>
      <c r="E161" s="11" t="n"/>
    </row>
    <row r="162">
      <c r="A162" s="11" t="n"/>
      <c r="B162" s="11" t="n"/>
      <c r="C162" s="11" t="n"/>
      <c r="D162" s="11" t="n"/>
      <c r="E162" s="11" t="n"/>
    </row>
    <row r="163">
      <c r="A163" s="11" t="n"/>
      <c r="B163" s="11" t="n"/>
      <c r="C163" s="11" t="n"/>
      <c r="D163" s="11" t="n"/>
      <c r="E163" s="11" t="n"/>
    </row>
    <row r="164">
      <c r="A164" s="11" t="n"/>
      <c r="B164" s="11" t="n"/>
      <c r="C164" s="11" t="n"/>
      <c r="D164" s="11" t="n"/>
      <c r="E164" s="11" t="n"/>
    </row>
    <row r="165">
      <c r="A165" s="11" t="n"/>
      <c r="B165" s="11" t="n"/>
      <c r="C165" s="11" t="n"/>
      <c r="D165" s="11" t="n"/>
      <c r="E165" s="11" t="n"/>
    </row>
    <row r="166">
      <c r="A166" s="11" t="n"/>
      <c r="B166" s="11" t="n"/>
      <c r="C166" s="11" t="n"/>
      <c r="D166" s="11" t="n"/>
      <c r="E166" s="11" t="n"/>
    </row>
    <row r="167">
      <c r="A167" s="11" t="n"/>
      <c r="B167" s="11" t="n"/>
      <c r="C167" s="11" t="n"/>
      <c r="D167" s="11" t="n"/>
      <c r="E167" s="11" t="n"/>
    </row>
    <row r="168">
      <c r="A168" s="11" t="n"/>
      <c r="B168" s="11" t="n"/>
      <c r="C168" s="11" t="n"/>
      <c r="D168" s="11" t="n"/>
      <c r="E168" s="11" t="n"/>
    </row>
    <row r="169">
      <c r="A169" s="11" t="n"/>
      <c r="B169" s="11" t="n"/>
      <c r="C169" s="11" t="n"/>
      <c r="D169" s="11" t="n"/>
      <c r="E169" s="11" t="n"/>
    </row>
    <row r="170">
      <c r="A170" s="11" t="n"/>
      <c r="B170" s="11" t="n"/>
      <c r="C170" s="11" t="n"/>
      <c r="D170" s="11" t="n"/>
      <c r="E170" s="11" t="n"/>
    </row>
    <row r="171">
      <c r="A171" s="11" t="n"/>
      <c r="B171" s="11" t="n"/>
      <c r="C171" s="11" t="n"/>
      <c r="D171" s="11" t="n"/>
      <c r="E171" s="11" t="n"/>
    </row>
    <row r="172">
      <c r="A172" s="11" t="n"/>
      <c r="B172" s="11" t="n"/>
      <c r="C172" s="11" t="n"/>
      <c r="D172" s="11" t="n"/>
      <c r="E172" s="11" t="n"/>
    </row>
    <row r="173">
      <c r="A173" s="11" t="n"/>
      <c r="B173" s="11" t="n"/>
      <c r="C173" s="11" t="n"/>
      <c r="D173" s="11" t="n"/>
      <c r="E173" s="11" t="n"/>
    </row>
    <row r="174">
      <c r="A174" s="11" t="n"/>
      <c r="B174" s="11" t="n"/>
      <c r="C174" s="11" t="n"/>
      <c r="D174" s="11" t="n"/>
      <c r="E174" s="11" t="n"/>
    </row>
    <row r="175">
      <c r="A175" s="11" t="n"/>
      <c r="B175" s="11" t="n"/>
      <c r="C175" s="11" t="n"/>
      <c r="D175" s="11" t="n"/>
      <c r="E175" s="11" t="n"/>
    </row>
    <row r="176">
      <c r="A176" s="11" t="n"/>
      <c r="B176" s="11" t="n"/>
      <c r="C176" s="11" t="n"/>
      <c r="D176" s="11" t="n"/>
      <c r="E176" s="11" t="n"/>
    </row>
    <row r="177">
      <c r="A177" s="11" t="n"/>
      <c r="B177" s="11" t="n"/>
      <c r="C177" s="11" t="n"/>
      <c r="D177" s="11" t="n"/>
      <c r="E177" s="11" t="n"/>
    </row>
    <row r="178">
      <c r="A178" s="11" t="n"/>
      <c r="B178" s="11" t="n"/>
      <c r="C178" s="11" t="n"/>
      <c r="D178" s="11" t="n"/>
      <c r="E178" s="11" t="n"/>
    </row>
    <row r="179">
      <c r="A179" s="11" t="n"/>
      <c r="B179" s="11" t="n"/>
      <c r="C179" s="11" t="n"/>
      <c r="D179" s="11" t="n"/>
      <c r="E179" s="11" t="n"/>
    </row>
    <row r="180">
      <c r="A180" s="11" t="n"/>
      <c r="B180" s="11" t="n"/>
      <c r="C180" s="11" t="n"/>
      <c r="D180" s="11" t="n"/>
      <c r="E180" s="11" t="n"/>
    </row>
    <row r="181">
      <c r="A181" s="11" t="n"/>
      <c r="B181" s="11" t="n"/>
      <c r="C181" s="11" t="n"/>
      <c r="D181" s="11" t="n"/>
      <c r="E181" s="11" t="n"/>
    </row>
    <row r="182">
      <c r="A182" s="11" t="n"/>
      <c r="B182" s="11" t="n"/>
      <c r="C182" s="11" t="n"/>
      <c r="D182" s="11" t="n"/>
      <c r="E182" s="11" t="n"/>
    </row>
    <row r="183">
      <c r="A183" s="11" t="n"/>
      <c r="B183" s="11" t="n"/>
      <c r="C183" s="11" t="n"/>
      <c r="D183" s="11" t="n"/>
      <c r="E183" s="11" t="n"/>
    </row>
    <row r="184">
      <c r="A184" s="11" t="n"/>
      <c r="B184" s="11" t="n"/>
      <c r="C184" s="11" t="n"/>
      <c r="D184" s="11" t="n"/>
      <c r="E184" s="11" t="n"/>
    </row>
    <row r="185">
      <c r="A185" s="11" t="n"/>
      <c r="B185" s="11" t="n"/>
      <c r="C185" s="11" t="n"/>
      <c r="D185" s="11" t="n"/>
      <c r="E185" s="11" t="n"/>
    </row>
    <row r="186">
      <c r="A186" s="11" t="n"/>
      <c r="B186" s="11" t="n"/>
      <c r="C186" s="11" t="n"/>
      <c r="D186" s="11" t="n"/>
      <c r="E186" s="11" t="n"/>
    </row>
    <row r="187">
      <c r="A187" s="11" t="n"/>
      <c r="B187" s="11" t="n"/>
      <c r="C187" s="11" t="n"/>
      <c r="D187" s="11" t="n"/>
      <c r="E187" s="11" t="n"/>
    </row>
    <row r="188">
      <c r="A188" s="11" t="n"/>
      <c r="B188" s="11" t="n"/>
      <c r="C188" s="11" t="n"/>
      <c r="D188" s="11" t="n"/>
      <c r="E188" s="11" t="n"/>
    </row>
    <row r="189">
      <c r="A189" s="11" t="n"/>
      <c r="B189" s="11" t="n"/>
      <c r="C189" s="11" t="n"/>
      <c r="D189" s="11" t="n"/>
      <c r="E189" s="11" t="n"/>
    </row>
    <row r="190">
      <c r="A190" s="11" t="n"/>
      <c r="B190" s="11" t="n"/>
      <c r="C190" s="11" t="n"/>
      <c r="D190" s="11" t="n"/>
      <c r="E190" s="11" t="n"/>
    </row>
    <row r="191">
      <c r="A191" s="11" t="n"/>
      <c r="B191" s="11" t="n"/>
      <c r="C191" s="11" t="n"/>
      <c r="D191" s="11" t="n"/>
      <c r="E191" s="11" t="n"/>
    </row>
    <row r="192">
      <c r="A192" s="11" t="n"/>
      <c r="B192" s="11" t="n"/>
      <c r="C192" s="11" t="n"/>
      <c r="D192" s="11" t="n"/>
      <c r="E192" s="11" t="n"/>
    </row>
    <row r="193">
      <c r="A193" s="11" t="n"/>
      <c r="B193" s="11" t="n"/>
      <c r="C193" s="11" t="n"/>
      <c r="D193" s="11" t="n"/>
      <c r="E193" s="11" t="n"/>
    </row>
    <row r="194">
      <c r="A194" s="11" t="n"/>
      <c r="B194" s="11" t="n"/>
      <c r="C194" s="11" t="n"/>
      <c r="D194" s="11" t="n"/>
      <c r="E194" s="11" t="n"/>
    </row>
    <row r="195">
      <c r="A195" s="11" t="n"/>
      <c r="B195" s="11" t="n"/>
      <c r="C195" s="11" t="n"/>
      <c r="D195" s="11" t="n"/>
      <c r="E195" s="11" t="n"/>
    </row>
    <row r="196">
      <c r="A196" s="11" t="n"/>
      <c r="B196" s="11" t="n"/>
      <c r="C196" s="11" t="n"/>
      <c r="D196" s="11" t="n"/>
      <c r="E196" s="11" t="n"/>
    </row>
    <row r="197">
      <c r="A197" s="11" t="n"/>
      <c r="B197" s="11" t="n"/>
      <c r="C197" s="11" t="n"/>
      <c r="D197" s="11" t="n"/>
      <c r="E197" s="11" t="n"/>
    </row>
    <row r="198">
      <c r="A198" s="11" t="n"/>
      <c r="B198" s="11" t="n"/>
      <c r="C198" s="11" t="n"/>
      <c r="D198" s="11" t="n"/>
      <c r="E198" s="11" t="n"/>
    </row>
    <row r="199">
      <c r="A199" s="11" t="n"/>
      <c r="B199" s="11" t="n"/>
      <c r="C199" s="11" t="n"/>
      <c r="D199" s="11" t="n"/>
      <c r="E199" s="11" t="n"/>
    </row>
    <row r="200">
      <c r="A200" s="11" t="n"/>
      <c r="B200" s="11" t="n"/>
      <c r="C200" s="11" t="n"/>
      <c r="D200" s="11" t="n"/>
      <c r="E200" s="11" t="n"/>
    </row>
    <row r="201">
      <c r="A201" s="11" t="n"/>
      <c r="B201" s="11" t="n"/>
      <c r="C201" s="11" t="n"/>
      <c r="D201" s="11" t="n"/>
      <c r="E20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30" customWidth="1" min="5" max="5"/>
  </cols>
  <sheetData>
    <row r="1">
      <c r="A1" s="5" t="inlineStr">
        <is>
          <t>得意先コード</t>
        </is>
      </c>
      <c r="B1" s="5" t="inlineStr">
        <is>
          <t>得意先名</t>
        </is>
      </c>
      <c r="C1" s="5" t="inlineStr">
        <is>
          <t>電話番号</t>
        </is>
      </c>
      <c r="D1" s="5" t="inlineStr">
        <is>
          <t>担当者</t>
        </is>
      </c>
      <c r="E1" s="5" t="inlineStr">
        <is>
          <t>備考</t>
        </is>
      </c>
    </row>
    <row r="2">
      <c r="A2" s="10" t="inlineStr">
        <is>
          <t>C001</t>
        </is>
      </c>
      <c r="B2" s="10" t="inlineStr">
        <is>
          <t>株式会社サンプル商事</t>
        </is>
      </c>
      <c r="C2" s="10" t="inlineStr">
        <is>
          <t>03-4444-5555</t>
        </is>
      </c>
      <c r="D2" s="10" t="inlineStr">
        <is>
          <t>田中</t>
        </is>
      </c>
      <c r="E2" s="10" t="inlineStr">
        <is>
          <t>サンプルデータ</t>
        </is>
      </c>
    </row>
    <row r="3">
      <c r="A3" s="10" t="inlineStr">
        <is>
          <t>C002</t>
        </is>
      </c>
      <c r="B3" s="10" t="inlineStr">
        <is>
          <t>有限会社テスト物産</t>
        </is>
      </c>
      <c r="C3" s="10" t="inlineStr">
        <is>
          <t>03-5555-6666</t>
        </is>
      </c>
      <c r="D3" s="10" t="inlineStr">
        <is>
          <t>高橋</t>
        </is>
      </c>
      <c r="E3" s="10" t="inlineStr">
        <is>
          <t>サンプルデータ</t>
        </is>
      </c>
    </row>
    <row r="4">
      <c r="A4" s="10" t="inlineStr">
        <is>
          <t>C003</t>
        </is>
      </c>
      <c r="B4" s="10" t="inlineStr">
        <is>
          <t>サンプルストア株式会社</t>
        </is>
      </c>
      <c r="C4" s="10" t="inlineStr">
        <is>
          <t>03-6666-7777</t>
        </is>
      </c>
      <c r="D4" s="10" t="inlineStr">
        <is>
          <t>伊藤</t>
        </is>
      </c>
      <c r="E4" s="10" t="inlineStr">
        <is>
          <t>サンプルデータ</t>
        </is>
      </c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  <row r="60">
      <c r="A60" s="11" t="n"/>
      <c r="B60" s="11" t="n"/>
      <c r="C60" s="11" t="n"/>
      <c r="D60" s="11" t="n"/>
      <c r="E60" s="11" t="n"/>
    </row>
    <row r="61">
      <c r="A61" s="11" t="n"/>
      <c r="B61" s="11" t="n"/>
      <c r="C61" s="11" t="n"/>
      <c r="D61" s="11" t="n"/>
      <c r="E61" s="11" t="n"/>
    </row>
    <row r="62">
      <c r="A62" s="11" t="n"/>
      <c r="B62" s="11" t="n"/>
      <c r="C62" s="11" t="n"/>
      <c r="D62" s="11" t="n"/>
      <c r="E62" s="11" t="n"/>
    </row>
    <row r="63">
      <c r="A63" s="11" t="n"/>
      <c r="B63" s="11" t="n"/>
      <c r="C63" s="11" t="n"/>
      <c r="D63" s="11" t="n"/>
      <c r="E63" s="11" t="n"/>
    </row>
    <row r="64">
      <c r="A64" s="11" t="n"/>
      <c r="B64" s="11" t="n"/>
      <c r="C64" s="11" t="n"/>
      <c r="D64" s="11" t="n"/>
      <c r="E64" s="11" t="n"/>
    </row>
    <row r="65">
      <c r="A65" s="11" t="n"/>
      <c r="B65" s="11" t="n"/>
      <c r="C65" s="11" t="n"/>
      <c r="D65" s="11" t="n"/>
      <c r="E65" s="11" t="n"/>
    </row>
    <row r="66">
      <c r="A66" s="11" t="n"/>
      <c r="B66" s="11" t="n"/>
      <c r="C66" s="11" t="n"/>
      <c r="D66" s="11" t="n"/>
      <c r="E66" s="11" t="n"/>
    </row>
    <row r="67">
      <c r="A67" s="11" t="n"/>
      <c r="B67" s="11" t="n"/>
      <c r="C67" s="11" t="n"/>
      <c r="D67" s="11" t="n"/>
      <c r="E67" s="11" t="n"/>
    </row>
    <row r="68">
      <c r="A68" s="11" t="n"/>
      <c r="B68" s="11" t="n"/>
      <c r="C68" s="11" t="n"/>
      <c r="D68" s="11" t="n"/>
      <c r="E68" s="11" t="n"/>
    </row>
    <row r="69">
      <c r="A69" s="11" t="n"/>
      <c r="B69" s="11" t="n"/>
      <c r="C69" s="11" t="n"/>
      <c r="D69" s="11" t="n"/>
      <c r="E69" s="11" t="n"/>
    </row>
    <row r="70">
      <c r="A70" s="11" t="n"/>
      <c r="B70" s="11" t="n"/>
      <c r="C70" s="11" t="n"/>
      <c r="D70" s="11" t="n"/>
      <c r="E70" s="11" t="n"/>
    </row>
    <row r="71">
      <c r="A71" s="11" t="n"/>
      <c r="B71" s="11" t="n"/>
      <c r="C71" s="11" t="n"/>
      <c r="D71" s="11" t="n"/>
      <c r="E71" s="11" t="n"/>
    </row>
    <row r="72">
      <c r="A72" s="11" t="n"/>
      <c r="B72" s="11" t="n"/>
      <c r="C72" s="11" t="n"/>
      <c r="D72" s="11" t="n"/>
      <c r="E72" s="11" t="n"/>
    </row>
    <row r="73">
      <c r="A73" s="11" t="n"/>
      <c r="B73" s="11" t="n"/>
      <c r="C73" s="11" t="n"/>
      <c r="D73" s="11" t="n"/>
      <c r="E73" s="11" t="n"/>
    </row>
    <row r="74">
      <c r="A74" s="11" t="n"/>
      <c r="B74" s="11" t="n"/>
      <c r="C74" s="11" t="n"/>
      <c r="D74" s="11" t="n"/>
      <c r="E74" s="11" t="n"/>
    </row>
    <row r="75">
      <c r="A75" s="11" t="n"/>
      <c r="B75" s="11" t="n"/>
      <c r="C75" s="11" t="n"/>
      <c r="D75" s="11" t="n"/>
      <c r="E75" s="11" t="n"/>
    </row>
    <row r="76">
      <c r="A76" s="11" t="n"/>
      <c r="B76" s="11" t="n"/>
      <c r="C76" s="11" t="n"/>
      <c r="D76" s="11" t="n"/>
      <c r="E76" s="11" t="n"/>
    </row>
    <row r="77">
      <c r="A77" s="11" t="n"/>
      <c r="B77" s="11" t="n"/>
      <c r="C77" s="11" t="n"/>
      <c r="D77" s="11" t="n"/>
      <c r="E77" s="11" t="n"/>
    </row>
    <row r="78">
      <c r="A78" s="11" t="n"/>
      <c r="B78" s="11" t="n"/>
      <c r="C78" s="11" t="n"/>
      <c r="D78" s="11" t="n"/>
      <c r="E78" s="11" t="n"/>
    </row>
    <row r="79">
      <c r="A79" s="11" t="n"/>
      <c r="B79" s="11" t="n"/>
      <c r="C79" s="11" t="n"/>
      <c r="D79" s="11" t="n"/>
      <c r="E79" s="11" t="n"/>
    </row>
    <row r="80">
      <c r="A80" s="11" t="n"/>
      <c r="B80" s="11" t="n"/>
      <c r="C80" s="11" t="n"/>
      <c r="D80" s="11" t="n"/>
      <c r="E80" s="11" t="n"/>
    </row>
    <row r="81">
      <c r="A81" s="11" t="n"/>
      <c r="B81" s="11" t="n"/>
      <c r="C81" s="11" t="n"/>
      <c r="D81" s="11" t="n"/>
      <c r="E81" s="11" t="n"/>
    </row>
    <row r="82">
      <c r="A82" s="11" t="n"/>
      <c r="B82" s="11" t="n"/>
      <c r="C82" s="11" t="n"/>
      <c r="D82" s="11" t="n"/>
      <c r="E82" s="11" t="n"/>
    </row>
    <row r="83">
      <c r="A83" s="11" t="n"/>
      <c r="B83" s="11" t="n"/>
      <c r="C83" s="11" t="n"/>
      <c r="D83" s="11" t="n"/>
      <c r="E83" s="11" t="n"/>
    </row>
    <row r="84">
      <c r="A84" s="11" t="n"/>
      <c r="B84" s="11" t="n"/>
      <c r="C84" s="11" t="n"/>
      <c r="D84" s="11" t="n"/>
      <c r="E84" s="11" t="n"/>
    </row>
    <row r="85">
      <c r="A85" s="11" t="n"/>
      <c r="B85" s="11" t="n"/>
      <c r="C85" s="11" t="n"/>
      <c r="D85" s="11" t="n"/>
      <c r="E85" s="11" t="n"/>
    </row>
    <row r="86">
      <c r="A86" s="11" t="n"/>
      <c r="B86" s="11" t="n"/>
      <c r="C86" s="11" t="n"/>
      <c r="D86" s="11" t="n"/>
      <c r="E86" s="11" t="n"/>
    </row>
    <row r="87">
      <c r="A87" s="11" t="n"/>
      <c r="B87" s="11" t="n"/>
      <c r="C87" s="11" t="n"/>
      <c r="D87" s="11" t="n"/>
      <c r="E87" s="11" t="n"/>
    </row>
    <row r="88">
      <c r="A88" s="11" t="n"/>
      <c r="B88" s="11" t="n"/>
      <c r="C88" s="11" t="n"/>
      <c r="D88" s="11" t="n"/>
      <c r="E88" s="11" t="n"/>
    </row>
    <row r="89">
      <c r="A89" s="11" t="n"/>
      <c r="B89" s="11" t="n"/>
      <c r="C89" s="11" t="n"/>
      <c r="D89" s="11" t="n"/>
      <c r="E89" s="11" t="n"/>
    </row>
    <row r="90">
      <c r="A90" s="11" t="n"/>
      <c r="B90" s="11" t="n"/>
      <c r="C90" s="11" t="n"/>
      <c r="D90" s="11" t="n"/>
      <c r="E90" s="11" t="n"/>
    </row>
    <row r="91">
      <c r="A91" s="11" t="n"/>
      <c r="B91" s="11" t="n"/>
      <c r="C91" s="11" t="n"/>
      <c r="D91" s="11" t="n"/>
      <c r="E91" s="11" t="n"/>
    </row>
    <row r="92">
      <c r="A92" s="11" t="n"/>
      <c r="B92" s="11" t="n"/>
      <c r="C92" s="11" t="n"/>
      <c r="D92" s="11" t="n"/>
      <c r="E92" s="11" t="n"/>
    </row>
    <row r="93">
      <c r="A93" s="11" t="n"/>
      <c r="B93" s="11" t="n"/>
      <c r="C93" s="11" t="n"/>
      <c r="D93" s="11" t="n"/>
      <c r="E93" s="11" t="n"/>
    </row>
    <row r="94">
      <c r="A94" s="11" t="n"/>
      <c r="B94" s="11" t="n"/>
      <c r="C94" s="11" t="n"/>
      <c r="D94" s="11" t="n"/>
      <c r="E94" s="11" t="n"/>
    </row>
    <row r="95">
      <c r="A95" s="11" t="n"/>
      <c r="B95" s="11" t="n"/>
      <c r="C95" s="11" t="n"/>
      <c r="D95" s="11" t="n"/>
      <c r="E95" s="11" t="n"/>
    </row>
    <row r="96">
      <c r="A96" s="11" t="n"/>
      <c r="B96" s="11" t="n"/>
      <c r="C96" s="11" t="n"/>
      <c r="D96" s="11" t="n"/>
      <c r="E96" s="11" t="n"/>
    </row>
    <row r="97">
      <c r="A97" s="11" t="n"/>
      <c r="B97" s="11" t="n"/>
      <c r="C97" s="11" t="n"/>
      <c r="D97" s="11" t="n"/>
      <c r="E97" s="11" t="n"/>
    </row>
    <row r="98">
      <c r="A98" s="11" t="n"/>
      <c r="B98" s="11" t="n"/>
      <c r="C98" s="11" t="n"/>
      <c r="D98" s="11" t="n"/>
      <c r="E98" s="11" t="n"/>
    </row>
    <row r="99">
      <c r="A99" s="11" t="n"/>
      <c r="B99" s="11" t="n"/>
      <c r="C99" s="11" t="n"/>
      <c r="D99" s="11" t="n"/>
      <c r="E99" s="11" t="n"/>
    </row>
    <row r="100">
      <c r="A100" s="11" t="n"/>
      <c r="B100" s="11" t="n"/>
      <c r="C100" s="11" t="n"/>
      <c r="D100" s="11" t="n"/>
      <c r="E100" s="11" t="n"/>
    </row>
    <row r="101">
      <c r="A101" s="11" t="n"/>
      <c r="B101" s="11" t="n"/>
      <c r="C101" s="11" t="n"/>
      <c r="D101" s="11" t="n"/>
      <c r="E101" s="11" t="n"/>
    </row>
    <row r="102">
      <c r="A102" s="11" t="n"/>
      <c r="B102" s="11" t="n"/>
      <c r="C102" s="11" t="n"/>
      <c r="D102" s="11" t="n"/>
      <c r="E102" s="11" t="n"/>
    </row>
    <row r="103">
      <c r="A103" s="11" t="n"/>
      <c r="B103" s="11" t="n"/>
      <c r="C103" s="11" t="n"/>
      <c r="D103" s="11" t="n"/>
      <c r="E103" s="11" t="n"/>
    </row>
    <row r="104">
      <c r="A104" s="11" t="n"/>
      <c r="B104" s="11" t="n"/>
      <c r="C104" s="11" t="n"/>
      <c r="D104" s="11" t="n"/>
      <c r="E104" s="11" t="n"/>
    </row>
    <row r="105">
      <c r="A105" s="11" t="n"/>
      <c r="B105" s="11" t="n"/>
      <c r="C105" s="11" t="n"/>
      <c r="D105" s="11" t="n"/>
      <c r="E105" s="11" t="n"/>
    </row>
    <row r="106">
      <c r="A106" s="11" t="n"/>
      <c r="B106" s="11" t="n"/>
      <c r="C106" s="11" t="n"/>
      <c r="D106" s="11" t="n"/>
      <c r="E106" s="11" t="n"/>
    </row>
    <row r="107">
      <c r="A107" s="11" t="n"/>
      <c r="B107" s="11" t="n"/>
      <c r="C107" s="11" t="n"/>
      <c r="D107" s="11" t="n"/>
      <c r="E107" s="11" t="n"/>
    </row>
    <row r="108">
      <c r="A108" s="11" t="n"/>
      <c r="B108" s="11" t="n"/>
      <c r="C108" s="11" t="n"/>
      <c r="D108" s="11" t="n"/>
      <c r="E108" s="11" t="n"/>
    </row>
    <row r="109">
      <c r="A109" s="11" t="n"/>
      <c r="B109" s="11" t="n"/>
      <c r="C109" s="11" t="n"/>
      <c r="D109" s="11" t="n"/>
      <c r="E109" s="11" t="n"/>
    </row>
    <row r="110">
      <c r="A110" s="11" t="n"/>
      <c r="B110" s="11" t="n"/>
      <c r="C110" s="11" t="n"/>
      <c r="D110" s="11" t="n"/>
      <c r="E110" s="11" t="n"/>
    </row>
    <row r="111">
      <c r="A111" s="11" t="n"/>
      <c r="B111" s="11" t="n"/>
      <c r="C111" s="11" t="n"/>
      <c r="D111" s="11" t="n"/>
      <c r="E111" s="11" t="n"/>
    </row>
    <row r="112">
      <c r="A112" s="11" t="n"/>
      <c r="B112" s="11" t="n"/>
      <c r="C112" s="11" t="n"/>
      <c r="D112" s="11" t="n"/>
      <c r="E112" s="11" t="n"/>
    </row>
    <row r="113">
      <c r="A113" s="11" t="n"/>
      <c r="B113" s="11" t="n"/>
      <c r="C113" s="11" t="n"/>
      <c r="D113" s="11" t="n"/>
      <c r="E113" s="11" t="n"/>
    </row>
    <row r="114">
      <c r="A114" s="11" t="n"/>
      <c r="B114" s="11" t="n"/>
      <c r="C114" s="11" t="n"/>
      <c r="D114" s="11" t="n"/>
      <c r="E114" s="11" t="n"/>
    </row>
    <row r="115">
      <c r="A115" s="11" t="n"/>
      <c r="B115" s="11" t="n"/>
      <c r="C115" s="11" t="n"/>
      <c r="D115" s="11" t="n"/>
      <c r="E115" s="11" t="n"/>
    </row>
    <row r="116">
      <c r="A116" s="11" t="n"/>
      <c r="B116" s="11" t="n"/>
      <c r="C116" s="11" t="n"/>
      <c r="D116" s="11" t="n"/>
      <c r="E116" s="11" t="n"/>
    </row>
    <row r="117">
      <c r="A117" s="11" t="n"/>
      <c r="B117" s="11" t="n"/>
      <c r="C117" s="11" t="n"/>
      <c r="D117" s="11" t="n"/>
      <c r="E117" s="11" t="n"/>
    </row>
    <row r="118">
      <c r="A118" s="11" t="n"/>
      <c r="B118" s="11" t="n"/>
      <c r="C118" s="11" t="n"/>
      <c r="D118" s="11" t="n"/>
      <c r="E118" s="11" t="n"/>
    </row>
    <row r="119">
      <c r="A119" s="11" t="n"/>
      <c r="B119" s="11" t="n"/>
      <c r="C119" s="11" t="n"/>
      <c r="D119" s="11" t="n"/>
      <c r="E119" s="11" t="n"/>
    </row>
    <row r="120">
      <c r="A120" s="11" t="n"/>
      <c r="B120" s="11" t="n"/>
      <c r="C120" s="11" t="n"/>
      <c r="D120" s="11" t="n"/>
      <c r="E120" s="11" t="n"/>
    </row>
    <row r="121">
      <c r="A121" s="11" t="n"/>
      <c r="B121" s="11" t="n"/>
      <c r="C121" s="11" t="n"/>
      <c r="D121" s="11" t="n"/>
      <c r="E121" s="11" t="n"/>
    </row>
    <row r="122">
      <c r="A122" s="11" t="n"/>
      <c r="B122" s="11" t="n"/>
      <c r="C122" s="11" t="n"/>
      <c r="D122" s="11" t="n"/>
      <c r="E122" s="11" t="n"/>
    </row>
    <row r="123">
      <c r="A123" s="11" t="n"/>
      <c r="B123" s="11" t="n"/>
      <c r="C123" s="11" t="n"/>
      <c r="D123" s="11" t="n"/>
      <c r="E123" s="11" t="n"/>
    </row>
    <row r="124">
      <c r="A124" s="11" t="n"/>
      <c r="B124" s="11" t="n"/>
      <c r="C124" s="11" t="n"/>
      <c r="D124" s="11" t="n"/>
      <c r="E124" s="11" t="n"/>
    </row>
    <row r="125">
      <c r="A125" s="11" t="n"/>
      <c r="B125" s="11" t="n"/>
      <c r="C125" s="11" t="n"/>
      <c r="D125" s="11" t="n"/>
      <c r="E125" s="11" t="n"/>
    </row>
    <row r="126">
      <c r="A126" s="11" t="n"/>
      <c r="B126" s="11" t="n"/>
      <c r="C126" s="11" t="n"/>
      <c r="D126" s="11" t="n"/>
      <c r="E126" s="11" t="n"/>
    </row>
    <row r="127">
      <c r="A127" s="11" t="n"/>
      <c r="B127" s="11" t="n"/>
      <c r="C127" s="11" t="n"/>
      <c r="D127" s="11" t="n"/>
      <c r="E127" s="11" t="n"/>
    </row>
    <row r="128">
      <c r="A128" s="11" t="n"/>
      <c r="B128" s="11" t="n"/>
      <c r="C128" s="11" t="n"/>
      <c r="D128" s="11" t="n"/>
      <c r="E128" s="11" t="n"/>
    </row>
    <row r="129">
      <c r="A129" s="11" t="n"/>
      <c r="B129" s="11" t="n"/>
      <c r="C129" s="11" t="n"/>
      <c r="D129" s="11" t="n"/>
      <c r="E129" s="11" t="n"/>
    </row>
    <row r="130">
      <c r="A130" s="11" t="n"/>
      <c r="B130" s="11" t="n"/>
      <c r="C130" s="11" t="n"/>
      <c r="D130" s="11" t="n"/>
      <c r="E130" s="11" t="n"/>
    </row>
    <row r="131">
      <c r="A131" s="11" t="n"/>
      <c r="B131" s="11" t="n"/>
      <c r="C131" s="11" t="n"/>
      <c r="D131" s="11" t="n"/>
      <c r="E131" s="11" t="n"/>
    </row>
    <row r="132">
      <c r="A132" s="11" t="n"/>
      <c r="B132" s="11" t="n"/>
      <c r="C132" s="11" t="n"/>
      <c r="D132" s="11" t="n"/>
      <c r="E132" s="11" t="n"/>
    </row>
    <row r="133">
      <c r="A133" s="11" t="n"/>
      <c r="B133" s="11" t="n"/>
      <c r="C133" s="11" t="n"/>
      <c r="D133" s="11" t="n"/>
      <c r="E133" s="11" t="n"/>
    </row>
    <row r="134">
      <c r="A134" s="11" t="n"/>
      <c r="B134" s="11" t="n"/>
      <c r="C134" s="11" t="n"/>
      <c r="D134" s="11" t="n"/>
      <c r="E134" s="11" t="n"/>
    </row>
    <row r="135">
      <c r="A135" s="11" t="n"/>
      <c r="B135" s="11" t="n"/>
      <c r="C135" s="11" t="n"/>
      <c r="D135" s="11" t="n"/>
      <c r="E135" s="11" t="n"/>
    </row>
    <row r="136">
      <c r="A136" s="11" t="n"/>
      <c r="B136" s="11" t="n"/>
      <c r="C136" s="11" t="n"/>
      <c r="D136" s="11" t="n"/>
      <c r="E136" s="11" t="n"/>
    </row>
    <row r="137">
      <c r="A137" s="11" t="n"/>
      <c r="B137" s="11" t="n"/>
      <c r="C137" s="11" t="n"/>
      <c r="D137" s="11" t="n"/>
      <c r="E137" s="11" t="n"/>
    </row>
    <row r="138">
      <c r="A138" s="11" t="n"/>
      <c r="B138" s="11" t="n"/>
      <c r="C138" s="11" t="n"/>
      <c r="D138" s="11" t="n"/>
      <c r="E138" s="11" t="n"/>
    </row>
    <row r="139">
      <c r="A139" s="11" t="n"/>
      <c r="B139" s="11" t="n"/>
      <c r="C139" s="11" t="n"/>
      <c r="D139" s="11" t="n"/>
      <c r="E139" s="11" t="n"/>
    </row>
    <row r="140">
      <c r="A140" s="11" t="n"/>
      <c r="B140" s="11" t="n"/>
      <c r="C140" s="11" t="n"/>
      <c r="D140" s="11" t="n"/>
      <c r="E140" s="11" t="n"/>
    </row>
    <row r="141">
      <c r="A141" s="11" t="n"/>
      <c r="B141" s="11" t="n"/>
      <c r="C141" s="11" t="n"/>
      <c r="D141" s="11" t="n"/>
      <c r="E141" s="11" t="n"/>
    </row>
    <row r="142">
      <c r="A142" s="11" t="n"/>
      <c r="B142" s="11" t="n"/>
      <c r="C142" s="11" t="n"/>
      <c r="D142" s="11" t="n"/>
      <c r="E142" s="11" t="n"/>
    </row>
    <row r="143">
      <c r="A143" s="11" t="n"/>
      <c r="B143" s="11" t="n"/>
      <c r="C143" s="11" t="n"/>
      <c r="D143" s="11" t="n"/>
      <c r="E143" s="11" t="n"/>
    </row>
    <row r="144">
      <c r="A144" s="11" t="n"/>
      <c r="B144" s="11" t="n"/>
      <c r="C144" s="11" t="n"/>
      <c r="D144" s="11" t="n"/>
      <c r="E144" s="11" t="n"/>
    </row>
    <row r="145">
      <c r="A145" s="11" t="n"/>
      <c r="B145" s="11" t="n"/>
      <c r="C145" s="11" t="n"/>
      <c r="D145" s="11" t="n"/>
      <c r="E145" s="11" t="n"/>
    </row>
    <row r="146">
      <c r="A146" s="11" t="n"/>
      <c r="B146" s="11" t="n"/>
      <c r="C146" s="11" t="n"/>
      <c r="D146" s="11" t="n"/>
      <c r="E146" s="11" t="n"/>
    </row>
    <row r="147">
      <c r="A147" s="11" t="n"/>
      <c r="B147" s="11" t="n"/>
      <c r="C147" s="11" t="n"/>
      <c r="D147" s="11" t="n"/>
      <c r="E147" s="11" t="n"/>
    </row>
    <row r="148">
      <c r="A148" s="11" t="n"/>
      <c r="B148" s="11" t="n"/>
      <c r="C148" s="11" t="n"/>
      <c r="D148" s="11" t="n"/>
      <c r="E148" s="11" t="n"/>
    </row>
    <row r="149">
      <c r="A149" s="11" t="n"/>
      <c r="B149" s="11" t="n"/>
      <c r="C149" s="11" t="n"/>
      <c r="D149" s="11" t="n"/>
      <c r="E149" s="11" t="n"/>
    </row>
    <row r="150">
      <c r="A150" s="11" t="n"/>
      <c r="B150" s="11" t="n"/>
      <c r="C150" s="11" t="n"/>
      <c r="D150" s="11" t="n"/>
      <c r="E150" s="11" t="n"/>
    </row>
    <row r="151">
      <c r="A151" s="11" t="n"/>
      <c r="B151" s="11" t="n"/>
      <c r="C151" s="11" t="n"/>
      <c r="D151" s="11" t="n"/>
      <c r="E151" s="11" t="n"/>
    </row>
    <row r="152">
      <c r="A152" s="11" t="n"/>
      <c r="B152" s="11" t="n"/>
      <c r="C152" s="11" t="n"/>
      <c r="D152" s="11" t="n"/>
      <c r="E152" s="11" t="n"/>
    </row>
    <row r="153">
      <c r="A153" s="11" t="n"/>
      <c r="B153" s="11" t="n"/>
      <c r="C153" s="11" t="n"/>
      <c r="D153" s="11" t="n"/>
      <c r="E153" s="11" t="n"/>
    </row>
    <row r="154">
      <c r="A154" s="11" t="n"/>
      <c r="B154" s="11" t="n"/>
      <c r="C154" s="11" t="n"/>
      <c r="D154" s="11" t="n"/>
      <c r="E154" s="11" t="n"/>
    </row>
    <row r="155">
      <c r="A155" s="11" t="n"/>
      <c r="B155" s="11" t="n"/>
      <c r="C155" s="11" t="n"/>
      <c r="D155" s="11" t="n"/>
      <c r="E155" s="11" t="n"/>
    </row>
    <row r="156">
      <c r="A156" s="11" t="n"/>
      <c r="B156" s="11" t="n"/>
      <c r="C156" s="11" t="n"/>
      <c r="D156" s="11" t="n"/>
      <c r="E156" s="11" t="n"/>
    </row>
    <row r="157">
      <c r="A157" s="11" t="n"/>
      <c r="B157" s="11" t="n"/>
      <c r="C157" s="11" t="n"/>
      <c r="D157" s="11" t="n"/>
      <c r="E157" s="11" t="n"/>
    </row>
    <row r="158">
      <c r="A158" s="11" t="n"/>
      <c r="B158" s="11" t="n"/>
      <c r="C158" s="11" t="n"/>
      <c r="D158" s="11" t="n"/>
      <c r="E158" s="11" t="n"/>
    </row>
    <row r="159">
      <c r="A159" s="11" t="n"/>
      <c r="B159" s="11" t="n"/>
      <c r="C159" s="11" t="n"/>
      <c r="D159" s="11" t="n"/>
      <c r="E159" s="11" t="n"/>
    </row>
    <row r="160">
      <c r="A160" s="11" t="n"/>
      <c r="B160" s="11" t="n"/>
      <c r="C160" s="11" t="n"/>
      <c r="D160" s="11" t="n"/>
      <c r="E160" s="11" t="n"/>
    </row>
    <row r="161">
      <c r="A161" s="11" t="n"/>
      <c r="B161" s="11" t="n"/>
      <c r="C161" s="11" t="n"/>
      <c r="D161" s="11" t="n"/>
      <c r="E161" s="11" t="n"/>
    </row>
    <row r="162">
      <c r="A162" s="11" t="n"/>
      <c r="B162" s="11" t="n"/>
      <c r="C162" s="11" t="n"/>
      <c r="D162" s="11" t="n"/>
      <c r="E162" s="11" t="n"/>
    </row>
    <row r="163">
      <c r="A163" s="11" t="n"/>
      <c r="B163" s="11" t="n"/>
      <c r="C163" s="11" t="n"/>
      <c r="D163" s="11" t="n"/>
      <c r="E163" s="11" t="n"/>
    </row>
    <row r="164">
      <c r="A164" s="11" t="n"/>
      <c r="B164" s="11" t="n"/>
      <c r="C164" s="11" t="n"/>
      <c r="D164" s="11" t="n"/>
      <c r="E164" s="11" t="n"/>
    </row>
    <row r="165">
      <c r="A165" s="11" t="n"/>
      <c r="B165" s="11" t="n"/>
      <c r="C165" s="11" t="n"/>
      <c r="D165" s="11" t="n"/>
      <c r="E165" s="11" t="n"/>
    </row>
    <row r="166">
      <c r="A166" s="11" t="n"/>
      <c r="B166" s="11" t="n"/>
      <c r="C166" s="11" t="n"/>
      <c r="D166" s="11" t="n"/>
      <c r="E166" s="11" t="n"/>
    </row>
    <row r="167">
      <c r="A167" s="11" t="n"/>
      <c r="B167" s="11" t="n"/>
      <c r="C167" s="11" t="n"/>
      <c r="D167" s="11" t="n"/>
      <c r="E167" s="11" t="n"/>
    </row>
    <row r="168">
      <c r="A168" s="11" t="n"/>
      <c r="B168" s="11" t="n"/>
      <c r="C168" s="11" t="n"/>
      <c r="D168" s="11" t="n"/>
      <c r="E168" s="11" t="n"/>
    </row>
    <row r="169">
      <c r="A169" s="11" t="n"/>
      <c r="B169" s="11" t="n"/>
      <c r="C169" s="11" t="n"/>
      <c r="D169" s="11" t="n"/>
      <c r="E169" s="11" t="n"/>
    </row>
    <row r="170">
      <c r="A170" s="11" t="n"/>
      <c r="B170" s="11" t="n"/>
      <c r="C170" s="11" t="n"/>
      <c r="D170" s="11" t="n"/>
      <c r="E170" s="11" t="n"/>
    </row>
    <row r="171">
      <c r="A171" s="11" t="n"/>
      <c r="B171" s="11" t="n"/>
      <c r="C171" s="11" t="n"/>
      <c r="D171" s="11" t="n"/>
      <c r="E171" s="11" t="n"/>
    </row>
    <row r="172">
      <c r="A172" s="11" t="n"/>
      <c r="B172" s="11" t="n"/>
      <c r="C172" s="11" t="n"/>
      <c r="D172" s="11" t="n"/>
      <c r="E172" s="11" t="n"/>
    </row>
    <row r="173">
      <c r="A173" s="11" t="n"/>
      <c r="B173" s="11" t="n"/>
      <c r="C173" s="11" t="n"/>
      <c r="D173" s="11" t="n"/>
      <c r="E173" s="11" t="n"/>
    </row>
    <row r="174">
      <c r="A174" s="11" t="n"/>
      <c r="B174" s="11" t="n"/>
      <c r="C174" s="11" t="n"/>
      <c r="D174" s="11" t="n"/>
      <c r="E174" s="11" t="n"/>
    </row>
    <row r="175">
      <c r="A175" s="11" t="n"/>
      <c r="B175" s="11" t="n"/>
      <c r="C175" s="11" t="n"/>
      <c r="D175" s="11" t="n"/>
      <c r="E175" s="11" t="n"/>
    </row>
    <row r="176">
      <c r="A176" s="11" t="n"/>
      <c r="B176" s="11" t="n"/>
      <c r="C176" s="11" t="n"/>
      <c r="D176" s="11" t="n"/>
      <c r="E176" s="11" t="n"/>
    </row>
    <row r="177">
      <c r="A177" s="11" t="n"/>
      <c r="B177" s="11" t="n"/>
      <c r="C177" s="11" t="n"/>
      <c r="D177" s="11" t="n"/>
      <c r="E177" s="11" t="n"/>
    </row>
    <row r="178">
      <c r="A178" s="11" t="n"/>
      <c r="B178" s="11" t="n"/>
      <c r="C178" s="11" t="n"/>
      <c r="D178" s="11" t="n"/>
      <c r="E178" s="11" t="n"/>
    </row>
    <row r="179">
      <c r="A179" s="11" t="n"/>
      <c r="B179" s="11" t="n"/>
      <c r="C179" s="11" t="n"/>
      <c r="D179" s="11" t="n"/>
      <c r="E179" s="11" t="n"/>
    </row>
    <row r="180">
      <c r="A180" s="11" t="n"/>
      <c r="B180" s="11" t="n"/>
      <c r="C180" s="11" t="n"/>
      <c r="D180" s="11" t="n"/>
      <c r="E180" s="11" t="n"/>
    </row>
    <row r="181">
      <c r="A181" s="11" t="n"/>
      <c r="B181" s="11" t="n"/>
      <c r="C181" s="11" t="n"/>
      <c r="D181" s="11" t="n"/>
      <c r="E181" s="11" t="n"/>
    </row>
    <row r="182">
      <c r="A182" s="11" t="n"/>
      <c r="B182" s="11" t="n"/>
      <c r="C182" s="11" t="n"/>
      <c r="D182" s="11" t="n"/>
      <c r="E182" s="11" t="n"/>
    </row>
    <row r="183">
      <c r="A183" s="11" t="n"/>
      <c r="B183" s="11" t="n"/>
      <c r="C183" s="11" t="n"/>
      <c r="D183" s="11" t="n"/>
      <c r="E183" s="11" t="n"/>
    </row>
    <row r="184">
      <c r="A184" s="11" t="n"/>
      <c r="B184" s="11" t="n"/>
      <c r="C184" s="11" t="n"/>
      <c r="D184" s="11" t="n"/>
      <c r="E184" s="11" t="n"/>
    </row>
    <row r="185">
      <c r="A185" s="11" t="n"/>
      <c r="B185" s="11" t="n"/>
      <c r="C185" s="11" t="n"/>
      <c r="D185" s="11" t="n"/>
      <c r="E185" s="11" t="n"/>
    </row>
    <row r="186">
      <c r="A186" s="11" t="n"/>
      <c r="B186" s="11" t="n"/>
      <c r="C186" s="11" t="n"/>
      <c r="D186" s="11" t="n"/>
      <c r="E186" s="11" t="n"/>
    </row>
    <row r="187">
      <c r="A187" s="11" t="n"/>
      <c r="B187" s="11" t="n"/>
      <c r="C187" s="11" t="n"/>
      <c r="D187" s="11" t="n"/>
      <c r="E187" s="11" t="n"/>
    </row>
    <row r="188">
      <c r="A188" s="11" t="n"/>
      <c r="B188" s="11" t="n"/>
      <c r="C188" s="11" t="n"/>
      <c r="D188" s="11" t="n"/>
      <c r="E188" s="11" t="n"/>
    </row>
    <row r="189">
      <c r="A189" s="11" t="n"/>
      <c r="B189" s="11" t="n"/>
      <c r="C189" s="11" t="n"/>
      <c r="D189" s="11" t="n"/>
      <c r="E189" s="11" t="n"/>
    </row>
    <row r="190">
      <c r="A190" s="11" t="n"/>
      <c r="B190" s="11" t="n"/>
      <c r="C190" s="11" t="n"/>
      <c r="D190" s="11" t="n"/>
      <c r="E190" s="11" t="n"/>
    </row>
    <row r="191">
      <c r="A191" s="11" t="n"/>
      <c r="B191" s="11" t="n"/>
      <c r="C191" s="11" t="n"/>
      <c r="D191" s="11" t="n"/>
      <c r="E191" s="11" t="n"/>
    </row>
    <row r="192">
      <c r="A192" s="11" t="n"/>
      <c r="B192" s="11" t="n"/>
      <c r="C192" s="11" t="n"/>
      <c r="D192" s="11" t="n"/>
      <c r="E192" s="11" t="n"/>
    </row>
    <row r="193">
      <c r="A193" s="11" t="n"/>
      <c r="B193" s="11" t="n"/>
      <c r="C193" s="11" t="n"/>
      <c r="D193" s="11" t="n"/>
      <c r="E193" s="11" t="n"/>
    </row>
    <row r="194">
      <c r="A194" s="11" t="n"/>
      <c r="B194" s="11" t="n"/>
      <c r="C194" s="11" t="n"/>
      <c r="D194" s="11" t="n"/>
      <c r="E194" s="11" t="n"/>
    </row>
    <row r="195">
      <c r="A195" s="11" t="n"/>
      <c r="B195" s="11" t="n"/>
      <c r="C195" s="11" t="n"/>
      <c r="D195" s="11" t="n"/>
      <c r="E195" s="11" t="n"/>
    </row>
    <row r="196">
      <c r="A196" s="11" t="n"/>
      <c r="B196" s="11" t="n"/>
      <c r="C196" s="11" t="n"/>
      <c r="D196" s="11" t="n"/>
      <c r="E196" s="11" t="n"/>
    </row>
    <row r="197">
      <c r="A197" s="11" t="n"/>
      <c r="B197" s="11" t="n"/>
      <c r="C197" s="11" t="n"/>
      <c r="D197" s="11" t="n"/>
      <c r="E197" s="11" t="n"/>
    </row>
    <row r="198">
      <c r="A198" s="11" t="n"/>
      <c r="B198" s="11" t="n"/>
      <c r="C198" s="11" t="n"/>
      <c r="D198" s="11" t="n"/>
      <c r="E198" s="11" t="n"/>
    </row>
    <row r="199">
      <c r="A199" s="11" t="n"/>
      <c r="B199" s="11" t="n"/>
      <c r="C199" s="11" t="n"/>
      <c r="D199" s="11" t="n"/>
      <c r="E199" s="11" t="n"/>
    </row>
    <row r="200">
      <c r="A200" s="11" t="n"/>
      <c r="B200" s="11" t="n"/>
      <c r="C200" s="11" t="n"/>
      <c r="D200" s="11" t="n"/>
      <c r="E200" s="11" t="n"/>
    </row>
    <row r="201">
      <c r="A201" s="11" t="n"/>
      <c r="B201" s="11" t="n"/>
      <c r="C201" s="11" t="n"/>
      <c r="D201" s="11" t="n"/>
      <c r="E20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26" customWidth="1" min="8" max="8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標準仕入先</t>
        </is>
      </c>
      <c r="D1" s="5" t="inlineStr">
        <is>
          <t>標準得意先</t>
        </is>
      </c>
      <c r="E1" s="5" t="inlineStr">
        <is>
          <t>標準荷姿</t>
        </is>
      </c>
      <c r="F1" s="5" t="inlineStr">
        <is>
          <t>現行仕入価格</t>
        </is>
      </c>
      <c r="G1" s="5" t="inlineStr">
        <is>
          <t>現行売価</t>
        </is>
      </c>
      <c r="H1" s="5" t="inlineStr">
        <is>
          <t>備考</t>
        </is>
      </c>
    </row>
    <row r="2">
      <c r="A2" s="10" t="inlineStr">
        <is>
          <t>G001</t>
        </is>
      </c>
      <c r="B2" s="10" t="inlineStr">
        <is>
          <t>国産たまねぎ</t>
        </is>
      </c>
      <c r="C2" s="10" t="inlineStr">
        <is>
          <t>〇〇青果株式会社</t>
        </is>
      </c>
      <c r="D2" s="10" t="inlineStr">
        <is>
          <t>株式会社サンプル商事</t>
        </is>
      </c>
      <c r="E2" s="10" t="inlineStr">
        <is>
          <t>10kg段ボール</t>
        </is>
      </c>
      <c r="F2" s="12" t="n">
        <v>800</v>
      </c>
      <c r="G2" s="12" t="n">
        <v>1200</v>
      </c>
      <c r="H2" s="10" t="inlineStr">
        <is>
          <t>サンプルデータ</t>
        </is>
      </c>
    </row>
    <row r="3">
      <c r="A3" s="10" t="inlineStr">
        <is>
          <t>G002</t>
        </is>
      </c>
      <c r="B3" s="10" t="inlineStr">
        <is>
          <t>冷凍えび</t>
        </is>
      </c>
      <c r="C3" s="10" t="inlineStr">
        <is>
          <t>□□水産</t>
        </is>
      </c>
      <c r="D3" s="10" t="inlineStr">
        <is>
          <t>サンプルストア株式会社</t>
        </is>
      </c>
      <c r="E3" s="10" t="inlineStr">
        <is>
          <t>発泡スチロール箱</t>
        </is>
      </c>
      <c r="F3" s="12" t="n">
        <v>2500</v>
      </c>
      <c r="G3" s="12" t="n">
        <v>3400</v>
      </c>
      <c r="H3" s="10" t="inlineStr">
        <is>
          <t>サンプルデータ</t>
        </is>
      </c>
    </row>
    <row r="4">
      <c r="A4" s="10" t="inlineStr">
        <is>
          <t>G003</t>
        </is>
      </c>
      <c r="B4" s="10" t="inlineStr">
        <is>
          <t>パスタ乾麺</t>
        </is>
      </c>
      <c r="C4" s="10" t="inlineStr">
        <is>
          <t>△△食品卸</t>
        </is>
      </c>
      <c r="D4" s="10" t="inlineStr">
        <is>
          <t>有限会社テスト物産</t>
        </is>
      </c>
      <c r="E4" s="10" t="inlineStr">
        <is>
          <t>5kgネット袋</t>
        </is>
      </c>
      <c r="F4" s="12" t="n">
        <v>900</v>
      </c>
      <c r="G4" s="12" t="n">
        <v>1300</v>
      </c>
      <c r="H4" s="10" t="inlineStr">
        <is>
          <t>サンプルデータ</t>
        </is>
      </c>
    </row>
    <row r="5">
      <c r="A5" s="11" t="n"/>
      <c r="B5" s="11" t="n"/>
      <c r="C5" s="11" t="n"/>
      <c r="D5" s="11" t="n"/>
      <c r="E5" s="11" t="n"/>
      <c r="F5" s="13" t="n"/>
      <c r="G5" s="13" t="n"/>
      <c r="H5" s="11" t="n"/>
    </row>
    <row r="6">
      <c r="A6" s="11" t="n"/>
      <c r="B6" s="11" t="n"/>
      <c r="C6" s="11" t="n"/>
      <c r="D6" s="11" t="n"/>
      <c r="E6" s="11" t="n"/>
      <c r="F6" s="13" t="n"/>
      <c r="G6" s="13" t="n"/>
      <c r="H6" s="11" t="n"/>
    </row>
    <row r="7">
      <c r="A7" s="11" t="n"/>
      <c r="B7" s="11" t="n"/>
      <c r="C7" s="11" t="n"/>
      <c r="D7" s="11" t="n"/>
      <c r="E7" s="11" t="n"/>
      <c r="F7" s="13" t="n"/>
      <c r="G7" s="13" t="n"/>
      <c r="H7" s="11" t="n"/>
    </row>
    <row r="8">
      <c r="A8" s="11" t="n"/>
      <c r="B8" s="11" t="n"/>
      <c r="C8" s="11" t="n"/>
      <c r="D8" s="11" t="n"/>
      <c r="E8" s="11" t="n"/>
      <c r="F8" s="13" t="n"/>
      <c r="G8" s="13" t="n"/>
      <c r="H8" s="11" t="n"/>
    </row>
    <row r="9">
      <c r="A9" s="11" t="n"/>
      <c r="B9" s="11" t="n"/>
      <c r="C9" s="11" t="n"/>
      <c r="D9" s="11" t="n"/>
      <c r="E9" s="11" t="n"/>
      <c r="F9" s="13" t="n"/>
      <c r="G9" s="13" t="n"/>
      <c r="H9" s="11" t="n"/>
    </row>
    <row r="10">
      <c r="A10" s="11" t="n"/>
      <c r="B10" s="11" t="n"/>
      <c r="C10" s="11" t="n"/>
      <c r="D10" s="11" t="n"/>
      <c r="E10" s="11" t="n"/>
      <c r="F10" s="13" t="n"/>
      <c r="G10" s="13" t="n"/>
      <c r="H10" s="11" t="n"/>
    </row>
    <row r="11">
      <c r="A11" s="11" t="n"/>
      <c r="B11" s="11" t="n"/>
      <c r="C11" s="11" t="n"/>
      <c r="D11" s="11" t="n"/>
      <c r="E11" s="11" t="n"/>
      <c r="F11" s="13" t="n"/>
      <c r="G11" s="13" t="n"/>
      <c r="H11" s="11" t="n"/>
    </row>
    <row r="12">
      <c r="A12" s="11" t="n"/>
      <c r="B12" s="11" t="n"/>
      <c r="C12" s="11" t="n"/>
      <c r="D12" s="11" t="n"/>
      <c r="E12" s="11" t="n"/>
      <c r="F12" s="13" t="n"/>
      <c r="G12" s="13" t="n"/>
      <c r="H12" s="11" t="n"/>
    </row>
    <row r="13">
      <c r="A13" s="11" t="n"/>
      <c r="B13" s="11" t="n"/>
      <c r="C13" s="11" t="n"/>
      <c r="D13" s="11" t="n"/>
      <c r="E13" s="11" t="n"/>
      <c r="F13" s="13" t="n"/>
      <c r="G13" s="13" t="n"/>
      <c r="H13" s="11" t="n"/>
    </row>
    <row r="14">
      <c r="A14" s="11" t="n"/>
      <c r="B14" s="11" t="n"/>
      <c r="C14" s="11" t="n"/>
      <c r="D14" s="11" t="n"/>
      <c r="E14" s="11" t="n"/>
      <c r="F14" s="13" t="n"/>
      <c r="G14" s="13" t="n"/>
      <c r="H14" s="11" t="n"/>
    </row>
    <row r="15">
      <c r="A15" s="11" t="n"/>
      <c r="B15" s="11" t="n"/>
      <c r="C15" s="11" t="n"/>
      <c r="D15" s="11" t="n"/>
      <c r="E15" s="11" t="n"/>
      <c r="F15" s="13" t="n"/>
      <c r="G15" s="13" t="n"/>
      <c r="H15" s="11" t="n"/>
    </row>
    <row r="16">
      <c r="A16" s="11" t="n"/>
      <c r="B16" s="11" t="n"/>
      <c r="C16" s="11" t="n"/>
      <c r="D16" s="11" t="n"/>
      <c r="E16" s="11" t="n"/>
      <c r="F16" s="13" t="n"/>
      <c r="G16" s="13" t="n"/>
      <c r="H16" s="11" t="n"/>
    </row>
    <row r="17">
      <c r="A17" s="11" t="n"/>
      <c r="B17" s="11" t="n"/>
      <c r="C17" s="11" t="n"/>
      <c r="D17" s="11" t="n"/>
      <c r="E17" s="11" t="n"/>
      <c r="F17" s="13" t="n"/>
      <c r="G17" s="13" t="n"/>
      <c r="H17" s="11" t="n"/>
    </row>
    <row r="18">
      <c r="A18" s="11" t="n"/>
      <c r="B18" s="11" t="n"/>
      <c r="C18" s="11" t="n"/>
      <c r="D18" s="11" t="n"/>
      <c r="E18" s="11" t="n"/>
      <c r="F18" s="13" t="n"/>
      <c r="G18" s="13" t="n"/>
      <c r="H18" s="11" t="n"/>
    </row>
    <row r="19">
      <c r="A19" s="11" t="n"/>
      <c r="B19" s="11" t="n"/>
      <c r="C19" s="11" t="n"/>
      <c r="D19" s="11" t="n"/>
      <c r="E19" s="11" t="n"/>
      <c r="F19" s="13" t="n"/>
      <c r="G19" s="13" t="n"/>
      <c r="H19" s="11" t="n"/>
    </row>
    <row r="20">
      <c r="A20" s="11" t="n"/>
      <c r="B20" s="11" t="n"/>
      <c r="C20" s="11" t="n"/>
      <c r="D20" s="11" t="n"/>
      <c r="E20" s="11" t="n"/>
      <c r="F20" s="13" t="n"/>
      <c r="G20" s="13" t="n"/>
      <c r="H20" s="11" t="n"/>
    </row>
    <row r="21">
      <c r="A21" s="11" t="n"/>
      <c r="B21" s="11" t="n"/>
      <c r="C21" s="11" t="n"/>
      <c r="D21" s="11" t="n"/>
      <c r="E21" s="11" t="n"/>
      <c r="F21" s="13" t="n"/>
      <c r="G21" s="13" t="n"/>
      <c r="H21" s="11" t="n"/>
    </row>
    <row r="22">
      <c r="A22" s="11" t="n"/>
      <c r="B22" s="11" t="n"/>
      <c r="C22" s="11" t="n"/>
      <c r="D22" s="11" t="n"/>
      <c r="E22" s="11" t="n"/>
      <c r="F22" s="13" t="n"/>
      <c r="G22" s="13" t="n"/>
      <c r="H22" s="11" t="n"/>
    </row>
    <row r="23">
      <c r="A23" s="11" t="n"/>
      <c r="B23" s="11" t="n"/>
      <c r="C23" s="11" t="n"/>
      <c r="D23" s="11" t="n"/>
      <c r="E23" s="11" t="n"/>
      <c r="F23" s="13" t="n"/>
      <c r="G23" s="13" t="n"/>
      <c r="H23" s="11" t="n"/>
    </row>
    <row r="24">
      <c r="A24" s="11" t="n"/>
      <c r="B24" s="11" t="n"/>
      <c r="C24" s="11" t="n"/>
      <c r="D24" s="11" t="n"/>
      <c r="E24" s="11" t="n"/>
      <c r="F24" s="13" t="n"/>
      <c r="G24" s="13" t="n"/>
      <c r="H24" s="11" t="n"/>
    </row>
    <row r="25">
      <c r="A25" s="11" t="n"/>
      <c r="B25" s="11" t="n"/>
      <c r="C25" s="11" t="n"/>
      <c r="D25" s="11" t="n"/>
      <c r="E25" s="11" t="n"/>
      <c r="F25" s="13" t="n"/>
      <c r="G25" s="13" t="n"/>
      <c r="H25" s="11" t="n"/>
    </row>
    <row r="26">
      <c r="A26" s="11" t="n"/>
      <c r="B26" s="11" t="n"/>
      <c r="C26" s="11" t="n"/>
      <c r="D26" s="11" t="n"/>
      <c r="E26" s="11" t="n"/>
      <c r="F26" s="13" t="n"/>
      <c r="G26" s="13" t="n"/>
      <c r="H26" s="11" t="n"/>
    </row>
    <row r="27">
      <c r="A27" s="11" t="n"/>
      <c r="B27" s="11" t="n"/>
      <c r="C27" s="11" t="n"/>
      <c r="D27" s="11" t="n"/>
      <c r="E27" s="11" t="n"/>
      <c r="F27" s="13" t="n"/>
      <c r="G27" s="13" t="n"/>
      <c r="H27" s="11" t="n"/>
    </row>
    <row r="28">
      <c r="A28" s="11" t="n"/>
      <c r="B28" s="11" t="n"/>
      <c r="C28" s="11" t="n"/>
      <c r="D28" s="11" t="n"/>
      <c r="E28" s="11" t="n"/>
      <c r="F28" s="13" t="n"/>
      <c r="G28" s="13" t="n"/>
      <c r="H28" s="11" t="n"/>
    </row>
    <row r="29">
      <c r="A29" s="11" t="n"/>
      <c r="B29" s="11" t="n"/>
      <c r="C29" s="11" t="n"/>
      <c r="D29" s="11" t="n"/>
      <c r="E29" s="11" t="n"/>
      <c r="F29" s="13" t="n"/>
      <c r="G29" s="13" t="n"/>
      <c r="H29" s="11" t="n"/>
    </row>
    <row r="30">
      <c r="A30" s="11" t="n"/>
      <c r="B30" s="11" t="n"/>
      <c r="C30" s="11" t="n"/>
      <c r="D30" s="11" t="n"/>
      <c r="E30" s="11" t="n"/>
      <c r="F30" s="13" t="n"/>
      <c r="G30" s="13" t="n"/>
      <c r="H30" s="11" t="n"/>
    </row>
    <row r="31">
      <c r="A31" s="11" t="n"/>
      <c r="B31" s="11" t="n"/>
      <c r="C31" s="11" t="n"/>
      <c r="D31" s="11" t="n"/>
      <c r="E31" s="11" t="n"/>
      <c r="F31" s="13" t="n"/>
      <c r="G31" s="13" t="n"/>
      <c r="H31" s="11" t="n"/>
    </row>
    <row r="32">
      <c r="A32" s="11" t="n"/>
      <c r="B32" s="11" t="n"/>
      <c r="C32" s="11" t="n"/>
      <c r="D32" s="11" t="n"/>
      <c r="E32" s="11" t="n"/>
      <c r="F32" s="13" t="n"/>
      <c r="G32" s="13" t="n"/>
      <c r="H32" s="11" t="n"/>
    </row>
    <row r="33">
      <c r="A33" s="11" t="n"/>
      <c r="B33" s="11" t="n"/>
      <c r="C33" s="11" t="n"/>
      <c r="D33" s="11" t="n"/>
      <c r="E33" s="11" t="n"/>
      <c r="F33" s="13" t="n"/>
      <c r="G33" s="13" t="n"/>
      <c r="H33" s="11" t="n"/>
    </row>
    <row r="34">
      <c r="A34" s="11" t="n"/>
      <c r="B34" s="11" t="n"/>
      <c r="C34" s="11" t="n"/>
      <c r="D34" s="11" t="n"/>
      <c r="E34" s="11" t="n"/>
      <c r="F34" s="13" t="n"/>
      <c r="G34" s="13" t="n"/>
      <c r="H34" s="11" t="n"/>
    </row>
    <row r="35">
      <c r="A35" s="11" t="n"/>
      <c r="B35" s="11" t="n"/>
      <c r="C35" s="11" t="n"/>
      <c r="D35" s="11" t="n"/>
      <c r="E35" s="11" t="n"/>
      <c r="F35" s="13" t="n"/>
      <c r="G35" s="13" t="n"/>
      <c r="H35" s="11" t="n"/>
    </row>
    <row r="36">
      <c r="A36" s="11" t="n"/>
      <c r="B36" s="11" t="n"/>
      <c r="C36" s="11" t="n"/>
      <c r="D36" s="11" t="n"/>
      <c r="E36" s="11" t="n"/>
      <c r="F36" s="13" t="n"/>
      <c r="G36" s="13" t="n"/>
      <c r="H36" s="11" t="n"/>
    </row>
    <row r="37">
      <c r="A37" s="11" t="n"/>
      <c r="B37" s="11" t="n"/>
      <c r="C37" s="11" t="n"/>
      <c r="D37" s="11" t="n"/>
      <c r="E37" s="11" t="n"/>
      <c r="F37" s="13" t="n"/>
      <c r="G37" s="13" t="n"/>
      <c r="H37" s="11" t="n"/>
    </row>
    <row r="38">
      <c r="A38" s="11" t="n"/>
      <c r="B38" s="11" t="n"/>
      <c r="C38" s="11" t="n"/>
      <c r="D38" s="11" t="n"/>
      <c r="E38" s="11" t="n"/>
      <c r="F38" s="13" t="n"/>
      <c r="G38" s="13" t="n"/>
      <c r="H38" s="11" t="n"/>
    </row>
    <row r="39">
      <c r="A39" s="11" t="n"/>
      <c r="B39" s="11" t="n"/>
      <c r="C39" s="11" t="n"/>
      <c r="D39" s="11" t="n"/>
      <c r="E39" s="11" t="n"/>
      <c r="F39" s="13" t="n"/>
      <c r="G39" s="13" t="n"/>
      <c r="H39" s="11" t="n"/>
    </row>
    <row r="40">
      <c r="A40" s="11" t="n"/>
      <c r="B40" s="11" t="n"/>
      <c r="C40" s="11" t="n"/>
      <c r="D40" s="11" t="n"/>
      <c r="E40" s="11" t="n"/>
      <c r="F40" s="13" t="n"/>
      <c r="G40" s="13" t="n"/>
      <c r="H40" s="11" t="n"/>
    </row>
    <row r="41">
      <c r="A41" s="11" t="n"/>
      <c r="B41" s="11" t="n"/>
      <c r="C41" s="11" t="n"/>
      <c r="D41" s="11" t="n"/>
      <c r="E41" s="11" t="n"/>
      <c r="F41" s="13" t="n"/>
      <c r="G41" s="13" t="n"/>
      <c r="H41" s="11" t="n"/>
    </row>
    <row r="42">
      <c r="A42" s="11" t="n"/>
      <c r="B42" s="11" t="n"/>
      <c r="C42" s="11" t="n"/>
      <c r="D42" s="11" t="n"/>
      <c r="E42" s="11" t="n"/>
      <c r="F42" s="13" t="n"/>
      <c r="G42" s="13" t="n"/>
      <c r="H42" s="11" t="n"/>
    </row>
    <row r="43">
      <c r="A43" s="11" t="n"/>
      <c r="B43" s="11" t="n"/>
      <c r="C43" s="11" t="n"/>
      <c r="D43" s="11" t="n"/>
      <c r="E43" s="11" t="n"/>
      <c r="F43" s="13" t="n"/>
      <c r="G43" s="13" t="n"/>
      <c r="H43" s="11" t="n"/>
    </row>
    <row r="44">
      <c r="A44" s="11" t="n"/>
      <c r="B44" s="11" t="n"/>
      <c r="C44" s="11" t="n"/>
      <c r="D44" s="11" t="n"/>
      <c r="E44" s="11" t="n"/>
      <c r="F44" s="13" t="n"/>
      <c r="G44" s="13" t="n"/>
      <c r="H44" s="11" t="n"/>
    </row>
    <row r="45">
      <c r="A45" s="11" t="n"/>
      <c r="B45" s="11" t="n"/>
      <c r="C45" s="11" t="n"/>
      <c r="D45" s="11" t="n"/>
      <c r="E45" s="11" t="n"/>
      <c r="F45" s="13" t="n"/>
      <c r="G45" s="13" t="n"/>
      <c r="H45" s="11" t="n"/>
    </row>
    <row r="46">
      <c r="A46" s="11" t="n"/>
      <c r="B46" s="11" t="n"/>
      <c r="C46" s="11" t="n"/>
      <c r="D46" s="11" t="n"/>
      <c r="E46" s="11" t="n"/>
      <c r="F46" s="13" t="n"/>
      <c r="G46" s="13" t="n"/>
      <c r="H46" s="11" t="n"/>
    </row>
    <row r="47">
      <c r="A47" s="11" t="n"/>
      <c r="B47" s="11" t="n"/>
      <c r="C47" s="11" t="n"/>
      <c r="D47" s="11" t="n"/>
      <c r="E47" s="11" t="n"/>
      <c r="F47" s="13" t="n"/>
      <c r="G47" s="13" t="n"/>
      <c r="H47" s="11" t="n"/>
    </row>
    <row r="48">
      <c r="A48" s="11" t="n"/>
      <c r="B48" s="11" t="n"/>
      <c r="C48" s="11" t="n"/>
      <c r="D48" s="11" t="n"/>
      <c r="E48" s="11" t="n"/>
      <c r="F48" s="13" t="n"/>
      <c r="G48" s="13" t="n"/>
      <c r="H48" s="11" t="n"/>
    </row>
    <row r="49">
      <c r="A49" s="11" t="n"/>
      <c r="B49" s="11" t="n"/>
      <c r="C49" s="11" t="n"/>
      <c r="D49" s="11" t="n"/>
      <c r="E49" s="11" t="n"/>
      <c r="F49" s="13" t="n"/>
      <c r="G49" s="13" t="n"/>
      <c r="H49" s="11" t="n"/>
    </row>
    <row r="50">
      <c r="A50" s="11" t="n"/>
      <c r="B50" s="11" t="n"/>
      <c r="C50" s="11" t="n"/>
      <c r="D50" s="11" t="n"/>
      <c r="E50" s="11" t="n"/>
      <c r="F50" s="13" t="n"/>
      <c r="G50" s="13" t="n"/>
      <c r="H50" s="11" t="n"/>
    </row>
    <row r="51">
      <c r="A51" s="11" t="n"/>
      <c r="B51" s="11" t="n"/>
      <c r="C51" s="11" t="n"/>
      <c r="D51" s="11" t="n"/>
      <c r="E51" s="11" t="n"/>
      <c r="F51" s="13" t="n"/>
      <c r="G51" s="13" t="n"/>
      <c r="H51" s="11" t="n"/>
    </row>
    <row r="52">
      <c r="A52" s="11" t="n"/>
      <c r="B52" s="11" t="n"/>
      <c r="C52" s="11" t="n"/>
      <c r="D52" s="11" t="n"/>
      <c r="E52" s="11" t="n"/>
      <c r="F52" s="13" t="n"/>
      <c r="G52" s="13" t="n"/>
      <c r="H52" s="11" t="n"/>
    </row>
    <row r="53">
      <c r="A53" s="11" t="n"/>
      <c r="B53" s="11" t="n"/>
      <c r="C53" s="11" t="n"/>
      <c r="D53" s="11" t="n"/>
      <c r="E53" s="11" t="n"/>
      <c r="F53" s="13" t="n"/>
      <c r="G53" s="13" t="n"/>
      <c r="H53" s="11" t="n"/>
    </row>
    <row r="54">
      <c r="A54" s="11" t="n"/>
      <c r="B54" s="11" t="n"/>
      <c r="C54" s="11" t="n"/>
      <c r="D54" s="11" t="n"/>
      <c r="E54" s="11" t="n"/>
      <c r="F54" s="13" t="n"/>
      <c r="G54" s="13" t="n"/>
      <c r="H54" s="11" t="n"/>
    </row>
    <row r="55">
      <c r="A55" s="11" t="n"/>
      <c r="B55" s="11" t="n"/>
      <c r="C55" s="11" t="n"/>
      <c r="D55" s="11" t="n"/>
      <c r="E55" s="11" t="n"/>
      <c r="F55" s="13" t="n"/>
      <c r="G55" s="13" t="n"/>
      <c r="H55" s="11" t="n"/>
    </row>
    <row r="56">
      <c r="A56" s="11" t="n"/>
      <c r="B56" s="11" t="n"/>
      <c r="C56" s="11" t="n"/>
      <c r="D56" s="11" t="n"/>
      <c r="E56" s="11" t="n"/>
      <c r="F56" s="13" t="n"/>
      <c r="G56" s="13" t="n"/>
      <c r="H56" s="11" t="n"/>
    </row>
    <row r="57">
      <c r="A57" s="11" t="n"/>
      <c r="B57" s="11" t="n"/>
      <c r="C57" s="11" t="n"/>
      <c r="D57" s="11" t="n"/>
      <c r="E57" s="11" t="n"/>
      <c r="F57" s="13" t="n"/>
      <c r="G57" s="13" t="n"/>
      <c r="H57" s="11" t="n"/>
    </row>
    <row r="58">
      <c r="A58" s="11" t="n"/>
      <c r="B58" s="11" t="n"/>
      <c r="C58" s="11" t="n"/>
      <c r="D58" s="11" t="n"/>
      <c r="E58" s="11" t="n"/>
      <c r="F58" s="13" t="n"/>
      <c r="G58" s="13" t="n"/>
      <c r="H58" s="11" t="n"/>
    </row>
    <row r="59">
      <c r="A59" s="11" t="n"/>
      <c r="B59" s="11" t="n"/>
      <c r="C59" s="11" t="n"/>
      <c r="D59" s="11" t="n"/>
      <c r="E59" s="11" t="n"/>
      <c r="F59" s="13" t="n"/>
      <c r="G59" s="13" t="n"/>
      <c r="H59" s="11" t="n"/>
    </row>
    <row r="60">
      <c r="A60" s="11" t="n"/>
      <c r="B60" s="11" t="n"/>
      <c r="C60" s="11" t="n"/>
      <c r="D60" s="11" t="n"/>
      <c r="E60" s="11" t="n"/>
      <c r="F60" s="13" t="n"/>
      <c r="G60" s="13" t="n"/>
      <c r="H60" s="11" t="n"/>
    </row>
    <row r="61">
      <c r="A61" s="11" t="n"/>
      <c r="B61" s="11" t="n"/>
      <c r="C61" s="11" t="n"/>
      <c r="D61" s="11" t="n"/>
      <c r="E61" s="11" t="n"/>
      <c r="F61" s="13" t="n"/>
      <c r="G61" s="13" t="n"/>
      <c r="H61" s="11" t="n"/>
    </row>
    <row r="62">
      <c r="A62" s="11" t="n"/>
      <c r="B62" s="11" t="n"/>
      <c r="C62" s="11" t="n"/>
      <c r="D62" s="11" t="n"/>
      <c r="E62" s="11" t="n"/>
      <c r="F62" s="13" t="n"/>
      <c r="G62" s="13" t="n"/>
      <c r="H62" s="11" t="n"/>
    </row>
    <row r="63">
      <c r="A63" s="11" t="n"/>
      <c r="B63" s="11" t="n"/>
      <c r="C63" s="11" t="n"/>
      <c r="D63" s="11" t="n"/>
      <c r="E63" s="11" t="n"/>
      <c r="F63" s="13" t="n"/>
      <c r="G63" s="13" t="n"/>
      <c r="H63" s="11" t="n"/>
    </row>
    <row r="64">
      <c r="A64" s="11" t="n"/>
      <c r="B64" s="11" t="n"/>
      <c r="C64" s="11" t="n"/>
      <c r="D64" s="11" t="n"/>
      <c r="E64" s="11" t="n"/>
      <c r="F64" s="13" t="n"/>
      <c r="G64" s="13" t="n"/>
      <c r="H64" s="11" t="n"/>
    </row>
    <row r="65">
      <c r="A65" s="11" t="n"/>
      <c r="B65" s="11" t="n"/>
      <c r="C65" s="11" t="n"/>
      <c r="D65" s="11" t="n"/>
      <c r="E65" s="11" t="n"/>
      <c r="F65" s="13" t="n"/>
      <c r="G65" s="13" t="n"/>
      <c r="H65" s="11" t="n"/>
    </row>
    <row r="66">
      <c r="A66" s="11" t="n"/>
      <c r="B66" s="11" t="n"/>
      <c r="C66" s="11" t="n"/>
      <c r="D66" s="11" t="n"/>
      <c r="E66" s="11" t="n"/>
      <c r="F66" s="13" t="n"/>
      <c r="G66" s="13" t="n"/>
      <c r="H66" s="11" t="n"/>
    </row>
    <row r="67">
      <c r="A67" s="11" t="n"/>
      <c r="B67" s="11" t="n"/>
      <c r="C67" s="11" t="n"/>
      <c r="D67" s="11" t="n"/>
      <c r="E67" s="11" t="n"/>
      <c r="F67" s="13" t="n"/>
      <c r="G67" s="13" t="n"/>
      <c r="H67" s="11" t="n"/>
    </row>
    <row r="68">
      <c r="A68" s="11" t="n"/>
      <c r="B68" s="11" t="n"/>
      <c r="C68" s="11" t="n"/>
      <c r="D68" s="11" t="n"/>
      <c r="E68" s="11" t="n"/>
      <c r="F68" s="13" t="n"/>
      <c r="G68" s="13" t="n"/>
      <c r="H68" s="11" t="n"/>
    </row>
    <row r="69">
      <c r="A69" s="11" t="n"/>
      <c r="B69" s="11" t="n"/>
      <c r="C69" s="11" t="n"/>
      <c r="D69" s="11" t="n"/>
      <c r="E69" s="11" t="n"/>
      <c r="F69" s="13" t="n"/>
      <c r="G69" s="13" t="n"/>
      <c r="H69" s="11" t="n"/>
    </row>
    <row r="70">
      <c r="A70" s="11" t="n"/>
      <c r="B70" s="11" t="n"/>
      <c r="C70" s="11" t="n"/>
      <c r="D70" s="11" t="n"/>
      <c r="E70" s="11" t="n"/>
      <c r="F70" s="13" t="n"/>
      <c r="G70" s="13" t="n"/>
      <c r="H70" s="11" t="n"/>
    </row>
    <row r="71">
      <c r="A71" s="11" t="n"/>
      <c r="B71" s="11" t="n"/>
      <c r="C71" s="11" t="n"/>
      <c r="D71" s="11" t="n"/>
      <c r="E71" s="11" t="n"/>
      <c r="F71" s="13" t="n"/>
      <c r="G71" s="13" t="n"/>
      <c r="H71" s="11" t="n"/>
    </row>
    <row r="72">
      <c r="A72" s="11" t="n"/>
      <c r="B72" s="11" t="n"/>
      <c r="C72" s="11" t="n"/>
      <c r="D72" s="11" t="n"/>
      <c r="E72" s="11" t="n"/>
      <c r="F72" s="13" t="n"/>
      <c r="G72" s="13" t="n"/>
      <c r="H72" s="11" t="n"/>
    </row>
    <row r="73">
      <c r="A73" s="11" t="n"/>
      <c r="B73" s="11" t="n"/>
      <c r="C73" s="11" t="n"/>
      <c r="D73" s="11" t="n"/>
      <c r="E73" s="11" t="n"/>
      <c r="F73" s="13" t="n"/>
      <c r="G73" s="13" t="n"/>
      <c r="H73" s="11" t="n"/>
    </row>
    <row r="74">
      <c r="A74" s="11" t="n"/>
      <c r="B74" s="11" t="n"/>
      <c r="C74" s="11" t="n"/>
      <c r="D74" s="11" t="n"/>
      <c r="E74" s="11" t="n"/>
      <c r="F74" s="13" t="n"/>
      <c r="G74" s="13" t="n"/>
      <c r="H74" s="11" t="n"/>
    </row>
    <row r="75">
      <c r="A75" s="11" t="n"/>
      <c r="B75" s="11" t="n"/>
      <c r="C75" s="11" t="n"/>
      <c r="D75" s="11" t="n"/>
      <c r="E75" s="11" t="n"/>
      <c r="F75" s="13" t="n"/>
      <c r="G75" s="13" t="n"/>
      <c r="H75" s="11" t="n"/>
    </row>
    <row r="76">
      <c r="A76" s="11" t="n"/>
      <c r="B76" s="11" t="n"/>
      <c r="C76" s="11" t="n"/>
      <c r="D76" s="11" t="n"/>
      <c r="E76" s="11" t="n"/>
      <c r="F76" s="13" t="n"/>
      <c r="G76" s="13" t="n"/>
      <c r="H76" s="11" t="n"/>
    </row>
    <row r="77">
      <c r="A77" s="11" t="n"/>
      <c r="B77" s="11" t="n"/>
      <c r="C77" s="11" t="n"/>
      <c r="D77" s="11" t="n"/>
      <c r="E77" s="11" t="n"/>
      <c r="F77" s="13" t="n"/>
      <c r="G77" s="13" t="n"/>
      <c r="H77" s="11" t="n"/>
    </row>
    <row r="78">
      <c r="A78" s="11" t="n"/>
      <c r="B78" s="11" t="n"/>
      <c r="C78" s="11" t="n"/>
      <c r="D78" s="11" t="n"/>
      <c r="E78" s="11" t="n"/>
      <c r="F78" s="13" t="n"/>
      <c r="G78" s="13" t="n"/>
      <c r="H78" s="11" t="n"/>
    </row>
    <row r="79">
      <c r="A79" s="11" t="n"/>
      <c r="B79" s="11" t="n"/>
      <c r="C79" s="11" t="n"/>
      <c r="D79" s="11" t="n"/>
      <c r="E79" s="11" t="n"/>
      <c r="F79" s="13" t="n"/>
      <c r="G79" s="13" t="n"/>
      <c r="H79" s="11" t="n"/>
    </row>
    <row r="80">
      <c r="A80" s="11" t="n"/>
      <c r="B80" s="11" t="n"/>
      <c r="C80" s="11" t="n"/>
      <c r="D80" s="11" t="n"/>
      <c r="E80" s="11" t="n"/>
      <c r="F80" s="13" t="n"/>
      <c r="G80" s="13" t="n"/>
      <c r="H80" s="11" t="n"/>
    </row>
    <row r="81">
      <c r="A81" s="11" t="n"/>
      <c r="B81" s="11" t="n"/>
      <c r="C81" s="11" t="n"/>
      <c r="D81" s="11" t="n"/>
      <c r="E81" s="11" t="n"/>
      <c r="F81" s="13" t="n"/>
      <c r="G81" s="13" t="n"/>
      <c r="H81" s="11" t="n"/>
    </row>
    <row r="82">
      <c r="A82" s="11" t="n"/>
      <c r="B82" s="11" t="n"/>
      <c r="C82" s="11" t="n"/>
      <c r="D82" s="11" t="n"/>
      <c r="E82" s="11" t="n"/>
      <c r="F82" s="13" t="n"/>
      <c r="G82" s="13" t="n"/>
      <c r="H82" s="11" t="n"/>
    </row>
    <row r="83">
      <c r="A83" s="11" t="n"/>
      <c r="B83" s="11" t="n"/>
      <c r="C83" s="11" t="n"/>
      <c r="D83" s="11" t="n"/>
      <c r="E83" s="11" t="n"/>
      <c r="F83" s="13" t="n"/>
      <c r="G83" s="13" t="n"/>
      <c r="H83" s="11" t="n"/>
    </row>
    <row r="84">
      <c r="A84" s="11" t="n"/>
      <c r="B84" s="11" t="n"/>
      <c r="C84" s="11" t="n"/>
      <c r="D84" s="11" t="n"/>
      <c r="E84" s="11" t="n"/>
      <c r="F84" s="13" t="n"/>
      <c r="G84" s="13" t="n"/>
      <c r="H84" s="11" t="n"/>
    </row>
    <row r="85">
      <c r="A85" s="11" t="n"/>
      <c r="B85" s="11" t="n"/>
      <c r="C85" s="11" t="n"/>
      <c r="D85" s="11" t="n"/>
      <c r="E85" s="11" t="n"/>
      <c r="F85" s="13" t="n"/>
      <c r="G85" s="13" t="n"/>
      <c r="H85" s="11" t="n"/>
    </row>
    <row r="86">
      <c r="A86" s="11" t="n"/>
      <c r="B86" s="11" t="n"/>
      <c r="C86" s="11" t="n"/>
      <c r="D86" s="11" t="n"/>
      <c r="E86" s="11" t="n"/>
      <c r="F86" s="13" t="n"/>
      <c r="G86" s="13" t="n"/>
      <c r="H86" s="11" t="n"/>
    </row>
    <row r="87">
      <c r="A87" s="11" t="n"/>
      <c r="B87" s="11" t="n"/>
      <c r="C87" s="11" t="n"/>
      <c r="D87" s="11" t="n"/>
      <c r="E87" s="11" t="n"/>
      <c r="F87" s="13" t="n"/>
      <c r="G87" s="13" t="n"/>
      <c r="H87" s="11" t="n"/>
    </row>
    <row r="88">
      <c r="A88" s="11" t="n"/>
      <c r="B88" s="11" t="n"/>
      <c r="C88" s="11" t="n"/>
      <c r="D88" s="11" t="n"/>
      <c r="E88" s="11" t="n"/>
      <c r="F88" s="13" t="n"/>
      <c r="G88" s="13" t="n"/>
      <c r="H88" s="11" t="n"/>
    </row>
    <row r="89">
      <c r="A89" s="11" t="n"/>
      <c r="B89" s="11" t="n"/>
      <c r="C89" s="11" t="n"/>
      <c r="D89" s="11" t="n"/>
      <c r="E89" s="11" t="n"/>
      <c r="F89" s="13" t="n"/>
      <c r="G89" s="13" t="n"/>
      <c r="H89" s="11" t="n"/>
    </row>
    <row r="90">
      <c r="A90" s="11" t="n"/>
      <c r="B90" s="11" t="n"/>
      <c r="C90" s="11" t="n"/>
      <c r="D90" s="11" t="n"/>
      <c r="E90" s="11" t="n"/>
      <c r="F90" s="13" t="n"/>
      <c r="G90" s="13" t="n"/>
      <c r="H90" s="11" t="n"/>
    </row>
    <row r="91">
      <c r="A91" s="11" t="n"/>
      <c r="B91" s="11" t="n"/>
      <c r="C91" s="11" t="n"/>
      <c r="D91" s="11" t="n"/>
      <c r="E91" s="11" t="n"/>
      <c r="F91" s="13" t="n"/>
      <c r="G91" s="13" t="n"/>
      <c r="H91" s="11" t="n"/>
    </row>
    <row r="92">
      <c r="A92" s="11" t="n"/>
      <c r="B92" s="11" t="n"/>
      <c r="C92" s="11" t="n"/>
      <c r="D92" s="11" t="n"/>
      <c r="E92" s="11" t="n"/>
      <c r="F92" s="13" t="n"/>
      <c r="G92" s="13" t="n"/>
      <c r="H92" s="11" t="n"/>
    </row>
    <row r="93">
      <c r="A93" s="11" t="n"/>
      <c r="B93" s="11" t="n"/>
      <c r="C93" s="11" t="n"/>
      <c r="D93" s="11" t="n"/>
      <c r="E93" s="11" t="n"/>
      <c r="F93" s="13" t="n"/>
      <c r="G93" s="13" t="n"/>
      <c r="H93" s="11" t="n"/>
    </row>
    <row r="94">
      <c r="A94" s="11" t="n"/>
      <c r="B94" s="11" t="n"/>
      <c r="C94" s="11" t="n"/>
      <c r="D94" s="11" t="n"/>
      <c r="E94" s="11" t="n"/>
      <c r="F94" s="13" t="n"/>
      <c r="G94" s="13" t="n"/>
      <c r="H94" s="11" t="n"/>
    </row>
    <row r="95">
      <c r="A95" s="11" t="n"/>
      <c r="B95" s="11" t="n"/>
      <c r="C95" s="11" t="n"/>
      <c r="D95" s="11" t="n"/>
      <c r="E95" s="11" t="n"/>
      <c r="F95" s="13" t="n"/>
      <c r="G95" s="13" t="n"/>
      <c r="H95" s="11" t="n"/>
    </row>
    <row r="96">
      <c r="A96" s="11" t="n"/>
      <c r="B96" s="11" t="n"/>
      <c r="C96" s="11" t="n"/>
      <c r="D96" s="11" t="n"/>
      <c r="E96" s="11" t="n"/>
      <c r="F96" s="13" t="n"/>
      <c r="G96" s="13" t="n"/>
      <c r="H96" s="11" t="n"/>
    </row>
    <row r="97">
      <c r="A97" s="11" t="n"/>
      <c r="B97" s="11" t="n"/>
      <c r="C97" s="11" t="n"/>
      <c r="D97" s="11" t="n"/>
      <c r="E97" s="11" t="n"/>
      <c r="F97" s="13" t="n"/>
      <c r="G97" s="13" t="n"/>
      <c r="H97" s="11" t="n"/>
    </row>
    <row r="98">
      <c r="A98" s="11" t="n"/>
      <c r="B98" s="11" t="n"/>
      <c r="C98" s="11" t="n"/>
      <c r="D98" s="11" t="n"/>
      <c r="E98" s="11" t="n"/>
      <c r="F98" s="13" t="n"/>
      <c r="G98" s="13" t="n"/>
      <c r="H98" s="11" t="n"/>
    </row>
    <row r="99">
      <c r="A99" s="11" t="n"/>
      <c r="B99" s="11" t="n"/>
      <c r="C99" s="11" t="n"/>
      <c r="D99" s="11" t="n"/>
      <c r="E99" s="11" t="n"/>
      <c r="F99" s="13" t="n"/>
      <c r="G99" s="13" t="n"/>
      <c r="H99" s="11" t="n"/>
    </row>
    <row r="100">
      <c r="A100" s="11" t="n"/>
      <c r="B100" s="11" t="n"/>
      <c r="C100" s="11" t="n"/>
      <c r="D100" s="11" t="n"/>
      <c r="E100" s="11" t="n"/>
      <c r="F100" s="13" t="n"/>
      <c r="G100" s="13" t="n"/>
      <c r="H100" s="11" t="n"/>
    </row>
    <row r="101">
      <c r="A101" s="11" t="n"/>
      <c r="B101" s="11" t="n"/>
      <c r="C101" s="11" t="n"/>
      <c r="D101" s="11" t="n"/>
      <c r="E101" s="11" t="n"/>
      <c r="F101" s="13" t="n"/>
      <c r="G101" s="13" t="n"/>
      <c r="H101" s="11" t="n"/>
    </row>
    <row r="102">
      <c r="A102" s="11" t="n"/>
      <c r="B102" s="11" t="n"/>
      <c r="C102" s="11" t="n"/>
      <c r="D102" s="11" t="n"/>
      <c r="E102" s="11" t="n"/>
      <c r="F102" s="13" t="n"/>
      <c r="G102" s="13" t="n"/>
      <c r="H102" s="11" t="n"/>
    </row>
    <row r="103">
      <c r="A103" s="11" t="n"/>
      <c r="B103" s="11" t="n"/>
      <c r="C103" s="11" t="n"/>
      <c r="D103" s="11" t="n"/>
      <c r="E103" s="11" t="n"/>
      <c r="F103" s="13" t="n"/>
      <c r="G103" s="13" t="n"/>
      <c r="H103" s="11" t="n"/>
    </row>
    <row r="104">
      <c r="A104" s="11" t="n"/>
      <c r="B104" s="11" t="n"/>
      <c r="C104" s="11" t="n"/>
      <c r="D104" s="11" t="n"/>
      <c r="E104" s="11" t="n"/>
      <c r="F104" s="13" t="n"/>
      <c r="G104" s="13" t="n"/>
      <c r="H104" s="11" t="n"/>
    </row>
    <row r="105">
      <c r="A105" s="11" t="n"/>
      <c r="B105" s="11" t="n"/>
      <c r="C105" s="11" t="n"/>
      <c r="D105" s="11" t="n"/>
      <c r="E105" s="11" t="n"/>
      <c r="F105" s="13" t="n"/>
      <c r="G105" s="13" t="n"/>
      <c r="H105" s="11" t="n"/>
    </row>
    <row r="106">
      <c r="A106" s="11" t="n"/>
      <c r="B106" s="11" t="n"/>
      <c r="C106" s="11" t="n"/>
      <c r="D106" s="11" t="n"/>
      <c r="E106" s="11" t="n"/>
      <c r="F106" s="13" t="n"/>
      <c r="G106" s="13" t="n"/>
      <c r="H106" s="11" t="n"/>
    </row>
    <row r="107">
      <c r="A107" s="11" t="n"/>
      <c r="B107" s="11" t="n"/>
      <c r="C107" s="11" t="n"/>
      <c r="D107" s="11" t="n"/>
      <c r="E107" s="11" t="n"/>
      <c r="F107" s="13" t="n"/>
      <c r="G107" s="13" t="n"/>
      <c r="H107" s="11" t="n"/>
    </row>
    <row r="108">
      <c r="A108" s="11" t="n"/>
      <c r="B108" s="11" t="n"/>
      <c r="C108" s="11" t="n"/>
      <c r="D108" s="11" t="n"/>
      <c r="E108" s="11" t="n"/>
      <c r="F108" s="13" t="n"/>
      <c r="G108" s="13" t="n"/>
      <c r="H108" s="11" t="n"/>
    </row>
    <row r="109">
      <c r="A109" s="11" t="n"/>
      <c r="B109" s="11" t="n"/>
      <c r="C109" s="11" t="n"/>
      <c r="D109" s="11" t="n"/>
      <c r="E109" s="11" t="n"/>
      <c r="F109" s="13" t="n"/>
      <c r="G109" s="13" t="n"/>
      <c r="H109" s="11" t="n"/>
    </row>
    <row r="110">
      <c r="A110" s="11" t="n"/>
      <c r="B110" s="11" t="n"/>
      <c r="C110" s="11" t="n"/>
      <c r="D110" s="11" t="n"/>
      <c r="E110" s="11" t="n"/>
      <c r="F110" s="13" t="n"/>
      <c r="G110" s="13" t="n"/>
      <c r="H110" s="11" t="n"/>
    </row>
    <row r="111">
      <c r="A111" s="11" t="n"/>
      <c r="B111" s="11" t="n"/>
      <c r="C111" s="11" t="n"/>
      <c r="D111" s="11" t="n"/>
      <c r="E111" s="11" t="n"/>
      <c r="F111" s="13" t="n"/>
      <c r="G111" s="13" t="n"/>
      <c r="H111" s="11" t="n"/>
    </row>
    <row r="112">
      <c r="A112" s="11" t="n"/>
      <c r="B112" s="11" t="n"/>
      <c r="C112" s="11" t="n"/>
      <c r="D112" s="11" t="n"/>
      <c r="E112" s="11" t="n"/>
      <c r="F112" s="13" t="n"/>
      <c r="G112" s="13" t="n"/>
      <c r="H112" s="11" t="n"/>
    </row>
    <row r="113">
      <c r="A113" s="11" t="n"/>
      <c r="B113" s="11" t="n"/>
      <c r="C113" s="11" t="n"/>
      <c r="D113" s="11" t="n"/>
      <c r="E113" s="11" t="n"/>
      <c r="F113" s="13" t="n"/>
      <c r="G113" s="13" t="n"/>
      <c r="H113" s="11" t="n"/>
    </row>
    <row r="114">
      <c r="A114" s="11" t="n"/>
      <c r="B114" s="11" t="n"/>
      <c r="C114" s="11" t="n"/>
      <c r="D114" s="11" t="n"/>
      <c r="E114" s="11" t="n"/>
      <c r="F114" s="13" t="n"/>
      <c r="G114" s="13" t="n"/>
      <c r="H114" s="11" t="n"/>
    </row>
    <row r="115">
      <c r="A115" s="11" t="n"/>
      <c r="B115" s="11" t="n"/>
      <c r="C115" s="11" t="n"/>
      <c r="D115" s="11" t="n"/>
      <c r="E115" s="11" t="n"/>
      <c r="F115" s="13" t="n"/>
      <c r="G115" s="13" t="n"/>
      <c r="H115" s="11" t="n"/>
    </row>
    <row r="116">
      <c r="A116" s="11" t="n"/>
      <c r="B116" s="11" t="n"/>
      <c r="C116" s="11" t="n"/>
      <c r="D116" s="11" t="n"/>
      <c r="E116" s="11" t="n"/>
      <c r="F116" s="13" t="n"/>
      <c r="G116" s="13" t="n"/>
      <c r="H116" s="11" t="n"/>
    </row>
    <row r="117">
      <c r="A117" s="11" t="n"/>
      <c r="B117" s="11" t="n"/>
      <c r="C117" s="11" t="n"/>
      <c r="D117" s="11" t="n"/>
      <c r="E117" s="11" t="n"/>
      <c r="F117" s="13" t="n"/>
      <c r="G117" s="13" t="n"/>
      <c r="H117" s="11" t="n"/>
    </row>
    <row r="118">
      <c r="A118" s="11" t="n"/>
      <c r="B118" s="11" t="n"/>
      <c r="C118" s="11" t="n"/>
      <c r="D118" s="11" t="n"/>
      <c r="E118" s="11" t="n"/>
      <c r="F118" s="13" t="n"/>
      <c r="G118" s="13" t="n"/>
      <c r="H118" s="11" t="n"/>
    </row>
    <row r="119">
      <c r="A119" s="11" t="n"/>
      <c r="B119" s="11" t="n"/>
      <c r="C119" s="11" t="n"/>
      <c r="D119" s="11" t="n"/>
      <c r="E119" s="11" t="n"/>
      <c r="F119" s="13" t="n"/>
      <c r="G119" s="13" t="n"/>
      <c r="H119" s="11" t="n"/>
    </row>
    <row r="120">
      <c r="A120" s="11" t="n"/>
      <c r="B120" s="11" t="n"/>
      <c r="C120" s="11" t="n"/>
      <c r="D120" s="11" t="n"/>
      <c r="E120" s="11" t="n"/>
      <c r="F120" s="13" t="n"/>
      <c r="G120" s="13" t="n"/>
      <c r="H120" s="11" t="n"/>
    </row>
    <row r="121">
      <c r="A121" s="11" t="n"/>
      <c r="B121" s="11" t="n"/>
      <c r="C121" s="11" t="n"/>
      <c r="D121" s="11" t="n"/>
      <c r="E121" s="11" t="n"/>
      <c r="F121" s="13" t="n"/>
      <c r="G121" s="13" t="n"/>
      <c r="H121" s="11" t="n"/>
    </row>
    <row r="122">
      <c r="A122" s="11" t="n"/>
      <c r="B122" s="11" t="n"/>
      <c r="C122" s="11" t="n"/>
      <c r="D122" s="11" t="n"/>
      <c r="E122" s="11" t="n"/>
      <c r="F122" s="13" t="n"/>
      <c r="G122" s="13" t="n"/>
      <c r="H122" s="11" t="n"/>
    </row>
    <row r="123">
      <c r="A123" s="11" t="n"/>
      <c r="B123" s="11" t="n"/>
      <c r="C123" s="11" t="n"/>
      <c r="D123" s="11" t="n"/>
      <c r="E123" s="11" t="n"/>
      <c r="F123" s="13" t="n"/>
      <c r="G123" s="13" t="n"/>
      <c r="H123" s="11" t="n"/>
    </row>
    <row r="124">
      <c r="A124" s="11" t="n"/>
      <c r="B124" s="11" t="n"/>
      <c r="C124" s="11" t="n"/>
      <c r="D124" s="11" t="n"/>
      <c r="E124" s="11" t="n"/>
      <c r="F124" s="13" t="n"/>
      <c r="G124" s="13" t="n"/>
      <c r="H124" s="11" t="n"/>
    </row>
    <row r="125">
      <c r="A125" s="11" t="n"/>
      <c r="B125" s="11" t="n"/>
      <c r="C125" s="11" t="n"/>
      <c r="D125" s="11" t="n"/>
      <c r="E125" s="11" t="n"/>
      <c r="F125" s="13" t="n"/>
      <c r="G125" s="13" t="n"/>
      <c r="H125" s="11" t="n"/>
    </row>
    <row r="126">
      <c r="A126" s="11" t="n"/>
      <c r="B126" s="11" t="n"/>
      <c r="C126" s="11" t="n"/>
      <c r="D126" s="11" t="n"/>
      <c r="E126" s="11" t="n"/>
      <c r="F126" s="13" t="n"/>
      <c r="G126" s="13" t="n"/>
      <c r="H126" s="11" t="n"/>
    </row>
    <row r="127">
      <c r="A127" s="11" t="n"/>
      <c r="B127" s="11" t="n"/>
      <c r="C127" s="11" t="n"/>
      <c r="D127" s="11" t="n"/>
      <c r="E127" s="11" t="n"/>
      <c r="F127" s="13" t="n"/>
      <c r="G127" s="13" t="n"/>
      <c r="H127" s="11" t="n"/>
    </row>
    <row r="128">
      <c r="A128" s="11" t="n"/>
      <c r="B128" s="11" t="n"/>
      <c r="C128" s="11" t="n"/>
      <c r="D128" s="11" t="n"/>
      <c r="E128" s="11" t="n"/>
      <c r="F128" s="13" t="n"/>
      <c r="G128" s="13" t="n"/>
      <c r="H128" s="11" t="n"/>
    </row>
    <row r="129">
      <c r="A129" s="11" t="n"/>
      <c r="B129" s="11" t="n"/>
      <c r="C129" s="11" t="n"/>
      <c r="D129" s="11" t="n"/>
      <c r="E129" s="11" t="n"/>
      <c r="F129" s="13" t="n"/>
      <c r="G129" s="13" t="n"/>
      <c r="H129" s="11" t="n"/>
    </row>
    <row r="130">
      <c r="A130" s="11" t="n"/>
      <c r="B130" s="11" t="n"/>
      <c r="C130" s="11" t="n"/>
      <c r="D130" s="11" t="n"/>
      <c r="E130" s="11" t="n"/>
      <c r="F130" s="13" t="n"/>
      <c r="G130" s="13" t="n"/>
      <c r="H130" s="11" t="n"/>
    </row>
    <row r="131">
      <c r="A131" s="11" t="n"/>
      <c r="B131" s="11" t="n"/>
      <c r="C131" s="11" t="n"/>
      <c r="D131" s="11" t="n"/>
      <c r="E131" s="11" t="n"/>
      <c r="F131" s="13" t="n"/>
      <c r="G131" s="13" t="n"/>
      <c r="H131" s="11" t="n"/>
    </row>
    <row r="132">
      <c r="A132" s="11" t="n"/>
      <c r="B132" s="11" t="n"/>
      <c r="C132" s="11" t="n"/>
      <c r="D132" s="11" t="n"/>
      <c r="E132" s="11" t="n"/>
      <c r="F132" s="13" t="n"/>
      <c r="G132" s="13" t="n"/>
      <c r="H132" s="11" t="n"/>
    </row>
    <row r="133">
      <c r="A133" s="11" t="n"/>
      <c r="B133" s="11" t="n"/>
      <c r="C133" s="11" t="n"/>
      <c r="D133" s="11" t="n"/>
      <c r="E133" s="11" t="n"/>
      <c r="F133" s="13" t="n"/>
      <c r="G133" s="13" t="n"/>
      <c r="H133" s="11" t="n"/>
    </row>
    <row r="134">
      <c r="A134" s="11" t="n"/>
      <c r="B134" s="11" t="n"/>
      <c r="C134" s="11" t="n"/>
      <c r="D134" s="11" t="n"/>
      <c r="E134" s="11" t="n"/>
      <c r="F134" s="13" t="n"/>
      <c r="G134" s="13" t="n"/>
      <c r="H134" s="11" t="n"/>
    </row>
    <row r="135">
      <c r="A135" s="11" t="n"/>
      <c r="B135" s="11" t="n"/>
      <c r="C135" s="11" t="n"/>
      <c r="D135" s="11" t="n"/>
      <c r="E135" s="11" t="n"/>
      <c r="F135" s="13" t="n"/>
      <c r="G135" s="13" t="n"/>
      <c r="H135" s="11" t="n"/>
    </row>
    <row r="136">
      <c r="A136" s="11" t="n"/>
      <c r="B136" s="11" t="n"/>
      <c r="C136" s="11" t="n"/>
      <c r="D136" s="11" t="n"/>
      <c r="E136" s="11" t="n"/>
      <c r="F136" s="13" t="n"/>
      <c r="G136" s="13" t="n"/>
      <c r="H136" s="11" t="n"/>
    </row>
    <row r="137">
      <c r="A137" s="11" t="n"/>
      <c r="B137" s="11" t="n"/>
      <c r="C137" s="11" t="n"/>
      <c r="D137" s="11" t="n"/>
      <c r="E137" s="11" t="n"/>
      <c r="F137" s="13" t="n"/>
      <c r="G137" s="13" t="n"/>
      <c r="H137" s="11" t="n"/>
    </row>
    <row r="138">
      <c r="A138" s="11" t="n"/>
      <c r="B138" s="11" t="n"/>
      <c r="C138" s="11" t="n"/>
      <c r="D138" s="11" t="n"/>
      <c r="E138" s="11" t="n"/>
      <c r="F138" s="13" t="n"/>
      <c r="G138" s="13" t="n"/>
      <c r="H138" s="11" t="n"/>
    </row>
    <row r="139">
      <c r="A139" s="11" t="n"/>
      <c r="B139" s="11" t="n"/>
      <c r="C139" s="11" t="n"/>
      <c r="D139" s="11" t="n"/>
      <c r="E139" s="11" t="n"/>
      <c r="F139" s="13" t="n"/>
      <c r="G139" s="13" t="n"/>
      <c r="H139" s="11" t="n"/>
    </row>
    <row r="140">
      <c r="A140" s="11" t="n"/>
      <c r="B140" s="11" t="n"/>
      <c r="C140" s="11" t="n"/>
      <c r="D140" s="11" t="n"/>
      <c r="E140" s="11" t="n"/>
      <c r="F140" s="13" t="n"/>
      <c r="G140" s="13" t="n"/>
      <c r="H140" s="11" t="n"/>
    </row>
    <row r="141">
      <c r="A141" s="11" t="n"/>
      <c r="B141" s="11" t="n"/>
      <c r="C141" s="11" t="n"/>
      <c r="D141" s="11" t="n"/>
      <c r="E141" s="11" t="n"/>
      <c r="F141" s="13" t="n"/>
      <c r="G141" s="13" t="n"/>
      <c r="H141" s="11" t="n"/>
    </row>
    <row r="142">
      <c r="A142" s="11" t="n"/>
      <c r="B142" s="11" t="n"/>
      <c r="C142" s="11" t="n"/>
      <c r="D142" s="11" t="n"/>
      <c r="E142" s="11" t="n"/>
      <c r="F142" s="13" t="n"/>
      <c r="G142" s="13" t="n"/>
      <c r="H142" s="11" t="n"/>
    </row>
    <row r="143">
      <c r="A143" s="11" t="n"/>
      <c r="B143" s="11" t="n"/>
      <c r="C143" s="11" t="n"/>
      <c r="D143" s="11" t="n"/>
      <c r="E143" s="11" t="n"/>
      <c r="F143" s="13" t="n"/>
      <c r="G143" s="13" t="n"/>
      <c r="H143" s="11" t="n"/>
    </row>
    <row r="144">
      <c r="A144" s="11" t="n"/>
      <c r="B144" s="11" t="n"/>
      <c r="C144" s="11" t="n"/>
      <c r="D144" s="11" t="n"/>
      <c r="E144" s="11" t="n"/>
      <c r="F144" s="13" t="n"/>
      <c r="G144" s="13" t="n"/>
      <c r="H144" s="11" t="n"/>
    </row>
    <row r="145">
      <c r="A145" s="11" t="n"/>
      <c r="B145" s="11" t="n"/>
      <c r="C145" s="11" t="n"/>
      <c r="D145" s="11" t="n"/>
      <c r="E145" s="11" t="n"/>
      <c r="F145" s="13" t="n"/>
      <c r="G145" s="13" t="n"/>
      <c r="H145" s="11" t="n"/>
    </row>
    <row r="146">
      <c r="A146" s="11" t="n"/>
      <c r="B146" s="11" t="n"/>
      <c r="C146" s="11" t="n"/>
      <c r="D146" s="11" t="n"/>
      <c r="E146" s="11" t="n"/>
      <c r="F146" s="13" t="n"/>
      <c r="G146" s="13" t="n"/>
      <c r="H146" s="11" t="n"/>
    </row>
    <row r="147">
      <c r="A147" s="11" t="n"/>
      <c r="B147" s="11" t="n"/>
      <c r="C147" s="11" t="n"/>
      <c r="D147" s="11" t="n"/>
      <c r="E147" s="11" t="n"/>
      <c r="F147" s="13" t="n"/>
      <c r="G147" s="13" t="n"/>
      <c r="H147" s="11" t="n"/>
    </row>
    <row r="148">
      <c r="A148" s="11" t="n"/>
      <c r="B148" s="11" t="n"/>
      <c r="C148" s="11" t="n"/>
      <c r="D148" s="11" t="n"/>
      <c r="E148" s="11" t="n"/>
      <c r="F148" s="13" t="n"/>
      <c r="G148" s="13" t="n"/>
      <c r="H148" s="11" t="n"/>
    </row>
    <row r="149">
      <c r="A149" s="11" t="n"/>
      <c r="B149" s="11" t="n"/>
      <c r="C149" s="11" t="n"/>
      <c r="D149" s="11" t="n"/>
      <c r="E149" s="11" t="n"/>
      <c r="F149" s="13" t="n"/>
      <c r="G149" s="13" t="n"/>
      <c r="H149" s="11" t="n"/>
    </row>
    <row r="150">
      <c r="A150" s="11" t="n"/>
      <c r="B150" s="11" t="n"/>
      <c r="C150" s="11" t="n"/>
      <c r="D150" s="11" t="n"/>
      <c r="E150" s="11" t="n"/>
      <c r="F150" s="13" t="n"/>
      <c r="G150" s="13" t="n"/>
      <c r="H150" s="11" t="n"/>
    </row>
    <row r="151">
      <c r="A151" s="11" t="n"/>
      <c r="B151" s="11" t="n"/>
      <c r="C151" s="11" t="n"/>
      <c r="D151" s="11" t="n"/>
      <c r="E151" s="11" t="n"/>
      <c r="F151" s="13" t="n"/>
      <c r="G151" s="13" t="n"/>
      <c r="H151" s="11" t="n"/>
    </row>
    <row r="152">
      <c r="A152" s="11" t="n"/>
      <c r="B152" s="11" t="n"/>
      <c r="C152" s="11" t="n"/>
      <c r="D152" s="11" t="n"/>
      <c r="E152" s="11" t="n"/>
      <c r="F152" s="13" t="n"/>
      <c r="G152" s="13" t="n"/>
      <c r="H152" s="11" t="n"/>
    </row>
    <row r="153">
      <c r="A153" s="11" t="n"/>
      <c r="B153" s="11" t="n"/>
      <c r="C153" s="11" t="n"/>
      <c r="D153" s="11" t="n"/>
      <c r="E153" s="11" t="n"/>
      <c r="F153" s="13" t="n"/>
      <c r="G153" s="13" t="n"/>
      <c r="H153" s="11" t="n"/>
    </row>
    <row r="154">
      <c r="A154" s="11" t="n"/>
      <c r="B154" s="11" t="n"/>
      <c r="C154" s="11" t="n"/>
      <c r="D154" s="11" t="n"/>
      <c r="E154" s="11" t="n"/>
      <c r="F154" s="13" t="n"/>
      <c r="G154" s="13" t="n"/>
      <c r="H154" s="11" t="n"/>
    </row>
    <row r="155">
      <c r="A155" s="11" t="n"/>
      <c r="B155" s="11" t="n"/>
      <c r="C155" s="11" t="n"/>
      <c r="D155" s="11" t="n"/>
      <c r="E155" s="11" t="n"/>
      <c r="F155" s="13" t="n"/>
      <c r="G155" s="13" t="n"/>
      <c r="H155" s="11" t="n"/>
    </row>
    <row r="156">
      <c r="A156" s="11" t="n"/>
      <c r="B156" s="11" t="n"/>
      <c r="C156" s="11" t="n"/>
      <c r="D156" s="11" t="n"/>
      <c r="E156" s="11" t="n"/>
      <c r="F156" s="13" t="n"/>
      <c r="G156" s="13" t="n"/>
      <c r="H156" s="11" t="n"/>
    </row>
    <row r="157">
      <c r="A157" s="11" t="n"/>
      <c r="B157" s="11" t="n"/>
      <c r="C157" s="11" t="n"/>
      <c r="D157" s="11" t="n"/>
      <c r="E157" s="11" t="n"/>
      <c r="F157" s="13" t="n"/>
      <c r="G157" s="13" t="n"/>
      <c r="H157" s="11" t="n"/>
    </row>
    <row r="158">
      <c r="A158" s="11" t="n"/>
      <c r="B158" s="11" t="n"/>
      <c r="C158" s="11" t="n"/>
      <c r="D158" s="11" t="n"/>
      <c r="E158" s="11" t="n"/>
      <c r="F158" s="13" t="n"/>
      <c r="G158" s="13" t="n"/>
      <c r="H158" s="11" t="n"/>
    </row>
    <row r="159">
      <c r="A159" s="11" t="n"/>
      <c r="B159" s="11" t="n"/>
      <c r="C159" s="11" t="n"/>
      <c r="D159" s="11" t="n"/>
      <c r="E159" s="11" t="n"/>
      <c r="F159" s="13" t="n"/>
      <c r="G159" s="13" t="n"/>
      <c r="H159" s="11" t="n"/>
    </row>
    <row r="160">
      <c r="A160" s="11" t="n"/>
      <c r="B160" s="11" t="n"/>
      <c r="C160" s="11" t="n"/>
      <c r="D160" s="11" t="n"/>
      <c r="E160" s="11" t="n"/>
      <c r="F160" s="13" t="n"/>
      <c r="G160" s="13" t="n"/>
      <c r="H160" s="11" t="n"/>
    </row>
    <row r="161">
      <c r="A161" s="11" t="n"/>
      <c r="B161" s="11" t="n"/>
      <c r="C161" s="11" t="n"/>
      <c r="D161" s="11" t="n"/>
      <c r="E161" s="11" t="n"/>
      <c r="F161" s="13" t="n"/>
      <c r="G161" s="13" t="n"/>
      <c r="H161" s="11" t="n"/>
    </row>
    <row r="162">
      <c r="A162" s="11" t="n"/>
      <c r="B162" s="11" t="n"/>
      <c r="C162" s="11" t="n"/>
      <c r="D162" s="11" t="n"/>
      <c r="E162" s="11" t="n"/>
      <c r="F162" s="13" t="n"/>
      <c r="G162" s="13" t="n"/>
      <c r="H162" s="11" t="n"/>
    </row>
    <row r="163">
      <c r="A163" s="11" t="n"/>
      <c r="B163" s="11" t="n"/>
      <c r="C163" s="11" t="n"/>
      <c r="D163" s="11" t="n"/>
      <c r="E163" s="11" t="n"/>
      <c r="F163" s="13" t="n"/>
      <c r="G163" s="13" t="n"/>
      <c r="H163" s="11" t="n"/>
    </row>
    <row r="164">
      <c r="A164" s="11" t="n"/>
      <c r="B164" s="11" t="n"/>
      <c r="C164" s="11" t="n"/>
      <c r="D164" s="11" t="n"/>
      <c r="E164" s="11" t="n"/>
      <c r="F164" s="13" t="n"/>
      <c r="G164" s="13" t="n"/>
      <c r="H164" s="11" t="n"/>
    </row>
    <row r="165">
      <c r="A165" s="11" t="n"/>
      <c r="B165" s="11" t="n"/>
      <c r="C165" s="11" t="n"/>
      <c r="D165" s="11" t="n"/>
      <c r="E165" s="11" t="n"/>
      <c r="F165" s="13" t="n"/>
      <c r="G165" s="13" t="n"/>
      <c r="H165" s="11" t="n"/>
    </row>
    <row r="166">
      <c r="A166" s="11" t="n"/>
      <c r="B166" s="11" t="n"/>
      <c r="C166" s="11" t="n"/>
      <c r="D166" s="11" t="n"/>
      <c r="E166" s="11" t="n"/>
      <c r="F166" s="13" t="n"/>
      <c r="G166" s="13" t="n"/>
      <c r="H166" s="11" t="n"/>
    </row>
    <row r="167">
      <c r="A167" s="11" t="n"/>
      <c r="B167" s="11" t="n"/>
      <c r="C167" s="11" t="n"/>
      <c r="D167" s="11" t="n"/>
      <c r="E167" s="11" t="n"/>
      <c r="F167" s="13" t="n"/>
      <c r="G167" s="13" t="n"/>
      <c r="H167" s="11" t="n"/>
    </row>
    <row r="168">
      <c r="A168" s="11" t="n"/>
      <c r="B168" s="11" t="n"/>
      <c r="C168" s="11" t="n"/>
      <c r="D168" s="11" t="n"/>
      <c r="E168" s="11" t="n"/>
      <c r="F168" s="13" t="n"/>
      <c r="G168" s="13" t="n"/>
      <c r="H168" s="11" t="n"/>
    </row>
    <row r="169">
      <c r="A169" s="11" t="n"/>
      <c r="B169" s="11" t="n"/>
      <c r="C169" s="11" t="n"/>
      <c r="D169" s="11" t="n"/>
      <c r="E169" s="11" t="n"/>
      <c r="F169" s="13" t="n"/>
      <c r="G169" s="13" t="n"/>
      <c r="H169" s="11" t="n"/>
    </row>
    <row r="170">
      <c r="A170" s="11" t="n"/>
      <c r="B170" s="11" t="n"/>
      <c r="C170" s="11" t="n"/>
      <c r="D170" s="11" t="n"/>
      <c r="E170" s="11" t="n"/>
      <c r="F170" s="13" t="n"/>
      <c r="G170" s="13" t="n"/>
      <c r="H170" s="11" t="n"/>
    </row>
    <row r="171">
      <c r="A171" s="11" t="n"/>
      <c r="B171" s="11" t="n"/>
      <c r="C171" s="11" t="n"/>
      <c r="D171" s="11" t="n"/>
      <c r="E171" s="11" t="n"/>
      <c r="F171" s="13" t="n"/>
      <c r="G171" s="13" t="n"/>
      <c r="H171" s="11" t="n"/>
    </row>
    <row r="172">
      <c r="A172" s="11" t="n"/>
      <c r="B172" s="11" t="n"/>
      <c r="C172" s="11" t="n"/>
      <c r="D172" s="11" t="n"/>
      <c r="E172" s="11" t="n"/>
      <c r="F172" s="13" t="n"/>
      <c r="G172" s="13" t="n"/>
      <c r="H172" s="11" t="n"/>
    </row>
    <row r="173">
      <c r="A173" s="11" t="n"/>
      <c r="B173" s="11" t="n"/>
      <c r="C173" s="11" t="n"/>
      <c r="D173" s="11" t="n"/>
      <c r="E173" s="11" t="n"/>
      <c r="F173" s="13" t="n"/>
      <c r="G173" s="13" t="n"/>
      <c r="H173" s="11" t="n"/>
    </row>
    <row r="174">
      <c r="A174" s="11" t="n"/>
      <c r="B174" s="11" t="n"/>
      <c r="C174" s="11" t="n"/>
      <c r="D174" s="11" t="n"/>
      <c r="E174" s="11" t="n"/>
      <c r="F174" s="13" t="n"/>
      <c r="G174" s="13" t="n"/>
      <c r="H174" s="11" t="n"/>
    </row>
    <row r="175">
      <c r="A175" s="11" t="n"/>
      <c r="B175" s="11" t="n"/>
      <c r="C175" s="11" t="n"/>
      <c r="D175" s="11" t="n"/>
      <c r="E175" s="11" t="n"/>
      <c r="F175" s="13" t="n"/>
      <c r="G175" s="13" t="n"/>
      <c r="H175" s="11" t="n"/>
    </row>
    <row r="176">
      <c r="A176" s="11" t="n"/>
      <c r="B176" s="11" t="n"/>
      <c r="C176" s="11" t="n"/>
      <c r="D176" s="11" t="n"/>
      <c r="E176" s="11" t="n"/>
      <c r="F176" s="13" t="n"/>
      <c r="G176" s="13" t="n"/>
      <c r="H176" s="11" t="n"/>
    </row>
    <row r="177">
      <c r="A177" s="11" t="n"/>
      <c r="B177" s="11" t="n"/>
      <c r="C177" s="11" t="n"/>
      <c r="D177" s="11" t="n"/>
      <c r="E177" s="11" t="n"/>
      <c r="F177" s="13" t="n"/>
      <c r="G177" s="13" t="n"/>
      <c r="H177" s="11" t="n"/>
    </row>
    <row r="178">
      <c r="A178" s="11" t="n"/>
      <c r="B178" s="11" t="n"/>
      <c r="C178" s="11" t="n"/>
      <c r="D178" s="11" t="n"/>
      <c r="E178" s="11" t="n"/>
      <c r="F178" s="13" t="n"/>
      <c r="G178" s="13" t="n"/>
      <c r="H178" s="11" t="n"/>
    </row>
    <row r="179">
      <c r="A179" s="11" t="n"/>
      <c r="B179" s="11" t="n"/>
      <c r="C179" s="11" t="n"/>
      <c r="D179" s="11" t="n"/>
      <c r="E179" s="11" t="n"/>
      <c r="F179" s="13" t="n"/>
      <c r="G179" s="13" t="n"/>
      <c r="H179" s="11" t="n"/>
    </row>
    <row r="180">
      <c r="A180" s="11" t="n"/>
      <c r="B180" s="11" t="n"/>
      <c r="C180" s="11" t="n"/>
      <c r="D180" s="11" t="n"/>
      <c r="E180" s="11" t="n"/>
      <c r="F180" s="13" t="n"/>
      <c r="G180" s="13" t="n"/>
      <c r="H180" s="11" t="n"/>
    </row>
    <row r="181">
      <c r="A181" s="11" t="n"/>
      <c r="B181" s="11" t="n"/>
      <c r="C181" s="11" t="n"/>
      <c r="D181" s="11" t="n"/>
      <c r="E181" s="11" t="n"/>
      <c r="F181" s="13" t="n"/>
      <c r="G181" s="13" t="n"/>
      <c r="H181" s="11" t="n"/>
    </row>
    <row r="182">
      <c r="A182" s="11" t="n"/>
      <c r="B182" s="11" t="n"/>
      <c r="C182" s="11" t="n"/>
      <c r="D182" s="11" t="n"/>
      <c r="E182" s="11" t="n"/>
      <c r="F182" s="13" t="n"/>
      <c r="G182" s="13" t="n"/>
      <c r="H182" s="11" t="n"/>
    </row>
    <row r="183">
      <c r="A183" s="11" t="n"/>
      <c r="B183" s="11" t="n"/>
      <c r="C183" s="11" t="n"/>
      <c r="D183" s="11" t="n"/>
      <c r="E183" s="11" t="n"/>
      <c r="F183" s="13" t="n"/>
      <c r="G183" s="13" t="n"/>
      <c r="H183" s="11" t="n"/>
    </row>
    <row r="184">
      <c r="A184" s="11" t="n"/>
      <c r="B184" s="11" t="n"/>
      <c r="C184" s="11" t="n"/>
      <c r="D184" s="11" t="n"/>
      <c r="E184" s="11" t="n"/>
      <c r="F184" s="13" t="n"/>
      <c r="G184" s="13" t="n"/>
      <c r="H184" s="11" t="n"/>
    </row>
    <row r="185">
      <c r="A185" s="11" t="n"/>
      <c r="B185" s="11" t="n"/>
      <c r="C185" s="11" t="n"/>
      <c r="D185" s="11" t="n"/>
      <c r="E185" s="11" t="n"/>
      <c r="F185" s="13" t="n"/>
      <c r="G185" s="13" t="n"/>
      <c r="H185" s="11" t="n"/>
    </row>
    <row r="186">
      <c r="A186" s="11" t="n"/>
      <c r="B186" s="11" t="n"/>
      <c r="C186" s="11" t="n"/>
      <c r="D186" s="11" t="n"/>
      <c r="E186" s="11" t="n"/>
      <c r="F186" s="13" t="n"/>
      <c r="G186" s="13" t="n"/>
      <c r="H186" s="11" t="n"/>
    </row>
    <row r="187">
      <c r="A187" s="11" t="n"/>
      <c r="B187" s="11" t="n"/>
      <c r="C187" s="11" t="n"/>
      <c r="D187" s="11" t="n"/>
      <c r="E187" s="11" t="n"/>
      <c r="F187" s="13" t="n"/>
      <c r="G187" s="13" t="n"/>
      <c r="H187" s="11" t="n"/>
    </row>
    <row r="188">
      <c r="A188" s="11" t="n"/>
      <c r="B188" s="11" t="n"/>
      <c r="C188" s="11" t="n"/>
      <c r="D188" s="11" t="n"/>
      <c r="E188" s="11" t="n"/>
      <c r="F188" s="13" t="n"/>
      <c r="G188" s="13" t="n"/>
      <c r="H188" s="11" t="n"/>
    </row>
    <row r="189">
      <c r="A189" s="11" t="n"/>
      <c r="B189" s="11" t="n"/>
      <c r="C189" s="11" t="n"/>
      <c r="D189" s="11" t="n"/>
      <c r="E189" s="11" t="n"/>
      <c r="F189" s="13" t="n"/>
      <c r="G189" s="13" t="n"/>
      <c r="H189" s="11" t="n"/>
    </row>
    <row r="190">
      <c r="A190" s="11" t="n"/>
      <c r="B190" s="11" t="n"/>
      <c r="C190" s="11" t="n"/>
      <c r="D190" s="11" t="n"/>
      <c r="E190" s="11" t="n"/>
      <c r="F190" s="13" t="n"/>
      <c r="G190" s="13" t="n"/>
      <c r="H190" s="11" t="n"/>
    </row>
    <row r="191">
      <c r="A191" s="11" t="n"/>
      <c r="B191" s="11" t="n"/>
      <c r="C191" s="11" t="n"/>
      <c r="D191" s="11" t="n"/>
      <c r="E191" s="11" t="n"/>
      <c r="F191" s="13" t="n"/>
      <c r="G191" s="13" t="n"/>
      <c r="H191" s="11" t="n"/>
    </row>
    <row r="192">
      <c r="A192" s="11" t="n"/>
      <c r="B192" s="11" t="n"/>
      <c r="C192" s="11" t="n"/>
      <c r="D192" s="11" t="n"/>
      <c r="E192" s="11" t="n"/>
      <c r="F192" s="13" t="n"/>
      <c r="G192" s="13" t="n"/>
      <c r="H192" s="11" t="n"/>
    </row>
    <row r="193">
      <c r="A193" s="11" t="n"/>
      <c r="B193" s="11" t="n"/>
      <c r="C193" s="11" t="n"/>
      <c r="D193" s="11" t="n"/>
      <c r="E193" s="11" t="n"/>
      <c r="F193" s="13" t="n"/>
      <c r="G193" s="13" t="n"/>
      <c r="H193" s="11" t="n"/>
    </row>
    <row r="194">
      <c r="A194" s="11" t="n"/>
      <c r="B194" s="11" t="n"/>
      <c r="C194" s="11" t="n"/>
      <c r="D194" s="11" t="n"/>
      <c r="E194" s="11" t="n"/>
      <c r="F194" s="13" t="n"/>
      <c r="G194" s="13" t="n"/>
      <c r="H194" s="11" t="n"/>
    </row>
    <row r="195">
      <c r="A195" s="11" t="n"/>
      <c r="B195" s="11" t="n"/>
      <c r="C195" s="11" t="n"/>
      <c r="D195" s="11" t="n"/>
      <c r="E195" s="11" t="n"/>
      <c r="F195" s="13" t="n"/>
      <c r="G195" s="13" t="n"/>
      <c r="H195" s="11" t="n"/>
    </row>
    <row r="196">
      <c r="A196" s="11" t="n"/>
      <c r="B196" s="11" t="n"/>
      <c r="C196" s="11" t="n"/>
      <c r="D196" s="11" t="n"/>
      <c r="E196" s="11" t="n"/>
      <c r="F196" s="13" t="n"/>
      <c r="G196" s="13" t="n"/>
      <c r="H196" s="11" t="n"/>
    </row>
    <row r="197">
      <c r="A197" s="11" t="n"/>
      <c r="B197" s="11" t="n"/>
      <c r="C197" s="11" t="n"/>
      <c r="D197" s="11" t="n"/>
      <c r="E197" s="11" t="n"/>
      <c r="F197" s="13" t="n"/>
      <c r="G197" s="13" t="n"/>
      <c r="H197" s="11" t="n"/>
    </row>
    <row r="198">
      <c r="A198" s="11" t="n"/>
      <c r="B198" s="11" t="n"/>
      <c r="C198" s="11" t="n"/>
      <c r="D198" s="11" t="n"/>
      <c r="E198" s="11" t="n"/>
      <c r="F198" s="13" t="n"/>
      <c r="G198" s="13" t="n"/>
      <c r="H198" s="11" t="n"/>
    </row>
    <row r="199">
      <c r="A199" s="11" t="n"/>
      <c r="B199" s="11" t="n"/>
      <c r="C199" s="11" t="n"/>
      <c r="D199" s="11" t="n"/>
      <c r="E199" s="11" t="n"/>
      <c r="F199" s="13" t="n"/>
      <c r="G199" s="13" t="n"/>
      <c r="H199" s="11" t="n"/>
    </row>
    <row r="200">
      <c r="A200" s="11" t="n"/>
      <c r="B200" s="11" t="n"/>
      <c r="C200" s="11" t="n"/>
      <c r="D200" s="11" t="n"/>
      <c r="E200" s="11" t="n"/>
      <c r="F200" s="13" t="n"/>
      <c r="G200" s="13" t="n"/>
      <c r="H200" s="11" t="n"/>
    </row>
    <row r="201">
      <c r="A201" s="11" t="n"/>
      <c r="B201" s="11" t="n"/>
      <c r="C201" s="11" t="n"/>
      <c r="D201" s="11" t="n"/>
      <c r="E201" s="11" t="n"/>
      <c r="F201" s="13" t="n"/>
      <c r="G201" s="13" t="n"/>
      <c r="H201" s="11" t="n"/>
    </row>
  </sheetData>
  <dataValidations count="3">
    <dataValidation sqref="C2:C201" showDropDown="0" showInputMessage="0" showErrorMessage="0" allowBlank="1" type="list">
      <formula1>=仕入先リスト</formula1>
    </dataValidation>
    <dataValidation sqref="D2:D201" showDropDown="0" showInputMessage="0" showErrorMessage="0" allowBlank="1" type="list">
      <formula1>=得意先リスト</formula1>
    </dataValidation>
    <dataValidation sqref="E2:E201" showDropDown="0" showInputMessage="0" showErrorMessage="0" allowBlank="1" type="list">
      <formula1>=荷姿リスト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s="5" t="inlineStr">
        <is>
          <t>荷姿コード</t>
        </is>
      </c>
      <c r="B1" s="5" t="inlineStr">
        <is>
          <t>荷姿名</t>
        </is>
      </c>
      <c r="C1" s="5" t="inlineStr">
        <is>
          <t>備考</t>
        </is>
      </c>
    </row>
    <row r="2">
      <c r="A2" s="10" t="inlineStr">
        <is>
          <t>P001</t>
        </is>
      </c>
      <c r="B2" s="10" t="inlineStr">
        <is>
          <t>10kg段ボール</t>
        </is>
      </c>
      <c r="C2" s="10" t="inlineStr">
        <is>
          <t>サンプルデータ</t>
        </is>
      </c>
    </row>
    <row r="3">
      <c r="A3" s="10" t="inlineStr">
        <is>
          <t>P002</t>
        </is>
      </c>
      <c r="B3" s="10" t="inlineStr">
        <is>
          <t>5kgネット袋</t>
        </is>
      </c>
      <c r="C3" s="10" t="inlineStr">
        <is>
          <t>サンプルデータ</t>
        </is>
      </c>
    </row>
    <row r="4">
      <c r="A4" s="10" t="inlineStr">
        <is>
          <t>P003</t>
        </is>
      </c>
      <c r="B4" s="10" t="inlineStr">
        <is>
          <t>発泡スチロール箱</t>
        </is>
      </c>
      <c r="C4" s="10" t="inlineStr">
        <is>
          <t>サンプルデータ</t>
        </is>
      </c>
    </row>
    <row r="5">
      <c r="A5" s="11" t="n"/>
      <c r="B5" s="11" t="n"/>
      <c r="C5" s="11" t="n"/>
    </row>
    <row r="6">
      <c r="A6" s="11" t="n"/>
      <c r="B6" s="11" t="n"/>
      <c r="C6" s="11" t="n"/>
    </row>
    <row r="7">
      <c r="A7" s="11" t="n"/>
      <c r="B7" s="11" t="n"/>
      <c r="C7" s="11" t="n"/>
    </row>
    <row r="8">
      <c r="A8" s="11" t="n"/>
      <c r="B8" s="11" t="n"/>
      <c r="C8" s="11" t="n"/>
    </row>
    <row r="9">
      <c r="A9" s="11" t="n"/>
      <c r="B9" s="11" t="n"/>
      <c r="C9" s="11" t="n"/>
    </row>
    <row r="10">
      <c r="A10" s="11" t="n"/>
      <c r="B10" s="11" t="n"/>
      <c r="C10" s="11" t="n"/>
    </row>
    <row r="11">
      <c r="A11" s="11" t="n"/>
      <c r="B11" s="11" t="n"/>
      <c r="C11" s="11" t="n"/>
    </row>
    <row r="12">
      <c r="A12" s="11" t="n"/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  <row r="17">
      <c r="A17" s="11" t="n"/>
      <c r="B17" s="11" t="n"/>
      <c r="C17" s="11" t="n"/>
    </row>
    <row r="18">
      <c r="A18" s="11" t="n"/>
      <c r="B18" s="11" t="n"/>
      <c r="C18" s="11" t="n"/>
    </row>
    <row r="19">
      <c r="A19" s="11" t="n"/>
      <c r="B19" s="11" t="n"/>
      <c r="C19" s="11" t="n"/>
    </row>
    <row r="20">
      <c r="A20" s="11" t="n"/>
      <c r="B20" s="11" t="n"/>
      <c r="C20" s="11" t="n"/>
    </row>
    <row r="21">
      <c r="A21" s="11" t="n"/>
      <c r="B21" s="11" t="n"/>
      <c r="C21" s="11" t="n"/>
    </row>
    <row r="22">
      <c r="A22" s="11" t="n"/>
      <c r="B22" s="11" t="n"/>
      <c r="C22" s="11" t="n"/>
    </row>
    <row r="23">
      <c r="A23" s="11" t="n"/>
      <c r="B23" s="11" t="n"/>
      <c r="C23" s="11" t="n"/>
    </row>
    <row r="24">
      <c r="A24" s="11" t="n"/>
      <c r="B24" s="11" t="n"/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  <row r="36">
      <c r="A36" s="11" t="n"/>
      <c r="B36" s="11" t="n"/>
      <c r="C36" s="11" t="n"/>
    </row>
    <row r="37">
      <c r="A37" s="11" t="n"/>
      <c r="B37" s="11" t="n"/>
      <c r="C37" s="11" t="n"/>
    </row>
    <row r="38">
      <c r="A38" s="11" t="n"/>
      <c r="B38" s="11" t="n"/>
      <c r="C38" s="11" t="n"/>
    </row>
    <row r="39">
      <c r="A39" s="11" t="n"/>
      <c r="B39" s="11" t="n"/>
      <c r="C39" s="11" t="n"/>
    </row>
    <row r="40">
      <c r="A40" s="11" t="n"/>
      <c r="B40" s="11" t="n"/>
      <c r="C40" s="11" t="n"/>
    </row>
    <row r="41">
      <c r="A41" s="11" t="n"/>
      <c r="B41" s="11" t="n"/>
      <c r="C41" s="11" t="n"/>
    </row>
    <row r="42">
      <c r="A42" s="11" t="n"/>
      <c r="B42" s="11" t="n"/>
      <c r="C42" s="11" t="n"/>
    </row>
    <row r="43">
      <c r="A43" s="11" t="n"/>
      <c r="B43" s="11" t="n"/>
      <c r="C43" s="11" t="n"/>
    </row>
    <row r="44">
      <c r="A44" s="11" t="n"/>
      <c r="B44" s="11" t="n"/>
      <c r="C44" s="11" t="n"/>
    </row>
    <row r="45">
      <c r="A45" s="11" t="n"/>
      <c r="B45" s="11" t="n"/>
      <c r="C45" s="11" t="n"/>
    </row>
    <row r="46">
      <c r="A46" s="11" t="n"/>
      <c r="B46" s="11" t="n"/>
      <c r="C46" s="11" t="n"/>
    </row>
    <row r="47">
      <c r="A47" s="11" t="n"/>
      <c r="B47" s="11" t="n"/>
      <c r="C47" s="11" t="n"/>
    </row>
    <row r="48">
      <c r="A48" s="11" t="n"/>
      <c r="B48" s="11" t="n"/>
      <c r="C48" s="11" t="n"/>
    </row>
    <row r="49">
      <c r="A49" s="11" t="n"/>
      <c r="B49" s="11" t="n"/>
      <c r="C49" s="11" t="n"/>
    </row>
    <row r="50">
      <c r="A50" s="11" t="n"/>
      <c r="B50" s="11" t="n"/>
      <c r="C50" s="11" t="n"/>
    </row>
    <row r="51">
      <c r="A51" s="11" t="n"/>
      <c r="B51" s="11" t="n"/>
      <c r="C51" s="11" t="n"/>
    </row>
    <row r="52">
      <c r="A52" s="11" t="n"/>
      <c r="B52" s="11" t="n"/>
      <c r="C52" s="11" t="n"/>
    </row>
    <row r="53">
      <c r="A53" s="11" t="n"/>
      <c r="B53" s="11" t="n"/>
      <c r="C53" s="11" t="n"/>
    </row>
    <row r="54">
      <c r="A54" s="11" t="n"/>
      <c r="B54" s="11" t="n"/>
      <c r="C54" s="11" t="n"/>
    </row>
    <row r="55">
      <c r="A55" s="11" t="n"/>
      <c r="B55" s="11" t="n"/>
      <c r="C55" s="11" t="n"/>
    </row>
    <row r="56">
      <c r="A56" s="11" t="n"/>
      <c r="B56" s="11" t="n"/>
      <c r="C56" s="11" t="n"/>
    </row>
    <row r="57">
      <c r="A57" s="11" t="n"/>
      <c r="B57" s="11" t="n"/>
      <c r="C57" s="11" t="n"/>
    </row>
    <row r="58">
      <c r="A58" s="11" t="n"/>
      <c r="B58" s="11" t="n"/>
      <c r="C58" s="11" t="n"/>
    </row>
    <row r="59">
      <c r="A59" s="11" t="n"/>
      <c r="B59" s="11" t="n"/>
      <c r="C59" s="11" t="n"/>
    </row>
    <row r="60">
      <c r="A60" s="11" t="n"/>
      <c r="B60" s="11" t="n"/>
      <c r="C60" s="11" t="n"/>
    </row>
    <row r="61">
      <c r="A61" s="11" t="n"/>
      <c r="B61" s="11" t="n"/>
      <c r="C61" s="11" t="n"/>
    </row>
    <row r="62">
      <c r="A62" s="11" t="n"/>
      <c r="B62" s="11" t="n"/>
      <c r="C62" s="11" t="n"/>
    </row>
    <row r="63">
      <c r="A63" s="11" t="n"/>
      <c r="B63" s="11" t="n"/>
      <c r="C63" s="11" t="n"/>
    </row>
    <row r="64">
      <c r="A64" s="11" t="n"/>
      <c r="B64" s="11" t="n"/>
      <c r="C64" s="11" t="n"/>
    </row>
    <row r="65">
      <c r="A65" s="11" t="n"/>
      <c r="B65" s="11" t="n"/>
      <c r="C65" s="11" t="n"/>
    </row>
    <row r="66">
      <c r="A66" s="11" t="n"/>
      <c r="B66" s="11" t="n"/>
      <c r="C66" s="11" t="n"/>
    </row>
    <row r="67">
      <c r="A67" s="11" t="n"/>
      <c r="B67" s="11" t="n"/>
      <c r="C67" s="11" t="n"/>
    </row>
    <row r="68">
      <c r="A68" s="11" t="n"/>
      <c r="B68" s="11" t="n"/>
      <c r="C68" s="11" t="n"/>
    </row>
    <row r="69">
      <c r="A69" s="11" t="n"/>
      <c r="B69" s="11" t="n"/>
      <c r="C69" s="11" t="n"/>
    </row>
    <row r="70">
      <c r="A70" s="11" t="n"/>
      <c r="B70" s="11" t="n"/>
      <c r="C70" s="11" t="n"/>
    </row>
    <row r="71">
      <c r="A71" s="11" t="n"/>
      <c r="B71" s="11" t="n"/>
      <c r="C71" s="11" t="n"/>
    </row>
    <row r="72">
      <c r="A72" s="11" t="n"/>
      <c r="B72" s="11" t="n"/>
      <c r="C72" s="11" t="n"/>
    </row>
    <row r="73">
      <c r="A73" s="11" t="n"/>
      <c r="B73" s="11" t="n"/>
      <c r="C73" s="11" t="n"/>
    </row>
    <row r="74">
      <c r="A74" s="11" t="n"/>
      <c r="B74" s="11" t="n"/>
      <c r="C74" s="11" t="n"/>
    </row>
    <row r="75">
      <c r="A75" s="11" t="n"/>
      <c r="B75" s="11" t="n"/>
      <c r="C75" s="11" t="n"/>
    </row>
    <row r="76">
      <c r="A76" s="11" t="n"/>
      <c r="B76" s="11" t="n"/>
      <c r="C76" s="11" t="n"/>
    </row>
    <row r="77">
      <c r="A77" s="11" t="n"/>
      <c r="B77" s="11" t="n"/>
      <c r="C77" s="11" t="n"/>
    </row>
    <row r="78">
      <c r="A78" s="11" t="n"/>
      <c r="B78" s="11" t="n"/>
      <c r="C78" s="11" t="n"/>
    </row>
    <row r="79">
      <c r="A79" s="11" t="n"/>
      <c r="B79" s="11" t="n"/>
      <c r="C79" s="11" t="n"/>
    </row>
    <row r="80">
      <c r="A80" s="11" t="n"/>
      <c r="B80" s="11" t="n"/>
      <c r="C80" s="11" t="n"/>
    </row>
    <row r="81">
      <c r="A81" s="11" t="n"/>
      <c r="B81" s="11" t="n"/>
      <c r="C81" s="11" t="n"/>
    </row>
    <row r="82">
      <c r="A82" s="11" t="n"/>
      <c r="B82" s="11" t="n"/>
      <c r="C82" s="11" t="n"/>
    </row>
    <row r="83">
      <c r="A83" s="11" t="n"/>
      <c r="B83" s="11" t="n"/>
      <c r="C83" s="11" t="n"/>
    </row>
    <row r="84">
      <c r="A84" s="11" t="n"/>
      <c r="B84" s="11" t="n"/>
      <c r="C84" s="11" t="n"/>
    </row>
    <row r="85">
      <c r="A85" s="11" t="n"/>
      <c r="B85" s="11" t="n"/>
      <c r="C85" s="11" t="n"/>
    </row>
    <row r="86">
      <c r="A86" s="11" t="n"/>
      <c r="B86" s="11" t="n"/>
      <c r="C86" s="11" t="n"/>
    </row>
    <row r="87">
      <c r="A87" s="11" t="n"/>
      <c r="B87" s="11" t="n"/>
      <c r="C87" s="11" t="n"/>
    </row>
    <row r="88">
      <c r="A88" s="11" t="n"/>
      <c r="B88" s="11" t="n"/>
      <c r="C88" s="11" t="n"/>
    </row>
    <row r="89">
      <c r="A89" s="11" t="n"/>
      <c r="B89" s="11" t="n"/>
      <c r="C89" s="11" t="n"/>
    </row>
    <row r="90">
      <c r="A90" s="11" t="n"/>
      <c r="B90" s="11" t="n"/>
      <c r="C90" s="11" t="n"/>
    </row>
    <row r="91">
      <c r="A91" s="11" t="n"/>
      <c r="B91" s="11" t="n"/>
      <c r="C91" s="11" t="n"/>
    </row>
    <row r="92">
      <c r="A92" s="11" t="n"/>
      <c r="B92" s="11" t="n"/>
      <c r="C92" s="11" t="n"/>
    </row>
    <row r="93">
      <c r="A93" s="11" t="n"/>
      <c r="B93" s="11" t="n"/>
      <c r="C93" s="11" t="n"/>
    </row>
    <row r="94">
      <c r="A94" s="11" t="n"/>
      <c r="B94" s="11" t="n"/>
      <c r="C94" s="11" t="n"/>
    </row>
    <row r="95">
      <c r="A95" s="11" t="n"/>
      <c r="B95" s="11" t="n"/>
      <c r="C95" s="11" t="n"/>
    </row>
    <row r="96">
      <c r="A96" s="11" t="n"/>
      <c r="B96" s="11" t="n"/>
      <c r="C96" s="11" t="n"/>
    </row>
    <row r="97">
      <c r="A97" s="11" t="n"/>
      <c r="B97" s="11" t="n"/>
      <c r="C97" s="11" t="n"/>
    </row>
    <row r="98">
      <c r="A98" s="11" t="n"/>
      <c r="B98" s="11" t="n"/>
      <c r="C98" s="11" t="n"/>
    </row>
    <row r="99">
      <c r="A99" s="11" t="n"/>
      <c r="B99" s="11" t="n"/>
      <c r="C99" s="11" t="n"/>
    </row>
    <row r="100">
      <c r="A100" s="11" t="n"/>
      <c r="B100" s="11" t="n"/>
      <c r="C100" s="11" t="n"/>
    </row>
    <row r="101">
      <c r="A101" s="11" t="n"/>
      <c r="B101" s="11" t="n"/>
      <c r="C101" s="11" t="n"/>
    </row>
    <row r="102">
      <c r="A102" s="11" t="n"/>
      <c r="B102" s="11" t="n"/>
      <c r="C102" s="11" t="n"/>
    </row>
    <row r="103">
      <c r="A103" s="11" t="n"/>
      <c r="B103" s="11" t="n"/>
      <c r="C103" s="11" t="n"/>
    </row>
    <row r="104">
      <c r="A104" s="11" t="n"/>
      <c r="B104" s="11" t="n"/>
      <c r="C104" s="11" t="n"/>
    </row>
    <row r="105">
      <c r="A105" s="11" t="n"/>
      <c r="B105" s="11" t="n"/>
      <c r="C105" s="11" t="n"/>
    </row>
    <row r="106">
      <c r="A106" s="11" t="n"/>
      <c r="B106" s="11" t="n"/>
      <c r="C106" s="11" t="n"/>
    </row>
    <row r="107">
      <c r="A107" s="11" t="n"/>
      <c r="B107" s="11" t="n"/>
      <c r="C107" s="11" t="n"/>
    </row>
    <row r="108">
      <c r="A108" s="11" t="n"/>
      <c r="B108" s="11" t="n"/>
      <c r="C108" s="11" t="n"/>
    </row>
    <row r="109">
      <c r="A109" s="11" t="n"/>
      <c r="B109" s="11" t="n"/>
      <c r="C109" s="11" t="n"/>
    </row>
    <row r="110">
      <c r="A110" s="11" t="n"/>
      <c r="B110" s="11" t="n"/>
      <c r="C110" s="11" t="n"/>
    </row>
    <row r="111">
      <c r="A111" s="11" t="n"/>
      <c r="B111" s="11" t="n"/>
      <c r="C111" s="11" t="n"/>
    </row>
    <row r="112">
      <c r="A112" s="11" t="n"/>
      <c r="B112" s="11" t="n"/>
      <c r="C112" s="11" t="n"/>
    </row>
    <row r="113">
      <c r="A113" s="11" t="n"/>
      <c r="B113" s="11" t="n"/>
      <c r="C113" s="11" t="n"/>
    </row>
    <row r="114">
      <c r="A114" s="11" t="n"/>
      <c r="B114" s="11" t="n"/>
      <c r="C114" s="11" t="n"/>
    </row>
    <row r="115">
      <c r="A115" s="11" t="n"/>
      <c r="B115" s="11" t="n"/>
      <c r="C115" s="11" t="n"/>
    </row>
    <row r="116">
      <c r="A116" s="11" t="n"/>
      <c r="B116" s="11" t="n"/>
      <c r="C116" s="11" t="n"/>
    </row>
    <row r="117">
      <c r="A117" s="11" t="n"/>
      <c r="B117" s="11" t="n"/>
      <c r="C117" s="11" t="n"/>
    </row>
    <row r="118">
      <c r="A118" s="11" t="n"/>
      <c r="B118" s="11" t="n"/>
      <c r="C118" s="11" t="n"/>
    </row>
    <row r="119">
      <c r="A119" s="11" t="n"/>
      <c r="B119" s="11" t="n"/>
      <c r="C119" s="11" t="n"/>
    </row>
    <row r="120">
      <c r="A120" s="11" t="n"/>
      <c r="B120" s="11" t="n"/>
      <c r="C120" s="11" t="n"/>
    </row>
    <row r="121">
      <c r="A121" s="11" t="n"/>
      <c r="B121" s="11" t="n"/>
      <c r="C121" s="11" t="n"/>
    </row>
    <row r="122">
      <c r="A122" s="11" t="n"/>
      <c r="B122" s="11" t="n"/>
      <c r="C122" s="11" t="n"/>
    </row>
    <row r="123">
      <c r="A123" s="11" t="n"/>
      <c r="B123" s="11" t="n"/>
      <c r="C123" s="11" t="n"/>
    </row>
    <row r="124">
      <c r="A124" s="11" t="n"/>
      <c r="B124" s="11" t="n"/>
      <c r="C124" s="11" t="n"/>
    </row>
    <row r="125">
      <c r="A125" s="11" t="n"/>
      <c r="B125" s="11" t="n"/>
      <c r="C125" s="11" t="n"/>
    </row>
    <row r="126">
      <c r="A126" s="11" t="n"/>
      <c r="B126" s="11" t="n"/>
      <c r="C126" s="11" t="n"/>
    </row>
    <row r="127">
      <c r="A127" s="11" t="n"/>
      <c r="B127" s="11" t="n"/>
      <c r="C127" s="11" t="n"/>
    </row>
    <row r="128">
      <c r="A128" s="11" t="n"/>
      <c r="B128" s="11" t="n"/>
      <c r="C128" s="11" t="n"/>
    </row>
    <row r="129">
      <c r="A129" s="11" t="n"/>
      <c r="B129" s="11" t="n"/>
      <c r="C129" s="11" t="n"/>
    </row>
    <row r="130">
      <c r="A130" s="11" t="n"/>
      <c r="B130" s="11" t="n"/>
      <c r="C130" s="11" t="n"/>
    </row>
    <row r="131">
      <c r="A131" s="11" t="n"/>
      <c r="B131" s="11" t="n"/>
      <c r="C131" s="11" t="n"/>
    </row>
    <row r="132">
      <c r="A132" s="11" t="n"/>
      <c r="B132" s="11" t="n"/>
      <c r="C132" s="11" t="n"/>
    </row>
    <row r="133">
      <c r="A133" s="11" t="n"/>
      <c r="B133" s="11" t="n"/>
      <c r="C133" s="11" t="n"/>
    </row>
    <row r="134">
      <c r="A134" s="11" t="n"/>
      <c r="B134" s="11" t="n"/>
      <c r="C134" s="11" t="n"/>
    </row>
    <row r="135">
      <c r="A135" s="11" t="n"/>
      <c r="B135" s="11" t="n"/>
      <c r="C135" s="11" t="n"/>
    </row>
    <row r="136">
      <c r="A136" s="11" t="n"/>
      <c r="B136" s="11" t="n"/>
      <c r="C136" s="11" t="n"/>
    </row>
    <row r="137">
      <c r="A137" s="11" t="n"/>
      <c r="B137" s="11" t="n"/>
      <c r="C137" s="11" t="n"/>
    </row>
    <row r="138">
      <c r="A138" s="11" t="n"/>
      <c r="B138" s="11" t="n"/>
      <c r="C138" s="11" t="n"/>
    </row>
    <row r="139">
      <c r="A139" s="11" t="n"/>
      <c r="B139" s="11" t="n"/>
      <c r="C139" s="11" t="n"/>
    </row>
    <row r="140">
      <c r="A140" s="11" t="n"/>
      <c r="B140" s="11" t="n"/>
      <c r="C140" s="11" t="n"/>
    </row>
    <row r="141">
      <c r="A141" s="11" t="n"/>
      <c r="B141" s="11" t="n"/>
      <c r="C141" s="11" t="n"/>
    </row>
    <row r="142">
      <c r="A142" s="11" t="n"/>
      <c r="B142" s="11" t="n"/>
      <c r="C142" s="11" t="n"/>
    </row>
    <row r="143">
      <c r="A143" s="11" t="n"/>
      <c r="B143" s="11" t="n"/>
      <c r="C143" s="11" t="n"/>
    </row>
    <row r="144">
      <c r="A144" s="11" t="n"/>
      <c r="B144" s="11" t="n"/>
      <c r="C144" s="11" t="n"/>
    </row>
    <row r="145">
      <c r="A145" s="11" t="n"/>
      <c r="B145" s="11" t="n"/>
      <c r="C145" s="11" t="n"/>
    </row>
    <row r="146">
      <c r="A146" s="11" t="n"/>
      <c r="B146" s="11" t="n"/>
      <c r="C146" s="11" t="n"/>
    </row>
    <row r="147">
      <c r="A147" s="11" t="n"/>
      <c r="B147" s="11" t="n"/>
      <c r="C147" s="11" t="n"/>
    </row>
    <row r="148">
      <c r="A148" s="11" t="n"/>
      <c r="B148" s="11" t="n"/>
      <c r="C148" s="11" t="n"/>
    </row>
    <row r="149">
      <c r="A149" s="11" t="n"/>
      <c r="B149" s="11" t="n"/>
      <c r="C149" s="11" t="n"/>
    </row>
    <row r="150">
      <c r="A150" s="11" t="n"/>
      <c r="B150" s="11" t="n"/>
      <c r="C150" s="11" t="n"/>
    </row>
    <row r="151">
      <c r="A151" s="11" t="n"/>
      <c r="B151" s="11" t="n"/>
      <c r="C151" s="11" t="n"/>
    </row>
    <row r="152">
      <c r="A152" s="11" t="n"/>
      <c r="B152" s="11" t="n"/>
      <c r="C152" s="11" t="n"/>
    </row>
    <row r="153">
      <c r="A153" s="11" t="n"/>
      <c r="B153" s="11" t="n"/>
      <c r="C153" s="11" t="n"/>
    </row>
    <row r="154">
      <c r="A154" s="11" t="n"/>
      <c r="B154" s="11" t="n"/>
      <c r="C154" s="11" t="n"/>
    </row>
    <row r="155">
      <c r="A155" s="11" t="n"/>
      <c r="B155" s="11" t="n"/>
      <c r="C155" s="11" t="n"/>
    </row>
    <row r="156">
      <c r="A156" s="11" t="n"/>
      <c r="B156" s="11" t="n"/>
      <c r="C156" s="11" t="n"/>
    </row>
    <row r="157">
      <c r="A157" s="11" t="n"/>
      <c r="B157" s="11" t="n"/>
      <c r="C157" s="11" t="n"/>
    </row>
    <row r="158">
      <c r="A158" s="11" t="n"/>
      <c r="B158" s="11" t="n"/>
      <c r="C158" s="11" t="n"/>
    </row>
    <row r="159">
      <c r="A159" s="11" t="n"/>
      <c r="B159" s="11" t="n"/>
      <c r="C159" s="11" t="n"/>
    </row>
    <row r="160">
      <c r="A160" s="11" t="n"/>
      <c r="B160" s="11" t="n"/>
      <c r="C160" s="11" t="n"/>
    </row>
    <row r="161">
      <c r="A161" s="11" t="n"/>
      <c r="B161" s="11" t="n"/>
      <c r="C161" s="11" t="n"/>
    </row>
    <row r="162">
      <c r="A162" s="11" t="n"/>
      <c r="B162" s="11" t="n"/>
      <c r="C162" s="11" t="n"/>
    </row>
    <row r="163">
      <c r="A163" s="11" t="n"/>
      <c r="B163" s="11" t="n"/>
      <c r="C163" s="11" t="n"/>
    </row>
    <row r="164">
      <c r="A164" s="11" t="n"/>
      <c r="B164" s="11" t="n"/>
      <c r="C164" s="11" t="n"/>
    </row>
    <row r="165">
      <c r="A165" s="11" t="n"/>
      <c r="B165" s="11" t="n"/>
      <c r="C165" s="11" t="n"/>
    </row>
    <row r="166">
      <c r="A166" s="11" t="n"/>
      <c r="B166" s="11" t="n"/>
      <c r="C166" s="11" t="n"/>
    </row>
    <row r="167">
      <c r="A167" s="11" t="n"/>
      <c r="B167" s="11" t="n"/>
      <c r="C167" s="11" t="n"/>
    </row>
    <row r="168">
      <c r="A168" s="11" t="n"/>
      <c r="B168" s="11" t="n"/>
      <c r="C168" s="11" t="n"/>
    </row>
    <row r="169">
      <c r="A169" s="11" t="n"/>
      <c r="B169" s="11" t="n"/>
      <c r="C169" s="11" t="n"/>
    </row>
    <row r="170">
      <c r="A170" s="11" t="n"/>
      <c r="B170" s="11" t="n"/>
      <c r="C170" s="11" t="n"/>
    </row>
    <row r="171">
      <c r="A171" s="11" t="n"/>
      <c r="B171" s="11" t="n"/>
      <c r="C171" s="11" t="n"/>
    </row>
    <row r="172">
      <c r="A172" s="11" t="n"/>
      <c r="B172" s="11" t="n"/>
      <c r="C172" s="11" t="n"/>
    </row>
    <row r="173">
      <c r="A173" s="11" t="n"/>
      <c r="B173" s="11" t="n"/>
      <c r="C173" s="11" t="n"/>
    </row>
    <row r="174">
      <c r="A174" s="11" t="n"/>
      <c r="B174" s="11" t="n"/>
      <c r="C174" s="11" t="n"/>
    </row>
    <row r="175">
      <c r="A175" s="11" t="n"/>
      <c r="B175" s="11" t="n"/>
      <c r="C175" s="11" t="n"/>
    </row>
    <row r="176">
      <c r="A176" s="11" t="n"/>
      <c r="B176" s="11" t="n"/>
      <c r="C176" s="11" t="n"/>
    </row>
    <row r="177">
      <c r="A177" s="11" t="n"/>
      <c r="B177" s="11" t="n"/>
      <c r="C177" s="11" t="n"/>
    </row>
    <row r="178">
      <c r="A178" s="11" t="n"/>
      <c r="B178" s="11" t="n"/>
      <c r="C178" s="11" t="n"/>
    </row>
    <row r="179">
      <c r="A179" s="11" t="n"/>
      <c r="B179" s="11" t="n"/>
      <c r="C179" s="11" t="n"/>
    </row>
    <row r="180">
      <c r="A180" s="11" t="n"/>
      <c r="B180" s="11" t="n"/>
      <c r="C180" s="11" t="n"/>
    </row>
    <row r="181">
      <c r="A181" s="11" t="n"/>
      <c r="B181" s="11" t="n"/>
      <c r="C181" s="11" t="n"/>
    </row>
    <row r="182">
      <c r="A182" s="11" t="n"/>
      <c r="B182" s="11" t="n"/>
      <c r="C182" s="11" t="n"/>
    </row>
    <row r="183">
      <c r="A183" s="11" t="n"/>
      <c r="B183" s="11" t="n"/>
      <c r="C183" s="11" t="n"/>
    </row>
    <row r="184">
      <c r="A184" s="11" t="n"/>
      <c r="B184" s="11" t="n"/>
      <c r="C184" s="11" t="n"/>
    </row>
    <row r="185">
      <c r="A185" s="11" t="n"/>
      <c r="B185" s="11" t="n"/>
      <c r="C185" s="11" t="n"/>
    </row>
    <row r="186">
      <c r="A186" s="11" t="n"/>
      <c r="B186" s="11" t="n"/>
      <c r="C186" s="11" t="n"/>
    </row>
    <row r="187">
      <c r="A187" s="11" t="n"/>
      <c r="B187" s="11" t="n"/>
      <c r="C187" s="11" t="n"/>
    </row>
    <row r="188">
      <c r="A188" s="11" t="n"/>
      <c r="B188" s="11" t="n"/>
      <c r="C188" s="11" t="n"/>
    </row>
    <row r="189">
      <c r="A189" s="11" t="n"/>
      <c r="B189" s="11" t="n"/>
      <c r="C189" s="11" t="n"/>
    </row>
    <row r="190">
      <c r="A190" s="11" t="n"/>
      <c r="B190" s="11" t="n"/>
      <c r="C190" s="11" t="n"/>
    </row>
    <row r="191">
      <c r="A191" s="11" t="n"/>
      <c r="B191" s="11" t="n"/>
      <c r="C191" s="11" t="n"/>
    </row>
    <row r="192">
      <c r="A192" s="11" t="n"/>
      <c r="B192" s="11" t="n"/>
      <c r="C192" s="11" t="n"/>
    </row>
    <row r="193">
      <c r="A193" s="11" t="n"/>
      <c r="B193" s="11" t="n"/>
      <c r="C193" s="11" t="n"/>
    </row>
    <row r="194">
      <c r="A194" s="11" t="n"/>
      <c r="B194" s="11" t="n"/>
      <c r="C194" s="11" t="n"/>
    </row>
    <row r="195">
      <c r="A195" s="11" t="n"/>
      <c r="B195" s="11" t="n"/>
      <c r="C195" s="11" t="n"/>
    </row>
    <row r="196">
      <c r="A196" s="11" t="n"/>
      <c r="B196" s="11" t="n"/>
      <c r="C196" s="11" t="n"/>
    </row>
    <row r="197">
      <c r="A197" s="11" t="n"/>
      <c r="B197" s="11" t="n"/>
      <c r="C197" s="11" t="n"/>
    </row>
    <row r="198">
      <c r="A198" s="11" t="n"/>
      <c r="B198" s="11" t="n"/>
      <c r="C198" s="11" t="n"/>
    </row>
    <row r="199">
      <c r="A199" s="11" t="n"/>
      <c r="B199" s="11" t="n"/>
      <c r="C199" s="11" t="n"/>
    </row>
    <row r="200">
      <c r="A200" s="11" t="n"/>
      <c r="B200" s="11" t="n"/>
      <c r="C200" s="11" t="n"/>
    </row>
    <row r="201">
      <c r="A201" s="11" t="n"/>
      <c r="B201" s="11" t="n"/>
      <c r="C201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 ht="28" customHeight="1">
      <c r="A1" s="14" t="inlineStr">
        <is>
          <t>単価変更カード（仕入用）</t>
        </is>
      </c>
      <c r="B1" s="15" t="n"/>
      <c r="C1" s="15" t="n"/>
      <c r="D1" s="15" t="n"/>
      <c r="E1" s="15" t="n"/>
      <c r="F1" s="16" t="n"/>
    </row>
    <row r="2">
      <c r="A2" s="17" t="inlineStr">
        <is>
          <t>管理番号</t>
        </is>
      </c>
      <c r="B2" s="11" t="n"/>
      <c r="C2" s="11" t="n"/>
      <c r="D2" s="11" t="n"/>
      <c r="E2" s="11" t="n"/>
      <c r="F2" s="18" t="n"/>
    </row>
    <row r="3">
      <c r="A3" s="19" t="inlineStr">
        <is>
          <t>発行日</t>
        </is>
      </c>
      <c r="B3" s="20">
        <f>IFERROR(INDEX(案件入力範囲,MATCH($B$2,管理番号リスト,0),2),"")</f>
        <v/>
      </c>
      <c r="C3" s="11" t="n"/>
      <c r="D3" s="21" t="inlineStr">
        <is>
          <t>商品名</t>
        </is>
      </c>
      <c r="E3" s="8">
        <f>IFERROR(INDEX(案件入力範囲,MATCH($B$2,管理番号リスト,0),3),"")</f>
        <v/>
      </c>
      <c r="F3" s="18" t="n"/>
    </row>
    <row r="4">
      <c r="A4" s="19" t="inlineStr">
        <is>
          <t>仕入先</t>
        </is>
      </c>
      <c r="B4" s="8">
        <f>IFERROR(INDEX(案件入力範囲,MATCH($B$2,管理番号リスト,0),5),"")</f>
        <v/>
      </c>
      <c r="C4" s="11" t="n"/>
      <c r="D4" s="21" t="inlineStr">
        <is>
          <t>荷姿</t>
        </is>
      </c>
      <c r="E4" s="8">
        <f>IFERROR(INDEX(案件入力範囲,MATCH($B$2,管理番号リスト,0),4),"")</f>
        <v/>
      </c>
      <c r="F4" s="18" t="n"/>
    </row>
    <row r="5">
      <c r="A5" s="19" t="inlineStr">
        <is>
          <t>旧価格</t>
        </is>
      </c>
      <c r="B5" s="22">
        <f>IFERROR(INDEX(案件入力範囲,MATCH($B$2,管理番号リスト,0),7),"")</f>
        <v/>
      </c>
      <c r="C5" s="23" t="inlineStr">
        <is>
          <t>→</t>
        </is>
      </c>
      <c r="D5" s="21" t="inlineStr">
        <is>
          <t>新価格</t>
        </is>
      </c>
      <c r="E5" s="22">
        <f>IFERROR(INDEX(案件入力範囲,MATCH($B$2,管理番号リスト,0),8),"")</f>
        <v/>
      </c>
      <c r="F5" s="18" t="n"/>
    </row>
    <row r="6">
      <c r="A6" s="19" t="inlineStr">
        <is>
          <t>適用日</t>
        </is>
      </c>
      <c r="B6" s="20">
        <f>IFERROR(INDEX(案件入力範囲,MATCH($B$2,管理番号リスト,0),9),"")</f>
        <v/>
      </c>
      <c r="C6" s="11" t="n"/>
      <c r="D6" s="21" t="inlineStr">
        <is>
          <t>担当者</t>
        </is>
      </c>
      <c r="E6" s="8">
        <f>IFERROR(INDEX(案件入力範囲,MATCH($B$2,管理番号リスト,0),16),"")</f>
        <v/>
      </c>
      <c r="F6" s="18" t="n"/>
    </row>
    <row r="7" ht="30" customHeight="1">
      <c r="A7" s="19" t="inlineStr">
        <is>
          <t>備考</t>
        </is>
      </c>
      <c r="B7" s="8">
        <f>IFERROR(INDEX(案件入力範囲,MATCH($B$2,管理番号リスト,0),13),"")</f>
        <v/>
      </c>
      <c r="C7" s="11" t="n"/>
      <c r="D7" s="11" t="n"/>
      <c r="E7" s="11" t="n"/>
      <c r="F7" s="18" t="n"/>
    </row>
    <row r="8">
      <c r="A8" s="24" t="inlineStr">
        <is>
          <t>確認欄</t>
        </is>
      </c>
      <c r="B8" s="25" t="n"/>
      <c r="C8" s="26" t="n"/>
      <c r="D8" s="27" t="inlineStr">
        <is>
          <t>発行担当：</t>
        </is>
      </c>
      <c r="E8" s="25" t="n"/>
      <c r="F8" s="28" t="n"/>
    </row>
    <row r="10">
      <c r="A10" s="29" t="inlineStr">
        <is>
          <t>- - - - - - - - - - - - - -  キリトリ線  - - - - - - - - - - - - - -</t>
        </is>
      </c>
    </row>
    <row r="11" ht="28" customHeight="1">
      <c r="A11" s="14" t="inlineStr">
        <is>
          <t>単価変更カード（仕入用）</t>
        </is>
      </c>
      <c r="B11" s="15" t="n"/>
      <c r="C11" s="15" t="n"/>
      <c r="D11" s="15" t="n"/>
      <c r="E11" s="15" t="n"/>
      <c r="F11" s="16" t="n"/>
    </row>
    <row r="12">
      <c r="A12" s="17" t="inlineStr">
        <is>
          <t>管理番号</t>
        </is>
      </c>
      <c r="B12" s="8">
        <f>$B$2</f>
        <v/>
      </c>
      <c r="C12" s="11" t="n"/>
      <c r="D12" s="11" t="n"/>
      <c r="E12" s="11" t="n"/>
      <c r="F12" s="18" t="n"/>
    </row>
    <row r="13">
      <c r="A13" s="19" t="inlineStr">
        <is>
          <t>発行日</t>
        </is>
      </c>
      <c r="B13" s="20">
        <f>IFERROR(INDEX(案件入力範囲,MATCH($B$12,管理番号リスト,0),2),"")</f>
        <v/>
      </c>
      <c r="C13" s="11" t="n"/>
      <c r="D13" s="21" t="inlineStr">
        <is>
          <t>商品名</t>
        </is>
      </c>
      <c r="E13" s="8">
        <f>IFERROR(INDEX(案件入力範囲,MATCH($B$12,管理番号リスト,0),3),"")</f>
        <v/>
      </c>
      <c r="F13" s="18" t="n"/>
    </row>
    <row r="14">
      <c r="A14" s="19" t="inlineStr">
        <is>
          <t>仕入先</t>
        </is>
      </c>
      <c r="B14" s="8">
        <f>IFERROR(INDEX(案件入力範囲,MATCH($B$12,管理番号リスト,0),5),"")</f>
        <v/>
      </c>
      <c r="C14" s="11" t="n"/>
      <c r="D14" s="21" t="inlineStr">
        <is>
          <t>荷姿</t>
        </is>
      </c>
      <c r="E14" s="8">
        <f>IFERROR(INDEX(案件入力範囲,MATCH($B$12,管理番号リスト,0),4),"")</f>
        <v/>
      </c>
      <c r="F14" s="18" t="n"/>
    </row>
    <row r="15">
      <c r="A15" s="19" t="inlineStr">
        <is>
          <t>旧価格</t>
        </is>
      </c>
      <c r="B15" s="22">
        <f>IFERROR(INDEX(案件入力範囲,MATCH($B$12,管理番号リスト,0),7),"")</f>
        <v/>
      </c>
      <c r="C15" s="23" t="inlineStr">
        <is>
          <t>→</t>
        </is>
      </c>
      <c r="D15" s="21" t="inlineStr">
        <is>
          <t>新価格</t>
        </is>
      </c>
      <c r="E15" s="22">
        <f>IFERROR(INDEX(案件入力範囲,MATCH($B$12,管理番号リスト,0),8),"")</f>
        <v/>
      </c>
      <c r="F15" s="18" t="n"/>
    </row>
    <row r="16">
      <c r="A16" s="19" t="inlineStr">
        <is>
          <t>適用日</t>
        </is>
      </c>
      <c r="B16" s="20">
        <f>IFERROR(INDEX(案件入力範囲,MATCH($B$12,管理番号リスト,0),9),"")</f>
        <v/>
      </c>
      <c r="C16" s="11" t="n"/>
      <c r="D16" s="21" t="inlineStr">
        <is>
          <t>担当者</t>
        </is>
      </c>
      <c r="E16" s="8">
        <f>IFERROR(INDEX(案件入力範囲,MATCH($B$12,管理番号リスト,0),16),"")</f>
        <v/>
      </c>
      <c r="F16" s="18" t="n"/>
    </row>
    <row r="17" ht="30" customHeight="1">
      <c r="A17" s="19" t="inlineStr">
        <is>
          <t>備考</t>
        </is>
      </c>
      <c r="B17" s="8">
        <f>IFERROR(INDEX(案件入力範囲,MATCH($B$12,管理番号リスト,0),13),"")</f>
        <v/>
      </c>
      <c r="C17" s="11" t="n"/>
      <c r="D17" s="11" t="n"/>
      <c r="E17" s="11" t="n"/>
      <c r="F17" s="18" t="n"/>
    </row>
    <row r="18">
      <c r="A18" s="24" t="inlineStr">
        <is>
          <t>確認欄</t>
        </is>
      </c>
      <c r="B18" s="25" t="n"/>
      <c r="C18" s="26" t="n"/>
      <c r="D18" s="27" t="inlineStr">
        <is>
          <t>発行担当：</t>
        </is>
      </c>
      <c r="E18" s="25" t="n"/>
      <c r="F18" s="28" t="n"/>
    </row>
    <row r="21" ht="30" customHeight="1">
      <c r="A21" s="30" t="inlineStr">
        <is>
          <t>使い方: ①上段の「管理番号」で案件を選択 → ②Ctrl+P で印刷（A4縦1枚に自動設定済み） ／ PDF化は印刷画面で「PDFに保存」を選択、またはファイル→エクスポート→PDF作成。</t>
        </is>
      </c>
    </row>
  </sheetData>
  <mergeCells count="28">
    <mergeCell ref="B7:F7"/>
    <mergeCell ref="B16:C16"/>
    <mergeCell ref="B3:C3"/>
    <mergeCell ref="B15"/>
    <mergeCell ref="E5:F5"/>
    <mergeCell ref="E14:F14"/>
    <mergeCell ref="B18:C18"/>
    <mergeCell ref="B5"/>
    <mergeCell ref="A21:F21"/>
    <mergeCell ref="E8:F8"/>
    <mergeCell ref="B12:C12"/>
    <mergeCell ref="E4:F4"/>
    <mergeCell ref="B2:C2"/>
    <mergeCell ref="B14:C14"/>
    <mergeCell ref="E13:F13"/>
    <mergeCell ref="B8:C8"/>
    <mergeCell ref="B17:F17"/>
    <mergeCell ref="B13:C13"/>
    <mergeCell ref="E6:F6"/>
    <mergeCell ref="A10:F10"/>
    <mergeCell ref="E15:F15"/>
    <mergeCell ref="B6:C6"/>
    <mergeCell ref="A11:F11"/>
    <mergeCell ref="E16:F16"/>
    <mergeCell ref="A1:F1"/>
    <mergeCell ref="E18:F18"/>
    <mergeCell ref="B4:C4"/>
    <mergeCell ref="E3:F3"/>
  </mergeCells>
  <dataValidations count="1">
    <dataValidation sqref="B2" showDropDown="0" showInputMessage="0" showErrorMessage="0" allowBlank="1" type="list">
      <formula1>=管理番号リスト</formula1>
    </dataValidation>
  </dataValidations>
  <pageMargins left="0.5" right="0.5" top="0.6" bottom="0.6" header="0.3" footer="0.3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 ht="28" customHeight="1">
      <c r="A1" s="14" t="inlineStr">
        <is>
          <t>単価変更カード（得意先用）</t>
        </is>
      </c>
      <c r="B1" s="15" t="n"/>
      <c r="C1" s="15" t="n"/>
      <c r="D1" s="15" t="n"/>
      <c r="E1" s="15" t="n"/>
      <c r="F1" s="16" t="n"/>
    </row>
    <row r="2">
      <c r="A2" s="17" t="inlineStr">
        <is>
          <t>管理番号</t>
        </is>
      </c>
      <c r="B2" s="11" t="n"/>
      <c r="C2" s="11" t="n"/>
      <c r="D2" s="11" t="n"/>
      <c r="E2" s="11" t="n"/>
      <c r="F2" s="18" t="n"/>
    </row>
    <row r="3">
      <c r="A3" s="19" t="inlineStr">
        <is>
          <t>発行日</t>
        </is>
      </c>
      <c r="B3" s="20">
        <f>IFERROR(INDEX(案件入力範囲,MATCH($B$2,管理番号リスト,0),2),"")</f>
        <v/>
      </c>
      <c r="C3" s="11" t="n"/>
      <c r="D3" s="21" t="inlineStr">
        <is>
          <t>商品名</t>
        </is>
      </c>
      <c r="E3" s="8">
        <f>IFERROR(INDEX(案件入力範囲,MATCH($B$2,管理番号リスト,0),3),"")</f>
        <v/>
      </c>
      <c r="F3" s="18" t="n"/>
    </row>
    <row r="4">
      <c r="A4" s="19" t="inlineStr">
        <is>
          <t>得意先</t>
        </is>
      </c>
      <c r="B4" s="8">
        <f>IFERROR(INDEX(案件入力範囲,MATCH($B$2,管理番号リスト,0),6),"")</f>
        <v/>
      </c>
      <c r="C4" s="11" t="n"/>
      <c r="D4" s="21" t="inlineStr">
        <is>
          <t>荷姿</t>
        </is>
      </c>
      <c r="E4" s="8">
        <f>IFERROR(INDEX(案件入力範囲,MATCH($B$2,管理番号リスト,0),4),"")</f>
        <v/>
      </c>
      <c r="F4" s="18" t="n"/>
    </row>
    <row r="5">
      <c r="A5" s="19" t="inlineStr">
        <is>
          <t>旧価格</t>
        </is>
      </c>
      <c r="B5" s="22">
        <f>IFERROR(INDEX(案件入力範囲,MATCH($B$2,管理番号リスト,0),10),"")</f>
        <v/>
      </c>
      <c r="C5" s="23" t="inlineStr">
        <is>
          <t>→</t>
        </is>
      </c>
      <c r="D5" s="21" t="inlineStr">
        <is>
          <t>新価格</t>
        </is>
      </c>
      <c r="E5" s="22">
        <f>IFERROR(INDEX(案件入力範囲,MATCH($B$2,管理番号リスト,0),11),"")</f>
        <v/>
      </c>
      <c r="F5" s="18" t="n"/>
    </row>
    <row r="6">
      <c r="A6" s="19" t="inlineStr">
        <is>
          <t>適用日</t>
        </is>
      </c>
      <c r="B6" s="20">
        <f>IFERROR(INDEX(案件入力範囲,MATCH($B$2,管理番号リスト,0),12),"")</f>
        <v/>
      </c>
      <c r="C6" s="11" t="n"/>
      <c r="D6" s="21" t="inlineStr">
        <is>
          <t>担当者</t>
        </is>
      </c>
      <c r="E6" s="8">
        <f>IFERROR(INDEX(案件入力範囲,MATCH($B$2,管理番号リスト,0),16),"")</f>
        <v/>
      </c>
      <c r="F6" s="18" t="n"/>
    </row>
    <row r="7" ht="30" customHeight="1">
      <c r="A7" s="19" t="inlineStr">
        <is>
          <t>備考</t>
        </is>
      </c>
      <c r="B7" s="8">
        <f>IFERROR(INDEX(案件入力範囲,MATCH($B$2,管理番号リスト,0),13),"")</f>
        <v/>
      </c>
      <c r="C7" s="11" t="n"/>
      <c r="D7" s="11" t="n"/>
      <c r="E7" s="11" t="n"/>
      <c r="F7" s="18" t="n"/>
    </row>
    <row r="8">
      <c r="A8" s="24" t="inlineStr">
        <is>
          <t>確認欄</t>
        </is>
      </c>
      <c r="B8" s="25" t="n"/>
      <c r="C8" s="26" t="n"/>
      <c r="D8" s="27" t="inlineStr">
        <is>
          <t>発行担当：</t>
        </is>
      </c>
      <c r="E8" s="25" t="n"/>
      <c r="F8" s="28" t="n"/>
    </row>
    <row r="10">
      <c r="A10" s="29" t="inlineStr">
        <is>
          <t>- - - - - - - - - - - - - -  キリトリ線  - - - - - - - - - - - - - -</t>
        </is>
      </c>
    </row>
    <row r="11" ht="28" customHeight="1">
      <c r="A11" s="14" t="inlineStr">
        <is>
          <t>単価変更カード（得意先用）</t>
        </is>
      </c>
      <c r="B11" s="15" t="n"/>
      <c r="C11" s="15" t="n"/>
      <c r="D11" s="15" t="n"/>
      <c r="E11" s="15" t="n"/>
      <c r="F11" s="16" t="n"/>
    </row>
    <row r="12">
      <c r="A12" s="17" t="inlineStr">
        <is>
          <t>管理番号</t>
        </is>
      </c>
      <c r="B12" s="8">
        <f>$B$2</f>
        <v/>
      </c>
      <c r="C12" s="11" t="n"/>
      <c r="D12" s="11" t="n"/>
      <c r="E12" s="11" t="n"/>
      <c r="F12" s="18" t="n"/>
    </row>
    <row r="13">
      <c r="A13" s="19" t="inlineStr">
        <is>
          <t>発行日</t>
        </is>
      </c>
      <c r="B13" s="20">
        <f>IFERROR(INDEX(案件入力範囲,MATCH($B$12,管理番号リスト,0),2),"")</f>
        <v/>
      </c>
      <c r="C13" s="11" t="n"/>
      <c r="D13" s="21" t="inlineStr">
        <is>
          <t>商品名</t>
        </is>
      </c>
      <c r="E13" s="8">
        <f>IFERROR(INDEX(案件入力範囲,MATCH($B$12,管理番号リスト,0),3),"")</f>
        <v/>
      </c>
      <c r="F13" s="18" t="n"/>
    </row>
    <row r="14">
      <c r="A14" s="19" t="inlineStr">
        <is>
          <t>得意先</t>
        </is>
      </c>
      <c r="B14" s="8">
        <f>IFERROR(INDEX(案件入力範囲,MATCH($B$12,管理番号リスト,0),6),"")</f>
        <v/>
      </c>
      <c r="C14" s="11" t="n"/>
      <c r="D14" s="21" t="inlineStr">
        <is>
          <t>荷姿</t>
        </is>
      </c>
      <c r="E14" s="8">
        <f>IFERROR(INDEX(案件入力範囲,MATCH($B$12,管理番号リスト,0),4),"")</f>
        <v/>
      </c>
      <c r="F14" s="18" t="n"/>
    </row>
    <row r="15">
      <c r="A15" s="19" t="inlineStr">
        <is>
          <t>旧価格</t>
        </is>
      </c>
      <c r="B15" s="22">
        <f>IFERROR(INDEX(案件入力範囲,MATCH($B$12,管理番号リスト,0),10),"")</f>
        <v/>
      </c>
      <c r="C15" s="23" t="inlineStr">
        <is>
          <t>→</t>
        </is>
      </c>
      <c r="D15" s="21" t="inlineStr">
        <is>
          <t>新価格</t>
        </is>
      </c>
      <c r="E15" s="22">
        <f>IFERROR(INDEX(案件入力範囲,MATCH($B$12,管理番号リスト,0),11),"")</f>
        <v/>
      </c>
      <c r="F15" s="18" t="n"/>
    </row>
    <row r="16">
      <c r="A16" s="19" t="inlineStr">
        <is>
          <t>適用日</t>
        </is>
      </c>
      <c r="B16" s="20">
        <f>IFERROR(INDEX(案件入力範囲,MATCH($B$12,管理番号リスト,0),12),"")</f>
        <v/>
      </c>
      <c r="C16" s="11" t="n"/>
      <c r="D16" s="21" t="inlineStr">
        <is>
          <t>担当者</t>
        </is>
      </c>
      <c r="E16" s="8">
        <f>IFERROR(INDEX(案件入力範囲,MATCH($B$12,管理番号リスト,0),16),"")</f>
        <v/>
      </c>
      <c r="F16" s="18" t="n"/>
    </row>
    <row r="17" ht="30" customHeight="1">
      <c r="A17" s="19" t="inlineStr">
        <is>
          <t>備考</t>
        </is>
      </c>
      <c r="B17" s="8">
        <f>IFERROR(INDEX(案件入力範囲,MATCH($B$12,管理番号リスト,0),13),"")</f>
        <v/>
      </c>
      <c r="C17" s="11" t="n"/>
      <c r="D17" s="11" t="n"/>
      <c r="E17" s="11" t="n"/>
      <c r="F17" s="18" t="n"/>
    </row>
    <row r="18">
      <c r="A18" s="24" t="inlineStr">
        <is>
          <t>確認欄</t>
        </is>
      </c>
      <c r="B18" s="25" t="n"/>
      <c r="C18" s="26" t="n"/>
      <c r="D18" s="27" t="inlineStr">
        <is>
          <t>発行担当：</t>
        </is>
      </c>
      <c r="E18" s="25" t="n"/>
      <c r="F18" s="28" t="n"/>
    </row>
    <row r="21" ht="30" customHeight="1">
      <c r="A21" s="30" t="inlineStr">
        <is>
          <t>使い方: ①上段の「管理番号」で案件を選択 → ②Ctrl+P で印刷（A4縦1枚に自動設定済み） ／ PDF化は印刷画面で「PDFに保存」を選択、またはファイル→エクスポート→PDF作成。</t>
        </is>
      </c>
    </row>
  </sheetData>
  <mergeCells count="28">
    <mergeCell ref="B7:F7"/>
    <mergeCell ref="B16:C16"/>
    <mergeCell ref="B3:C3"/>
    <mergeCell ref="B15"/>
    <mergeCell ref="E5:F5"/>
    <mergeCell ref="E14:F14"/>
    <mergeCell ref="B18:C18"/>
    <mergeCell ref="B5"/>
    <mergeCell ref="A21:F21"/>
    <mergeCell ref="E8:F8"/>
    <mergeCell ref="B12:C12"/>
    <mergeCell ref="E4:F4"/>
    <mergeCell ref="B2:C2"/>
    <mergeCell ref="B14:C14"/>
    <mergeCell ref="E13:F13"/>
    <mergeCell ref="B8:C8"/>
    <mergeCell ref="B17:F17"/>
    <mergeCell ref="B13:C13"/>
    <mergeCell ref="E6:F6"/>
    <mergeCell ref="A10:F10"/>
    <mergeCell ref="E15:F15"/>
    <mergeCell ref="B6:C6"/>
    <mergeCell ref="A11:F11"/>
    <mergeCell ref="E16:F16"/>
    <mergeCell ref="A1:F1"/>
    <mergeCell ref="E18:F18"/>
    <mergeCell ref="B4:C4"/>
    <mergeCell ref="E3:F3"/>
  </mergeCells>
  <dataValidations count="1">
    <dataValidation sqref="B2" showDropDown="0" showInputMessage="0" showErrorMessage="0" allowBlank="1" type="list">
      <formula1>=管理番号リスト</formula1>
    </dataValidation>
  </dataValidations>
  <pageMargins left="0.5" right="0.5" top="0.6" bottom="0.6" header="0.3" footer="0.3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20" customWidth="1" min="5" max="5"/>
    <col width="2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24" customWidth="1" min="13" max="13"/>
    <col width="12" customWidth="1" min="14" max="14"/>
    <col width="10" customWidth="1" min="15" max="15"/>
    <col width="12" customWidth="1" min="16" max="16"/>
  </cols>
  <sheetData>
    <row r="1">
      <c r="A1" t="inlineStr">
        <is>
          <t>管理番号</t>
        </is>
      </c>
      <c r="B1" t="inlineStr">
        <is>
          <t>記入日</t>
        </is>
      </c>
      <c r="C1" t="inlineStr">
        <is>
          <t>商品名</t>
        </is>
      </c>
      <c r="D1" t="inlineStr">
        <is>
          <t>荷姿</t>
        </is>
      </c>
      <c r="E1" t="inlineStr">
        <is>
          <t>仕入先</t>
        </is>
      </c>
      <c r="F1" t="inlineStr">
        <is>
          <t>得意先</t>
        </is>
      </c>
      <c r="G1" t="inlineStr">
        <is>
          <t>旧仕入値</t>
        </is>
      </c>
      <c r="H1" t="inlineStr">
        <is>
          <t>新仕入値</t>
        </is>
      </c>
      <c r="I1" t="inlineStr">
        <is>
          <t>仕入適用日</t>
        </is>
      </c>
      <c r="J1" t="inlineStr">
        <is>
          <t>旧売価</t>
        </is>
      </c>
      <c r="K1" t="inlineStr">
        <is>
          <t>新売価</t>
        </is>
      </c>
      <c r="L1" t="inlineStr">
        <is>
          <t>売価適用日</t>
        </is>
      </c>
      <c r="M1" t="inlineStr">
        <is>
          <t>備考</t>
        </is>
      </c>
      <c r="N1" t="inlineStr">
        <is>
          <t>カード印刷済</t>
        </is>
      </c>
      <c r="O1" t="inlineStr">
        <is>
          <t>完了</t>
        </is>
      </c>
      <c r="P1" t="inlineStr">
        <is>
          <t>担当者</t>
        </is>
      </c>
    </row>
    <row r="2">
      <c r="A2" s="31">
        <f>案件入力!A2</f>
        <v/>
      </c>
      <c r="B2" s="32">
        <f>案件入力!B2</f>
        <v/>
      </c>
      <c r="C2" s="33">
        <f>案件入力!C2</f>
        <v/>
      </c>
      <c r="D2" s="31">
        <f>案件入力!D2</f>
        <v/>
      </c>
      <c r="E2" s="31">
        <f>案件入力!E2</f>
        <v/>
      </c>
      <c r="F2" s="31">
        <f>案件入力!F2</f>
        <v/>
      </c>
      <c r="G2" s="34">
        <f>案件入力!G2</f>
        <v/>
      </c>
      <c r="H2" s="34">
        <f>案件入力!H2</f>
        <v/>
      </c>
      <c r="I2" s="32">
        <f>案件入力!I2</f>
        <v/>
      </c>
      <c r="J2" s="34">
        <f>案件入力!J2</f>
        <v/>
      </c>
      <c r="K2" s="34">
        <f>案件入力!K2</f>
        <v/>
      </c>
      <c r="L2" s="32">
        <f>案件入力!L2</f>
        <v/>
      </c>
      <c r="M2" s="33">
        <f>案件入力!M2</f>
        <v/>
      </c>
      <c r="N2" s="31">
        <f>案件入力!N2</f>
        <v/>
      </c>
      <c r="O2" s="31">
        <f>案件入力!O2</f>
        <v/>
      </c>
      <c r="P2" s="31">
        <f>案件入力!P2</f>
        <v/>
      </c>
    </row>
    <row r="3">
      <c r="A3" s="31">
        <f>案件入力!A3</f>
        <v/>
      </c>
      <c r="B3" s="32">
        <f>案件入力!B3</f>
        <v/>
      </c>
      <c r="C3" s="33">
        <f>案件入力!C3</f>
        <v/>
      </c>
      <c r="D3" s="31">
        <f>案件入力!D3</f>
        <v/>
      </c>
      <c r="E3" s="31">
        <f>案件入力!E3</f>
        <v/>
      </c>
      <c r="F3" s="31">
        <f>案件入力!F3</f>
        <v/>
      </c>
      <c r="G3" s="34">
        <f>案件入力!G3</f>
        <v/>
      </c>
      <c r="H3" s="34">
        <f>案件入力!H3</f>
        <v/>
      </c>
      <c r="I3" s="32">
        <f>案件入力!I3</f>
        <v/>
      </c>
      <c r="J3" s="34">
        <f>案件入力!J3</f>
        <v/>
      </c>
      <c r="K3" s="34">
        <f>案件入力!K3</f>
        <v/>
      </c>
      <c r="L3" s="32">
        <f>案件入力!L3</f>
        <v/>
      </c>
      <c r="M3" s="33">
        <f>案件入力!M3</f>
        <v/>
      </c>
      <c r="N3" s="31">
        <f>案件入力!N3</f>
        <v/>
      </c>
      <c r="O3" s="31">
        <f>案件入力!O3</f>
        <v/>
      </c>
      <c r="P3" s="31">
        <f>案件入力!P3</f>
        <v/>
      </c>
    </row>
    <row r="4">
      <c r="A4" s="31">
        <f>案件入力!A4</f>
        <v/>
      </c>
      <c r="B4" s="32">
        <f>案件入力!B4</f>
        <v/>
      </c>
      <c r="C4" s="33">
        <f>案件入力!C4</f>
        <v/>
      </c>
      <c r="D4" s="31">
        <f>案件入力!D4</f>
        <v/>
      </c>
      <c r="E4" s="31">
        <f>案件入力!E4</f>
        <v/>
      </c>
      <c r="F4" s="31">
        <f>案件入力!F4</f>
        <v/>
      </c>
      <c r="G4" s="34">
        <f>案件入力!G4</f>
        <v/>
      </c>
      <c r="H4" s="34">
        <f>案件入力!H4</f>
        <v/>
      </c>
      <c r="I4" s="32">
        <f>案件入力!I4</f>
        <v/>
      </c>
      <c r="J4" s="34">
        <f>案件入力!J4</f>
        <v/>
      </c>
      <c r="K4" s="34">
        <f>案件入力!K4</f>
        <v/>
      </c>
      <c r="L4" s="32">
        <f>案件入力!L4</f>
        <v/>
      </c>
      <c r="M4" s="33">
        <f>案件入力!M4</f>
        <v/>
      </c>
      <c r="N4" s="31">
        <f>案件入力!N4</f>
        <v/>
      </c>
      <c r="O4" s="31">
        <f>案件入力!O4</f>
        <v/>
      </c>
      <c r="P4" s="31">
        <f>案件入力!P4</f>
        <v/>
      </c>
    </row>
    <row r="5">
      <c r="A5" s="31">
        <f>案件入力!A5</f>
        <v/>
      </c>
      <c r="B5" s="32">
        <f>案件入力!B5</f>
        <v/>
      </c>
      <c r="C5" s="33">
        <f>案件入力!C5</f>
        <v/>
      </c>
      <c r="D5" s="31">
        <f>案件入力!D5</f>
        <v/>
      </c>
      <c r="E5" s="31">
        <f>案件入力!E5</f>
        <v/>
      </c>
      <c r="F5" s="31">
        <f>案件入力!F5</f>
        <v/>
      </c>
      <c r="G5" s="34">
        <f>案件入力!G5</f>
        <v/>
      </c>
      <c r="H5" s="34">
        <f>案件入力!H5</f>
        <v/>
      </c>
      <c r="I5" s="32">
        <f>案件入力!I5</f>
        <v/>
      </c>
      <c r="J5" s="34">
        <f>案件入力!J5</f>
        <v/>
      </c>
      <c r="K5" s="34">
        <f>案件入力!K5</f>
        <v/>
      </c>
      <c r="L5" s="32">
        <f>案件入力!L5</f>
        <v/>
      </c>
      <c r="M5" s="33">
        <f>案件入力!M5</f>
        <v/>
      </c>
      <c r="N5" s="31">
        <f>案件入力!N5</f>
        <v/>
      </c>
      <c r="O5" s="31">
        <f>案件入力!O5</f>
        <v/>
      </c>
      <c r="P5" s="31">
        <f>案件入力!P5</f>
        <v/>
      </c>
    </row>
    <row r="6">
      <c r="A6" s="31">
        <f>案件入力!A6</f>
        <v/>
      </c>
      <c r="B6" s="32">
        <f>案件入力!B6</f>
        <v/>
      </c>
      <c r="C6" s="33">
        <f>案件入力!C6</f>
        <v/>
      </c>
      <c r="D6" s="31">
        <f>案件入力!D6</f>
        <v/>
      </c>
      <c r="E6" s="31">
        <f>案件入力!E6</f>
        <v/>
      </c>
      <c r="F6" s="31">
        <f>案件入力!F6</f>
        <v/>
      </c>
      <c r="G6" s="34">
        <f>案件入力!G6</f>
        <v/>
      </c>
      <c r="H6" s="34">
        <f>案件入力!H6</f>
        <v/>
      </c>
      <c r="I6" s="32">
        <f>案件入力!I6</f>
        <v/>
      </c>
      <c r="J6" s="34">
        <f>案件入力!J6</f>
        <v/>
      </c>
      <c r="K6" s="34">
        <f>案件入力!K6</f>
        <v/>
      </c>
      <c r="L6" s="32">
        <f>案件入力!L6</f>
        <v/>
      </c>
      <c r="M6" s="33">
        <f>案件入力!M6</f>
        <v/>
      </c>
      <c r="N6" s="31">
        <f>案件入力!N6</f>
        <v/>
      </c>
      <c r="O6" s="31">
        <f>案件入力!O6</f>
        <v/>
      </c>
      <c r="P6" s="31">
        <f>案件入力!P6</f>
        <v/>
      </c>
    </row>
    <row r="7">
      <c r="A7" s="31">
        <f>案件入力!A7</f>
        <v/>
      </c>
      <c r="B7" s="32">
        <f>案件入力!B7</f>
        <v/>
      </c>
      <c r="C7" s="33">
        <f>案件入力!C7</f>
        <v/>
      </c>
      <c r="D7" s="31">
        <f>案件入力!D7</f>
        <v/>
      </c>
      <c r="E7" s="31">
        <f>案件入力!E7</f>
        <v/>
      </c>
      <c r="F7" s="31">
        <f>案件入力!F7</f>
        <v/>
      </c>
      <c r="G7" s="34">
        <f>案件入力!G7</f>
        <v/>
      </c>
      <c r="H7" s="34">
        <f>案件入力!H7</f>
        <v/>
      </c>
      <c r="I7" s="32">
        <f>案件入力!I7</f>
        <v/>
      </c>
      <c r="J7" s="34">
        <f>案件入力!J7</f>
        <v/>
      </c>
      <c r="K7" s="34">
        <f>案件入力!K7</f>
        <v/>
      </c>
      <c r="L7" s="32">
        <f>案件入力!L7</f>
        <v/>
      </c>
      <c r="M7" s="33">
        <f>案件入力!M7</f>
        <v/>
      </c>
      <c r="N7" s="31">
        <f>案件入力!N7</f>
        <v/>
      </c>
      <c r="O7" s="31">
        <f>案件入力!O7</f>
        <v/>
      </c>
      <c r="P7" s="31">
        <f>案件入力!P7</f>
        <v/>
      </c>
    </row>
    <row r="8">
      <c r="A8" s="31">
        <f>案件入力!A8</f>
        <v/>
      </c>
      <c r="B8" s="32">
        <f>案件入力!B8</f>
        <v/>
      </c>
      <c r="C8" s="33">
        <f>案件入力!C8</f>
        <v/>
      </c>
      <c r="D8" s="31">
        <f>案件入力!D8</f>
        <v/>
      </c>
      <c r="E8" s="31">
        <f>案件入力!E8</f>
        <v/>
      </c>
      <c r="F8" s="31">
        <f>案件入力!F8</f>
        <v/>
      </c>
      <c r="G8" s="34">
        <f>案件入力!G8</f>
        <v/>
      </c>
      <c r="H8" s="34">
        <f>案件入力!H8</f>
        <v/>
      </c>
      <c r="I8" s="32">
        <f>案件入力!I8</f>
        <v/>
      </c>
      <c r="J8" s="34">
        <f>案件入力!J8</f>
        <v/>
      </c>
      <c r="K8" s="34">
        <f>案件入力!K8</f>
        <v/>
      </c>
      <c r="L8" s="32">
        <f>案件入力!L8</f>
        <v/>
      </c>
      <c r="M8" s="33">
        <f>案件入力!M8</f>
        <v/>
      </c>
      <c r="N8" s="31">
        <f>案件入力!N8</f>
        <v/>
      </c>
      <c r="O8" s="31">
        <f>案件入力!O8</f>
        <v/>
      </c>
      <c r="P8" s="31">
        <f>案件入力!P8</f>
        <v/>
      </c>
    </row>
    <row r="9">
      <c r="A9" s="31">
        <f>案件入力!A9</f>
        <v/>
      </c>
      <c r="B9" s="32">
        <f>案件入力!B9</f>
        <v/>
      </c>
      <c r="C9" s="33">
        <f>案件入力!C9</f>
        <v/>
      </c>
      <c r="D9" s="31">
        <f>案件入力!D9</f>
        <v/>
      </c>
      <c r="E9" s="31">
        <f>案件入力!E9</f>
        <v/>
      </c>
      <c r="F9" s="31">
        <f>案件入力!F9</f>
        <v/>
      </c>
      <c r="G9" s="34">
        <f>案件入力!G9</f>
        <v/>
      </c>
      <c r="H9" s="34">
        <f>案件入力!H9</f>
        <v/>
      </c>
      <c r="I9" s="32">
        <f>案件入力!I9</f>
        <v/>
      </c>
      <c r="J9" s="34">
        <f>案件入力!J9</f>
        <v/>
      </c>
      <c r="K9" s="34">
        <f>案件入力!K9</f>
        <v/>
      </c>
      <c r="L9" s="32">
        <f>案件入力!L9</f>
        <v/>
      </c>
      <c r="M9" s="33">
        <f>案件入力!M9</f>
        <v/>
      </c>
      <c r="N9" s="31">
        <f>案件入力!N9</f>
        <v/>
      </c>
      <c r="O9" s="31">
        <f>案件入力!O9</f>
        <v/>
      </c>
      <c r="P9" s="31">
        <f>案件入力!P9</f>
        <v/>
      </c>
    </row>
    <row r="10">
      <c r="A10" s="31">
        <f>案件入力!A10</f>
        <v/>
      </c>
      <c r="B10" s="32">
        <f>案件入力!B10</f>
        <v/>
      </c>
      <c r="C10" s="33">
        <f>案件入力!C10</f>
        <v/>
      </c>
      <c r="D10" s="31">
        <f>案件入力!D10</f>
        <v/>
      </c>
      <c r="E10" s="31">
        <f>案件入力!E10</f>
        <v/>
      </c>
      <c r="F10" s="31">
        <f>案件入力!F10</f>
        <v/>
      </c>
      <c r="G10" s="34">
        <f>案件入力!G10</f>
        <v/>
      </c>
      <c r="H10" s="34">
        <f>案件入力!H10</f>
        <v/>
      </c>
      <c r="I10" s="32">
        <f>案件入力!I10</f>
        <v/>
      </c>
      <c r="J10" s="34">
        <f>案件入力!J10</f>
        <v/>
      </c>
      <c r="K10" s="34">
        <f>案件入力!K10</f>
        <v/>
      </c>
      <c r="L10" s="32">
        <f>案件入力!L10</f>
        <v/>
      </c>
      <c r="M10" s="33">
        <f>案件入力!M10</f>
        <v/>
      </c>
      <c r="N10" s="31">
        <f>案件入力!N10</f>
        <v/>
      </c>
      <c r="O10" s="31">
        <f>案件入力!O10</f>
        <v/>
      </c>
      <c r="P10" s="31">
        <f>案件入力!P10</f>
        <v/>
      </c>
    </row>
    <row r="11">
      <c r="A11" s="31">
        <f>案件入力!A11</f>
        <v/>
      </c>
      <c r="B11" s="32">
        <f>案件入力!B11</f>
        <v/>
      </c>
      <c r="C11" s="33">
        <f>案件入力!C11</f>
        <v/>
      </c>
      <c r="D11" s="31">
        <f>案件入力!D11</f>
        <v/>
      </c>
      <c r="E11" s="31">
        <f>案件入力!E11</f>
        <v/>
      </c>
      <c r="F11" s="31">
        <f>案件入力!F11</f>
        <v/>
      </c>
      <c r="G11" s="34">
        <f>案件入力!G11</f>
        <v/>
      </c>
      <c r="H11" s="34">
        <f>案件入力!H11</f>
        <v/>
      </c>
      <c r="I11" s="32">
        <f>案件入力!I11</f>
        <v/>
      </c>
      <c r="J11" s="34">
        <f>案件入力!J11</f>
        <v/>
      </c>
      <c r="K11" s="34">
        <f>案件入力!K11</f>
        <v/>
      </c>
      <c r="L11" s="32">
        <f>案件入力!L11</f>
        <v/>
      </c>
      <c r="M11" s="33">
        <f>案件入力!M11</f>
        <v/>
      </c>
      <c r="N11" s="31">
        <f>案件入力!N11</f>
        <v/>
      </c>
      <c r="O11" s="31">
        <f>案件入力!O11</f>
        <v/>
      </c>
      <c r="P11" s="31">
        <f>案件入力!P11</f>
        <v/>
      </c>
    </row>
    <row r="12">
      <c r="A12" s="31">
        <f>案件入力!A12</f>
        <v/>
      </c>
      <c r="B12" s="32">
        <f>案件入力!B12</f>
        <v/>
      </c>
      <c r="C12" s="33">
        <f>案件入力!C12</f>
        <v/>
      </c>
      <c r="D12" s="31">
        <f>案件入力!D12</f>
        <v/>
      </c>
      <c r="E12" s="31">
        <f>案件入力!E12</f>
        <v/>
      </c>
      <c r="F12" s="31">
        <f>案件入力!F12</f>
        <v/>
      </c>
      <c r="G12" s="34">
        <f>案件入力!G12</f>
        <v/>
      </c>
      <c r="H12" s="34">
        <f>案件入力!H12</f>
        <v/>
      </c>
      <c r="I12" s="32">
        <f>案件入力!I12</f>
        <v/>
      </c>
      <c r="J12" s="34">
        <f>案件入力!J12</f>
        <v/>
      </c>
      <c r="K12" s="34">
        <f>案件入力!K12</f>
        <v/>
      </c>
      <c r="L12" s="32">
        <f>案件入力!L12</f>
        <v/>
      </c>
      <c r="M12" s="33">
        <f>案件入力!M12</f>
        <v/>
      </c>
      <c r="N12" s="31">
        <f>案件入力!N12</f>
        <v/>
      </c>
      <c r="O12" s="31">
        <f>案件入力!O12</f>
        <v/>
      </c>
      <c r="P12" s="31">
        <f>案件入力!P12</f>
        <v/>
      </c>
    </row>
    <row r="13">
      <c r="A13" s="31">
        <f>案件入力!A13</f>
        <v/>
      </c>
      <c r="B13" s="32">
        <f>案件入力!B13</f>
        <v/>
      </c>
      <c r="C13" s="33">
        <f>案件入力!C13</f>
        <v/>
      </c>
      <c r="D13" s="31">
        <f>案件入力!D13</f>
        <v/>
      </c>
      <c r="E13" s="31">
        <f>案件入力!E13</f>
        <v/>
      </c>
      <c r="F13" s="31">
        <f>案件入力!F13</f>
        <v/>
      </c>
      <c r="G13" s="34">
        <f>案件入力!G13</f>
        <v/>
      </c>
      <c r="H13" s="34">
        <f>案件入力!H13</f>
        <v/>
      </c>
      <c r="I13" s="32">
        <f>案件入力!I13</f>
        <v/>
      </c>
      <c r="J13" s="34">
        <f>案件入力!J13</f>
        <v/>
      </c>
      <c r="K13" s="34">
        <f>案件入力!K13</f>
        <v/>
      </c>
      <c r="L13" s="32">
        <f>案件入力!L13</f>
        <v/>
      </c>
      <c r="M13" s="33">
        <f>案件入力!M13</f>
        <v/>
      </c>
      <c r="N13" s="31">
        <f>案件入力!N13</f>
        <v/>
      </c>
      <c r="O13" s="31">
        <f>案件入力!O13</f>
        <v/>
      </c>
      <c r="P13" s="31">
        <f>案件入力!P13</f>
        <v/>
      </c>
    </row>
    <row r="14">
      <c r="A14" s="31">
        <f>案件入力!A14</f>
        <v/>
      </c>
      <c r="B14" s="32">
        <f>案件入力!B14</f>
        <v/>
      </c>
      <c r="C14" s="33">
        <f>案件入力!C14</f>
        <v/>
      </c>
      <c r="D14" s="31">
        <f>案件入力!D14</f>
        <v/>
      </c>
      <c r="E14" s="31">
        <f>案件入力!E14</f>
        <v/>
      </c>
      <c r="F14" s="31">
        <f>案件入力!F14</f>
        <v/>
      </c>
      <c r="G14" s="34">
        <f>案件入力!G14</f>
        <v/>
      </c>
      <c r="H14" s="34">
        <f>案件入力!H14</f>
        <v/>
      </c>
      <c r="I14" s="32">
        <f>案件入力!I14</f>
        <v/>
      </c>
      <c r="J14" s="34">
        <f>案件入力!J14</f>
        <v/>
      </c>
      <c r="K14" s="34">
        <f>案件入力!K14</f>
        <v/>
      </c>
      <c r="L14" s="32">
        <f>案件入力!L14</f>
        <v/>
      </c>
      <c r="M14" s="33">
        <f>案件入力!M14</f>
        <v/>
      </c>
      <c r="N14" s="31">
        <f>案件入力!N14</f>
        <v/>
      </c>
      <c r="O14" s="31">
        <f>案件入力!O14</f>
        <v/>
      </c>
      <c r="P14" s="31">
        <f>案件入力!P14</f>
        <v/>
      </c>
    </row>
    <row r="15">
      <c r="A15" s="31">
        <f>案件入力!A15</f>
        <v/>
      </c>
      <c r="B15" s="32">
        <f>案件入力!B15</f>
        <v/>
      </c>
      <c r="C15" s="33">
        <f>案件入力!C15</f>
        <v/>
      </c>
      <c r="D15" s="31">
        <f>案件入力!D15</f>
        <v/>
      </c>
      <c r="E15" s="31">
        <f>案件入力!E15</f>
        <v/>
      </c>
      <c r="F15" s="31">
        <f>案件入力!F15</f>
        <v/>
      </c>
      <c r="G15" s="34">
        <f>案件入力!G15</f>
        <v/>
      </c>
      <c r="H15" s="34">
        <f>案件入力!H15</f>
        <v/>
      </c>
      <c r="I15" s="32">
        <f>案件入力!I15</f>
        <v/>
      </c>
      <c r="J15" s="34">
        <f>案件入力!J15</f>
        <v/>
      </c>
      <c r="K15" s="34">
        <f>案件入力!K15</f>
        <v/>
      </c>
      <c r="L15" s="32">
        <f>案件入力!L15</f>
        <v/>
      </c>
      <c r="M15" s="33">
        <f>案件入力!M15</f>
        <v/>
      </c>
      <c r="N15" s="31">
        <f>案件入力!N15</f>
        <v/>
      </c>
      <c r="O15" s="31">
        <f>案件入力!O15</f>
        <v/>
      </c>
      <c r="P15" s="31">
        <f>案件入力!P15</f>
        <v/>
      </c>
    </row>
    <row r="16">
      <c r="A16" s="31">
        <f>案件入力!A16</f>
        <v/>
      </c>
      <c r="B16" s="32">
        <f>案件入力!B16</f>
        <v/>
      </c>
      <c r="C16" s="33">
        <f>案件入力!C16</f>
        <v/>
      </c>
      <c r="D16" s="31">
        <f>案件入力!D16</f>
        <v/>
      </c>
      <c r="E16" s="31">
        <f>案件入力!E16</f>
        <v/>
      </c>
      <c r="F16" s="31">
        <f>案件入力!F16</f>
        <v/>
      </c>
      <c r="G16" s="34">
        <f>案件入力!G16</f>
        <v/>
      </c>
      <c r="H16" s="34">
        <f>案件入力!H16</f>
        <v/>
      </c>
      <c r="I16" s="32">
        <f>案件入力!I16</f>
        <v/>
      </c>
      <c r="J16" s="34">
        <f>案件入力!J16</f>
        <v/>
      </c>
      <c r="K16" s="34">
        <f>案件入力!K16</f>
        <v/>
      </c>
      <c r="L16" s="32">
        <f>案件入力!L16</f>
        <v/>
      </c>
      <c r="M16" s="33">
        <f>案件入力!M16</f>
        <v/>
      </c>
      <c r="N16" s="31">
        <f>案件入力!N16</f>
        <v/>
      </c>
      <c r="O16" s="31">
        <f>案件入力!O16</f>
        <v/>
      </c>
      <c r="P16" s="31">
        <f>案件入力!P16</f>
        <v/>
      </c>
    </row>
    <row r="17">
      <c r="A17" s="31">
        <f>案件入力!A17</f>
        <v/>
      </c>
      <c r="B17" s="32">
        <f>案件入力!B17</f>
        <v/>
      </c>
      <c r="C17" s="33">
        <f>案件入力!C17</f>
        <v/>
      </c>
      <c r="D17" s="31">
        <f>案件入力!D17</f>
        <v/>
      </c>
      <c r="E17" s="31">
        <f>案件入力!E17</f>
        <v/>
      </c>
      <c r="F17" s="31">
        <f>案件入力!F17</f>
        <v/>
      </c>
      <c r="G17" s="34">
        <f>案件入力!G17</f>
        <v/>
      </c>
      <c r="H17" s="34">
        <f>案件入力!H17</f>
        <v/>
      </c>
      <c r="I17" s="32">
        <f>案件入力!I17</f>
        <v/>
      </c>
      <c r="J17" s="34">
        <f>案件入力!J17</f>
        <v/>
      </c>
      <c r="K17" s="34">
        <f>案件入力!K17</f>
        <v/>
      </c>
      <c r="L17" s="32">
        <f>案件入力!L17</f>
        <v/>
      </c>
      <c r="M17" s="33">
        <f>案件入力!M17</f>
        <v/>
      </c>
      <c r="N17" s="31">
        <f>案件入力!N17</f>
        <v/>
      </c>
      <c r="O17" s="31">
        <f>案件入力!O17</f>
        <v/>
      </c>
      <c r="P17" s="31">
        <f>案件入力!P17</f>
        <v/>
      </c>
    </row>
    <row r="18">
      <c r="A18" s="31">
        <f>案件入力!A18</f>
        <v/>
      </c>
      <c r="B18" s="32">
        <f>案件入力!B18</f>
        <v/>
      </c>
      <c r="C18" s="33">
        <f>案件入力!C18</f>
        <v/>
      </c>
      <c r="D18" s="31">
        <f>案件入力!D18</f>
        <v/>
      </c>
      <c r="E18" s="31">
        <f>案件入力!E18</f>
        <v/>
      </c>
      <c r="F18" s="31">
        <f>案件入力!F18</f>
        <v/>
      </c>
      <c r="G18" s="34">
        <f>案件入力!G18</f>
        <v/>
      </c>
      <c r="H18" s="34">
        <f>案件入力!H18</f>
        <v/>
      </c>
      <c r="I18" s="32">
        <f>案件入力!I18</f>
        <v/>
      </c>
      <c r="J18" s="34">
        <f>案件入力!J18</f>
        <v/>
      </c>
      <c r="K18" s="34">
        <f>案件入力!K18</f>
        <v/>
      </c>
      <c r="L18" s="32">
        <f>案件入力!L18</f>
        <v/>
      </c>
      <c r="M18" s="33">
        <f>案件入力!M18</f>
        <v/>
      </c>
      <c r="N18" s="31">
        <f>案件入力!N18</f>
        <v/>
      </c>
      <c r="O18" s="31">
        <f>案件入力!O18</f>
        <v/>
      </c>
      <c r="P18" s="31">
        <f>案件入力!P18</f>
        <v/>
      </c>
    </row>
    <row r="19">
      <c r="A19" s="31">
        <f>案件入力!A19</f>
        <v/>
      </c>
      <c r="B19" s="32">
        <f>案件入力!B19</f>
        <v/>
      </c>
      <c r="C19" s="33">
        <f>案件入力!C19</f>
        <v/>
      </c>
      <c r="D19" s="31">
        <f>案件入力!D19</f>
        <v/>
      </c>
      <c r="E19" s="31">
        <f>案件入力!E19</f>
        <v/>
      </c>
      <c r="F19" s="31">
        <f>案件入力!F19</f>
        <v/>
      </c>
      <c r="G19" s="34">
        <f>案件入力!G19</f>
        <v/>
      </c>
      <c r="H19" s="34">
        <f>案件入力!H19</f>
        <v/>
      </c>
      <c r="I19" s="32">
        <f>案件入力!I19</f>
        <v/>
      </c>
      <c r="J19" s="34">
        <f>案件入力!J19</f>
        <v/>
      </c>
      <c r="K19" s="34">
        <f>案件入力!K19</f>
        <v/>
      </c>
      <c r="L19" s="32">
        <f>案件入力!L19</f>
        <v/>
      </c>
      <c r="M19" s="33">
        <f>案件入力!M19</f>
        <v/>
      </c>
      <c r="N19" s="31">
        <f>案件入力!N19</f>
        <v/>
      </c>
      <c r="O19" s="31">
        <f>案件入力!O19</f>
        <v/>
      </c>
      <c r="P19" s="31">
        <f>案件入力!P19</f>
        <v/>
      </c>
    </row>
    <row r="20">
      <c r="A20" s="31">
        <f>案件入力!A20</f>
        <v/>
      </c>
      <c r="B20" s="32">
        <f>案件入力!B20</f>
        <v/>
      </c>
      <c r="C20" s="33">
        <f>案件入力!C20</f>
        <v/>
      </c>
      <c r="D20" s="31">
        <f>案件入力!D20</f>
        <v/>
      </c>
      <c r="E20" s="31">
        <f>案件入力!E20</f>
        <v/>
      </c>
      <c r="F20" s="31">
        <f>案件入力!F20</f>
        <v/>
      </c>
      <c r="G20" s="34">
        <f>案件入力!G20</f>
        <v/>
      </c>
      <c r="H20" s="34">
        <f>案件入力!H20</f>
        <v/>
      </c>
      <c r="I20" s="32">
        <f>案件入力!I20</f>
        <v/>
      </c>
      <c r="J20" s="34">
        <f>案件入力!J20</f>
        <v/>
      </c>
      <c r="K20" s="34">
        <f>案件入力!K20</f>
        <v/>
      </c>
      <c r="L20" s="32">
        <f>案件入力!L20</f>
        <v/>
      </c>
      <c r="M20" s="33">
        <f>案件入力!M20</f>
        <v/>
      </c>
      <c r="N20" s="31">
        <f>案件入力!N20</f>
        <v/>
      </c>
      <c r="O20" s="31">
        <f>案件入力!O20</f>
        <v/>
      </c>
      <c r="P20" s="31">
        <f>案件入力!P20</f>
        <v/>
      </c>
    </row>
    <row r="21">
      <c r="A21" s="31">
        <f>案件入力!A21</f>
        <v/>
      </c>
      <c r="B21" s="32">
        <f>案件入力!B21</f>
        <v/>
      </c>
      <c r="C21" s="33">
        <f>案件入力!C21</f>
        <v/>
      </c>
      <c r="D21" s="31">
        <f>案件入力!D21</f>
        <v/>
      </c>
      <c r="E21" s="31">
        <f>案件入力!E21</f>
        <v/>
      </c>
      <c r="F21" s="31">
        <f>案件入力!F21</f>
        <v/>
      </c>
      <c r="G21" s="34">
        <f>案件入力!G21</f>
        <v/>
      </c>
      <c r="H21" s="34">
        <f>案件入力!H21</f>
        <v/>
      </c>
      <c r="I21" s="32">
        <f>案件入力!I21</f>
        <v/>
      </c>
      <c r="J21" s="34">
        <f>案件入力!J21</f>
        <v/>
      </c>
      <c r="K21" s="34">
        <f>案件入力!K21</f>
        <v/>
      </c>
      <c r="L21" s="32">
        <f>案件入力!L21</f>
        <v/>
      </c>
      <c r="M21" s="33">
        <f>案件入力!M21</f>
        <v/>
      </c>
      <c r="N21" s="31">
        <f>案件入力!N21</f>
        <v/>
      </c>
      <c r="O21" s="31">
        <f>案件入力!O21</f>
        <v/>
      </c>
      <c r="P21" s="31">
        <f>案件入力!P21</f>
        <v/>
      </c>
    </row>
    <row r="22">
      <c r="A22" s="31">
        <f>案件入力!A22</f>
        <v/>
      </c>
      <c r="B22" s="32">
        <f>案件入力!B22</f>
        <v/>
      </c>
      <c r="C22" s="33">
        <f>案件入力!C22</f>
        <v/>
      </c>
      <c r="D22" s="31">
        <f>案件入力!D22</f>
        <v/>
      </c>
      <c r="E22" s="31">
        <f>案件入力!E22</f>
        <v/>
      </c>
      <c r="F22" s="31">
        <f>案件入力!F22</f>
        <v/>
      </c>
      <c r="G22" s="34">
        <f>案件入力!G22</f>
        <v/>
      </c>
      <c r="H22" s="34">
        <f>案件入力!H22</f>
        <v/>
      </c>
      <c r="I22" s="32">
        <f>案件入力!I22</f>
        <v/>
      </c>
      <c r="J22" s="34">
        <f>案件入力!J22</f>
        <v/>
      </c>
      <c r="K22" s="34">
        <f>案件入力!K22</f>
        <v/>
      </c>
      <c r="L22" s="32">
        <f>案件入力!L22</f>
        <v/>
      </c>
      <c r="M22" s="33">
        <f>案件入力!M22</f>
        <v/>
      </c>
      <c r="N22" s="31">
        <f>案件入力!N22</f>
        <v/>
      </c>
      <c r="O22" s="31">
        <f>案件入力!O22</f>
        <v/>
      </c>
      <c r="P22" s="31">
        <f>案件入力!P22</f>
        <v/>
      </c>
    </row>
    <row r="23">
      <c r="A23" s="31">
        <f>案件入力!A23</f>
        <v/>
      </c>
      <c r="B23" s="32">
        <f>案件入力!B23</f>
        <v/>
      </c>
      <c r="C23" s="33">
        <f>案件入力!C23</f>
        <v/>
      </c>
      <c r="D23" s="31">
        <f>案件入力!D23</f>
        <v/>
      </c>
      <c r="E23" s="31">
        <f>案件入力!E23</f>
        <v/>
      </c>
      <c r="F23" s="31">
        <f>案件入力!F23</f>
        <v/>
      </c>
      <c r="G23" s="34">
        <f>案件入力!G23</f>
        <v/>
      </c>
      <c r="H23" s="34">
        <f>案件入力!H23</f>
        <v/>
      </c>
      <c r="I23" s="32">
        <f>案件入力!I23</f>
        <v/>
      </c>
      <c r="J23" s="34">
        <f>案件入力!J23</f>
        <v/>
      </c>
      <c r="K23" s="34">
        <f>案件入力!K23</f>
        <v/>
      </c>
      <c r="L23" s="32">
        <f>案件入力!L23</f>
        <v/>
      </c>
      <c r="M23" s="33">
        <f>案件入力!M23</f>
        <v/>
      </c>
      <c r="N23" s="31">
        <f>案件入力!N23</f>
        <v/>
      </c>
      <c r="O23" s="31">
        <f>案件入力!O23</f>
        <v/>
      </c>
      <c r="P23" s="31">
        <f>案件入力!P23</f>
        <v/>
      </c>
    </row>
    <row r="24">
      <c r="A24" s="31">
        <f>案件入力!A24</f>
        <v/>
      </c>
      <c r="B24" s="32">
        <f>案件入力!B24</f>
        <v/>
      </c>
      <c r="C24" s="33">
        <f>案件入力!C24</f>
        <v/>
      </c>
      <c r="D24" s="31">
        <f>案件入力!D24</f>
        <v/>
      </c>
      <c r="E24" s="31">
        <f>案件入力!E24</f>
        <v/>
      </c>
      <c r="F24" s="31">
        <f>案件入力!F24</f>
        <v/>
      </c>
      <c r="G24" s="34">
        <f>案件入力!G24</f>
        <v/>
      </c>
      <c r="H24" s="34">
        <f>案件入力!H24</f>
        <v/>
      </c>
      <c r="I24" s="32">
        <f>案件入力!I24</f>
        <v/>
      </c>
      <c r="J24" s="34">
        <f>案件入力!J24</f>
        <v/>
      </c>
      <c r="K24" s="34">
        <f>案件入力!K24</f>
        <v/>
      </c>
      <c r="L24" s="32">
        <f>案件入力!L24</f>
        <v/>
      </c>
      <c r="M24" s="33">
        <f>案件入力!M24</f>
        <v/>
      </c>
      <c r="N24" s="31">
        <f>案件入力!N24</f>
        <v/>
      </c>
      <c r="O24" s="31">
        <f>案件入力!O24</f>
        <v/>
      </c>
      <c r="P24" s="31">
        <f>案件入力!P24</f>
        <v/>
      </c>
    </row>
    <row r="25">
      <c r="A25" s="31">
        <f>案件入力!A25</f>
        <v/>
      </c>
      <c r="B25" s="32">
        <f>案件入力!B25</f>
        <v/>
      </c>
      <c r="C25" s="33">
        <f>案件入力!C25</f>
        <v/>
      </c>
      <c r="D25" s="31">
        <f>案件入力!D25</f>
        <v/>
      </c>
      <c r="E25" s="31">
        <f>案件入力!E25</f>
        <v/>
      </c>
      <c r="F25" s="31">
        <f>案件入力!F25</f>
        <v/>
      </c>
      <c r="G25" s="34">
        <f>案件入力!G25</f>
        <v/>
      </c>
      <c r="H25" s="34">
        <f>案件入力!H25</f>
        <v/>
      </c>
      <c r="I25" s="32">
        <f>案件入力!I25</f>
        <v/>
      </c>
      <c r="J25" s="34">
        <f>案件入力!J25</f>
        <v/>
      </c>
      <c r="K25" s="34">
        <f>案件入力!K25</f>
        <v/>
      </c>
      <c r="L25" s="32">
        <f>案件入力!L25</f>
        <v/>
      </c>
      <c r="M25" s="33">
        <f>案件入力!M25</f>
        <v/>
      </c>
      <c r="N25" s="31">
        <f>案件入力!N25</f>
        <v/>
      </c>
      <c r="O25" s="31">
        <f>案件入力!O25</f>
        <v/>
      </c>
      <c r="P25" s="31">
        <f>案件入力!P25</f>
        <v/>
      </c>
    </row>
    <row r="26">
      <c r="A26" s="31">
        <f>案件入力!A26</f>
        <v/>
      </c>
      <c r="B26" s="32">
        <f>案件入力!B26</f>
        <v/>
      </c>
      <c r="C26" s="33">
        <f>案件入力!C26</f>
        <v/>
      </c>
      <c r="D26" s="31">
        <f>案件入力!D26</f>
        <v/>
      </c>
      <c r="E26" s="31">
        <f>案件入力!E26</f>
        <v/>
      </c>
      <c r="F26" s="31">
        <f>案件入力!F26</f>
        <v/>
      </c>
      <c r="G26" s="34">
        <f>案件入力!G26</f>
        <v/>
      </c>
      <c r="H26" s="34">
        <f>案件入力!H26</f>
        <v/>
      </c>
      <c r="I26" s="32">
        <f>案件入力!I26</f>
        <v/>
      </c>
      <c r="J26" s="34">
        <f>案件入力!J26</f>
        <v/>
      </c>
      <c r="K26" s="34">
        <f>案件入力!K26</f>
        <v/>
      </c>
      <c r="L26" s="32">
        <f>案件入力!L26</f>
        <v/>
      </c>
      <c r="M26" s="33">
        <f>案件入力!M26</f>
        <v/>
      </c>
      <c r="N26" s="31">
        <f>案件入力!N26</f>
        <v/>
      </c>
      <c r="O26" s="31">
        <f>案件入力!O26</f>
        <v/>
      </c>
      <c r="P26" s="31">
        <f>案件入力!P26</f>
        <v/>
      </c>
    </row>
    <row r="27">
      <c r="A27" s="31">
        <f>案件入力!A27</f>
        <v/>
      </c>
      <c r="B27" s="32">
        <f>案件入力!B27</f>
        <v/>
      </c>
      <c r="C27" s="33">
        <f>案件入力!C27</f>
        <v/>
      </c>
      <c r="D27" s="31">
        <f>案件入力!D27</f>
        <v/>
      </c>
      <c r="E27" s="31">
        <f>案件入力!E27</f>
        <v/>
      </c>
      <c r="F27" s="31">
        <f>案件入力!F27</f>
        <v/>
      </c>
      <c r="G27" s="34">
        <f>案件入力!G27</f>
        <v/>
      </c>
      <c r="H27" s="34">
        <f>案件入力!H27</f>
        <v/>
      </c>
      <c r="I27" s="32">
        <f>案件入力!I27</f>
        <v/>
      </c>
      <c r="J27" s="34">
        <f>案件入力!J27</f>
        <v/>
      </c>
      <c r="K27" s="34">
        <f>案件入力!K27</f>
        <v/>
      </c>
      <c r="L27" s="32">
        <f>案件入力!L27</f>
        <v/>
      </c>
      <c r="M27" s="33">
        <f>案件入力!M27</f>
        <v/>
      </c>
      <c r="N27" s="31">
        <f>案件入力!N27</f>
        <v/>
      </c>
      <c r="O27" s="31">
        <f>案件入力!O27</f>
        <v/>
      </c>
      <c r="P27" s="31">
        <f>案件入力!P27</f>
        <v/>
      </c>
    </row>
    <row r="28">
      <c r="A28" s="31">
        <f>案件入力!A28</f>
        <v/>
      </c>
      <c r="B28" s="32">
        <f>案件入力!B28</f>
        <v/>
      </c>
      <c r="C28" s="33">
        <f>案件入力!C28</f>
        <v/>
      </c>
      <c r="D28" s="31">
        <f>案件入力!D28</f>
        <v/>
      </c>
      <c r="E28" s="31">
        <f>案件入力!E28</f>
        <v/>
      </c>
      <c r="F28" s="31">
        <f>案件入力!F28</f>
        <v/>
      </c>
      <c r="G28" s="34">
        <f>案件入力!G28</f>
        <v/>
      </c>
      <c r="H28" s="34">
        <f>案件入力!H28</f>
        <v/>
      </c>
      <c r="I28" s="32">
        <f>案件入力!I28</f>
        <v/>
      </c>
      <c r="J28" s="34">
        <f>案件入力!J28</f>
        <v/>
      </c>
      <c r="K28" s="34">
        <f>案件入力!K28</f>
        <v/>
      </c>
      <c r="L28" s="32">
        <f>案件入力!L28</f>
        <v/>
      </c>
      <c r="M28" s="33">
        <f>案件入力!M28</f>
        <v/>
      </c>
      <c r="N28" s="31">
        <f>案件入力!N28</f>
        <v/>
      </c>
      <c r="O28" s="31">
        <f>案件入力!O28</f>
        <v/>
      </c>
      <c r="P28" s="31">
        <f>案件入力!P28</f>
        <v/>
      </c>
    </row>
    <row r="29">
      <c r="A29" s="31">
        <f>案件入力!A29</f>
        <v/>
      </c>
      <c r="B29" s="32">
        <f>案件入力!B29</f>
        <v/>
      </c>
      <c r="C29" s="33">
        <f>案件入力!C29</f>
        <v/>
      </c>
      <c r="D29" s="31">
        <f>案件入力!D29</f>
        <v/>
      </c>
      <c r="E29" s="31">
        <f>案件入力!E29</f>
        <v/>
      </c>
      <c r="F29" s="31">
        <f>案件入力!F29</f>
        <v/>
      </c>
      <c r="G29" s="34">
        <f>案件入力!G29</f>
        <v/>
      </c>
      <c r="H29" s="34">
        <f>案件入力!H29</f>
        <v/>
      </c>
      <c r="I29" s="32">
        <f>案件入力!I29</f>
        <v/>
      </c>
      <c r="J29" s="34">
        <f>案件入力!J29</f>
        <v/>
      </c>
      <c r="K29" s="34">
        <f>案件入力!K29</f>
        <v/>
      </c>
      <c r="L29" s="32">
        <f>案件入力!L29</f>
        <v/>
      </c>
      <c r="M29" s="33">
        <f>案件入力!M29</f>
        <v/>
      </c>
      <c r="N29" s="31">
        <f>案件入力!N29</f>
        <v/>
      </c>
      <c r="O29" s="31">
        <f>案件入力!O29</f>
        <v/>
      </c>
      <c r="P29" s="31">
        <f>案件入力!P29</f>
        <v/>
      </c>
    </row>
    <row r="30">
      <c r="A30" s="31">
        <f>案件入力!A30</f>
        <v/>
      </c>
      <c r="B30" s="32">
        <f>案件入力!B30</f>
        <v/>
      </c>
      <c r="C30" s="33">
        <f>案件入力!C30</f>
        <v/>
      </c>
      <c r="D30" s="31">
        <f>案件入力!D30</f>
        <v/>
      </c>
      <c r="E30" s="31">
        <f>案件入力!E30</f>
        <v/>
      </c>
      <c r="F30" s="31">
        <f>案件入力!F30</f>
        <v/>
      </c>
      <c r="G30" s="34">
        <f>案件入力!G30</f>
        <v/>
      </c>
      <c r="H30" s="34">
        <f>案件入力!H30</f>
        <v/>
      </c>
      <c r="I30" s="32">
        <f>案件入力!I30</f>
        <v/>
      </c>
      <c r="J30" s="34">
        <f>案件入力!J30</f>
        <v/>
      </c>
      <c r="K30" s="34">
        <f>案件入力!K30</f>
        <v/>
      </c>
      <c r="L30" s="32">
        <f>案件入力!L30</f>
        <v/>
      </c>
      <c r="M30" s="33">
        <f>案件入力!M30</f>
        <v/>
      </c>
      <c r="N30" s="31">
        <f>案件入力!N30</f>
        <v/>
      </c>
      <c r="O30" s="31">
        <f>案件入力!O30</f>
        <v/>
      </c>
      <c r="P30" s="31">
        <f>案件入力!P30</f>
        <v/>
      </c>
    </row>
    <row r="31">
      <c r="A31" s="31">
        <f>案件入力!A31</f>
        <v/>
      </c>
      <c r="B31" s="32">
        <f>案件入力!B31</f>
        <v/>
      </c>
      <c r="C31" s="33">
        <f>案件入力!C31</f>
        <v/>
      </c>
      <c r="D31" s="31">
        <f>案件入力!D31</f>
        <v/>
      </c>
      <c r="E31" s="31">
        <f>案件入力!E31</f>
        <v/>
      </c>
      <c r="F31" s="31">
        <f>案件入力!F31</f>
        <v/>
      </c>
      <c r="G31" s="34">
        <f>案件入力!G31</f>
        <v/>
      </c>
      <c r="H31" s="34">
        <f>案件入力!H31</f>
        <v/>
      </c>
      <c r="I31" s="32">
        <f>案件入力!I31</f>
        <v/>
      </c>
      <c r="J31" s="34">
        <f>案件入力!J31</f>
        <v/>
      </c>
      <c r="K31" s="34">
        <f>案件入力!K31</f>
        <v/>
      </c>
      <c r="L31" s="32">
        <f>案件入力!L31</f>
        <v/>
      </c>
      <c r="M31" s="33">
        <f>案件入力!M31</f>
        <v/>
      </c>
      <c r="N31" s="31">
        <f>案件入力!N31</f>
        <v/>
      </c>
      <c r="O31" s="31">
        <f>案件入力!O31</f>
        <v/>
      </c>
      <c r="P31" s="31">
        <f>案件入力!P31</f>
        <v/>
      </c>
    </row>
    <row r="32">
      <c r="A32" s="31">
        <f>案件入力!A32</f>
        <v/>
      </c>
      <c r="B32" s="32">
        <f>案件入力!B32</f>
        <v/>
      </c>
      <c r="C32" s="33">
        <f>案件入力!C32</f>
        <v/>
      </c>
      <c r="D32" s="31">
        <f>案件入力!D32</f>
        <v/>
      </c>
      <c r="E32" s="31">
        <f>案件入力!E32</f>
        <v/>
      </c>
      <c r="F32" s="31">
        <f>案件入力!F32</f>
        <v/>
      </c>
      <c r="G32" s="34">
        <f>案件入力!G32</f>
        <v/>
      </c>
      <c r="H32" s="34">
        <f>案件入力!H32</f>
        <v/>
      </c>
      <c r="I32" s="32">
        <f>案件入力!I32</f>
        <v/>
      </c>
      <c r="J32" s="34">
        <f>案件入力!J32</f>
        <v/>
      </c>
      <c r="K32" s="34">
        <f>案件入力!K32</f>
        <v/>
      </c>
      <c r="L32" s="32">
        <f>案件入力!L32</f>
        <v/>
      </c>
      <c r="M32" s="33">
        <f>案件入力!M32</f>
        <v/>
      </c>
      <c r="N32" s="31">
        <f>案件入力!N32</f>
        <v/>
      </c>
      <c r="O32" s="31">
        <f>案件入力!O32</f>
        <v/>
      </c>
      <c r="P32" s="31">
        <f>案件入力!P32</f>
        <v/>
      </c>
    </row>
    <row r="33">
      <c r="A33" s="31">
        <f>案件入力!A33</f>
        <v/>
      </c>
      <c r="B33" s="32">
        <f>案件入力!B33</f>
        <v/>
      </c>
      <c r="C33" s="33">
        <f>案件入力!C33</f>
        <v/>
      </c>
      <c r="D33" s="31">
        <f>案件入力!D33</f>
        <v/>
      </c>
      <c r="E33" s="31">
        <f>案件入力!E33</f>
        <v/>
      </c>
      <c r="F33" s="31">
        <f>案件入力!F33</f>
        <v/>
      </c>
      <c r="G33" s="34">
        <f>案件入力!G33</f>
        <v/>
      </c>
      <c r="H33" s="34">
        <f>案件入力!H33</f>
        <v/>
      </c>
      <c r="I33" s="32">
        <f>案件入力!I33</f>
        <v/>
      </c>
      <c r="J33" s="34">
        <f>案件入力!J33</f>
        <v/>
      </c>
      <c r="K33" s="34">
        <f>案件入力!K33</f>
        <v/>
      </c>
      <c r="L33" s="32">
        <f>案件入力!L33</f>
        <v/>
      </c>
      <c r="M33" s="33">
        <f>案件入力!M33</f>
        <v/>
      </c>
      <c r="N33" s="31">
        <f>案件入力!N33</f>
        <v/>
      </c>
      <c r="O33" s="31">
        <f>案件入力!O33</f>
        <v/>
      </c>
      <c r="P33" s="31">
        <f>案件入力!P33</f>
        <v/>
      </c>
    </row>
    <row r="34">
      <c r="A34" s="31">
        <f>案件入力!A34</f>
        <v/>
      </c>
      <c r="B34" s="32">
        <f>案件入力!B34</f>
        <v/>
      </c>
      <c r="C34" s="33">
        <f>案件入力!C34</f>
        <v/>
      </c>
      <c r="D34" s="31">
        <f>案件入力!D34</f>
        <v/>
      </c>
      <c r="E34" s="31">
        <f>案件入力!E34</f>
        <v/>
      </c>
      <c r="F34" s="31">
        <f>案件入力!F34</f>
        <v/>
      </c>
      <c r="G34" s="34">
        <f>案件入力!G34</f>
        <v/>
      </c>
      <c r="H34" s="34">
        <f>案件入力!H34</f>
        <v/>
      </c>
      <c r="I34" s="32">
        <f>案件入力!I34</f>
        <v/>
      </c>
      <c r="J34" s="34">
        <f>案件入力!J34</f>
        <v/>
      </c>
      <c r="K34" s="34">
        <f>案件入力!K34</f>
        <v/>
      </c>
      <c r="L34" s="32">
        <f>案件入力!L34</f>
        <v/>
      </c>
      <c r="M34" s="33">
        <f>案件入力!M34</f>
        <v/>
      </c>
      <c r="N34" s="31">
        <f>案件入力!N34</f>
        <v/>
      </c>
      <c r="O34" s="31">
        <f>案件入力!O34</f>
        <v/>
      </c>
      <c r="P34" s="31">
        <f>案件入力!P34</f>
        <v/>
      </c>
    </row>
    <row r="35">
      <c r="A35" s="31">
        <f>案件入力!A35</f>
        <v/>
      </c>
      <c r="B35" s="32">
        <f>案件入力!B35</f>
        <v/>
      </c>
      <c r="C35" s="33">
        <f>案件入力!C35</f>
        <v/>
      </c>
      <c r="D35" s="31">
        <f>案件入力!D35</f>
        <v/>
      </c>
      <c r="E35" s="31">
        <f>案件入力!E35</f>
        <v/>
      </c>
      <c r="F35" s="31">
        <f>案件入力!F35</f>
        <v/>
      </c>
      <c r="G35" s="34">
        <f>案件入力!G35</f>
        <v/>
      </c>
      <c r="H35" s="34">
        <f>案件入力!H35</f>
        <v/>
      </c>
      <c r="I35" s="32">
        <f>案件入力!I35</f>
        <v/>
      </c>
      <c r="J35" s="34">
        <f>案件入力!J35</f>
        <v/>
      </c>
      <c r="K35" s="34">
        <f>案件入力!K35</f>
        <v/>
      </c>
      <c r="L35" s="32">
        <f>案件入力!L35</f>
        <v/>
      </c>
      <c r="M35" s="33">
        <f>案件入力!M35</f>
        <v/>
      </c>
      <c r="N35" s="31">
        <f>案件入力!N35</f>
        <v/>
      </c>
      <c r="O35" s="31">
        <f>案件入力!O35</f>
        <v/>
      </c>
      <c r="P35" s="31">
        <f>案件入力!P35</f>
        <v/>
      </c>
    </row>
    <row r="36">
      <c r="A36" s="31">
        <f>案件入力!A36</f>
        <v/>
      </c>
      <c r="B36" s="32">
        <f>案件入力!B36</f>
        <v/>
      </c>
      <c r="C36" s="33">
        <f>案件入力!C36</f>
        <v/>
      </c>
      <c r="D36" s="31">
        <f>案件入力!D36</f>
        <v/>
      </c>
      <c r="E36" s="31">
        <f>案件入力!E36</f>
        <v/>
      </c>
      <c r="F36" s="31">
        <f>案件入力!F36</f>
        <v/>
      </c>
      <c r="G36" s="34">
        <f>案件入力!G36</f>
        <v/>
      </c>
      <c r="H36" s="34">
        <f>案件入力!H36</f>
        <v/>
      </c>
      <c r="I36" s="32">
        <f>案件入力!I36</f>
        <v/>
      </c>
      <c r="J36" s="34">
        <f>案件入力!J36</f>
        <v/>
      </c>
      <c r="K36" s="34">
        <f>案件入力!K36</f>
        <v/>
      </c>
      <c r="L36" s="32">
        <f>案件入力!L36</f>
        <v/>
      </c>
      <c r="M36" s="33">
        <f>案件入力!M36</f>
        <v/>
      </c>
      <c r="N36" s="31">
        <f>案件入力!N36</f>
        <v/>
      </c>
      <c r="O36" s="31">
        <f>案件入力!O36</f>
        <v/>
      </c>
      <c r="P36" s="31">
        <f>案件入力!P36</f>
        <v/>
      </c>
    </row>
    <row r="37">
      <c r="A37" s="31">
        <f>案件入力!A37</f>
        <v/>
      </c>
      <c r="B37" s="32">
        <f>案件入力!B37</f>
        <v/>
      </c>
      <c r="C37" s="33">
        <f>案件入力!C37</f>
        <v/>
      </c>
      <c r="D37" s="31">
        <f>案件入力!D37</f>
        <v/>
      </c>
      <c r="E37" s="31">
        <f>案件入力!E37</f>
        <v/>
      </c>
      <c r="F37" s="31">
        <f>案件入力!F37</f>
        <v/>
      </c>
      <c r="G37" s="34">
        <f>案件入力!G37</f>
        <v/>
      </c>
      <c r="H37" s="34">
        <f>案件入力!H37</f>
        <v/>
      </c>
      <c r="I37" s="32">
        <f>案件入力!I37</f>
        <v/>
      </c>
      <c r="J37" s="34">
        <f>案件入力!J37</f>
        <v/>
      </c>
      <c r="K37" s="34">
        <f>案件入力!K37</f>
        <v/>
      </c>
      <c r="L37" s="32">
        <f>案件入力!L37</f>
        <v/>
      </c>
      <c r="M37" s="33">
        <f>案件入力!M37</f>
        <v/>
      </c>
      <c r="N37" s="31">
        <f>案件入力!N37</f>
        <v/>
      </c>
      <c r="O37" s="31">
        <f>案件入力!O37</f>
        <v/>
      </c>
      <c r="P37" s="31">
        <f>案件入力!P37</f>
        <v/>
      </c>
    </row>
    <row r="38">
      <c r="A38" s="31">
        <f>案件入力!A38</f>
        <v/>
      </c>
      <c r="B38" s="32">
        <f>案件入力!B38</f>
        <v/>
      </c>
      <c r="C38" s="33">
        <f>案件入力!C38</f>
        <v/>
      </c>
      <c r="D38" s="31">
        <f>案件入力!D38</f>
        <v/>
      </c>
      <c r="E38" s="31">
        <f>案件入力!E38</f>
        <v/>
      </c>
      <c r="F38" s="31">
        <f>案件入力!F38</f>
        <v/>
      </c>
      <c r="G38" s="34">
        <f>案件入力!G38</f>
        <v/>
      </c>
      <c r="H38" s="34">
        <f>案件入力!H38</f>
        <v/>
      </c>
      <c r="I38" s="32">
        <f>案件入力!I38</f>
        <v/>
      </c>
      <c r="J38" s="34">
        <f>案件入力!J38</f>
        <v/>
      </c>
      <c r="K38" s="34">
        <f>案件入力!K38</f>
        <v/>
      </c>
      <c r="L38" s="32">
        <f>案件入力!L38</f>
        <v/>
      </c>
      <c r="M38" s="33">
        <f>案件入力!M38</f>
        <v/>
      </c>
      <c r="N38" s="31">
        <f>案件入力!N38</f>
        <v/>
      </c>
      <c r="O38" s="31">
        <f>案件入力!O38</f>
        <v/>
      </c>
      <c r="P38" s="31">
        <f>案件入力!P38</f>
        <v/>
      </c>
    </row>
    <row r="39">
      <c r="A39" s="31">
        <f>案件入力!A39</f>
        <v/>
      </c>
      <c r="B39" s="32">
        <f>案件入力!B39</f>
        <v/>
      </c>
      <c r="C39" s="33">
        <f>案件入力!C39</f>
        <v/>
      </c>
      <c r="D39" s="31">
        <f>案件入力!D39</f>
        <v/>
      </c>
      <c r="E39" s="31">
        <f>案件入力!E39</f>
        <v/>
      </c>
      <c r="F39" s="31">
        <f>案件入力!F39</f>
        <v/>
      </c>
      <c r="G39" s="34">
        <f>案件入力!G39</f>
        <v/>
      </c>
      <c r="H39" s="34">
        <f>案件入力!H39</f>
        <v/>
      </c>
      <c r="I39" s="32">
        <f>案件入力!I39</f>
        <v/>
      </c>
      <c r="J39" s="34">
        <f>案件入力!J39</f>
        <v/>
      </c>
      <c r="K39" s="34">
        <f>案件入力!K39</f>
        <v/>
      </c>
      <c r="L39" s="32">
        <f>案件入力!L39</f>
        <v/>
      </c>
      <c r="M39" s="33">
        <f>案件入力!M39</f>
        <v/>
      </c>
      <c r="N39" s="31">
        <f>案件入力!N39</f>
        <v/>
      </c>
      <c r="O39" s="31">
        <f>案件入力!O39</f>
        <v/>
      </c>
      <c r="P39" s="31">
        <f>案件入力!P39</f>
        <v/>
      </c>
    </row>
    <row r="40">
      <c r="A40" s="31">
        <f>案件入力!A40</f>
        <v/>
      </c>
      <c r="B40" s="32">
        <f>案件入力!B40</f>
        <v/>
      </c>
      <c r="C40" s="33">
        <f>案件入力!C40</f>
        <v/>
      </c>
      <c r="D40" s="31">
        <f>案件入力!D40</f>
        <v/>
      </c>
      <c r="E40" s="31">
        <f>案件入力!E40</f>
        <v/>
      </c>
      <c r="F40" s="31">
        <f>案件入力!F40</f>
        <v/>
      </c>
      <c r="G40" s="34">
        <f>案件入力!G40</f>
        <v/>
      </c>
      <c r="H40" s="34">
        <f>案件入力!H40</f>
        <v/>
      </c>
      <c r="I40" s="32">
        <f>案件入力!I40</f>
        <v/>
      </c>
      <c r="J40" s="34">
        <f>案件入力!J40</f>
        <v/>
      </c>
      <c r="K40" s="34">
        <f>案件入力!K40</f>
        <v/>
      </c>
      <c r="L40" s="32">
        <f>案件入力!L40</f>
        <v/>
      </c>
      <c r="M40" s="33">
        <f>案件入力!M40</f>
        <v/>
      </c>
      <c r="N40" s="31">
        <f>案件入力!N40</f>
        <v/>
      </c>
      <c r="O40" s="31">
        <f>案件入力!O40</f>
        <v/>
      </c>
      <c r="P40" s="31">
        <f>案件入力!P40</f>
        <v/>
      </c>
    </row>
    <row r="41">
      <c r="A41" s="31">
        <f>案件入力!A41</f>
        <v/>
      </c>
      <c r="B41" s="32">
        <f>案件入力!B41</f>
        <v/>
      </c>
      <c r="C41" s="33">
        <f>案件入力!C41</f>
        <v/>
      </c>
      <c r="D41" s="31">
        <f>案件入力!D41</f>
        <v/>
      </c>
      <c r="E41" s="31">
        <f>案件入力!E41</f>
        <v/>
      </c>
      <c r="F41" s="31">
        <f>案件入力!F41</f>
        <v/>
      </c>
      <c r="G41" s="34">
        <f>案件入力!G41</f>
        <v/>
      </c>
      <c r="H41" s="34">
        <f>案件入力!H41</f>
        <v/>
      </c>
      <c r="I41" s="32">
        <f>案件入力!I41</f>
        <v/>
      </c>
      <c r="J41" s="34">
        <f>案件入力!J41</f>
        <v/>
      </c>
      <c r="K41" s="34">
        <f>案件入力!K41</f>
        <v/>
      </c>
      <c r="L41" s="32">
        <f>案件入力!L41</f>
        <v/>
      </c>
      <c r="M41" s="33">
        <f>案件入力!M41</f>
        <v/>
      </c>
      <c r="N41" s="31">
        <f>案件入力!N41</f>
        <v/>
      </c>
      <c r="O41" s="31">
        <f>案件入力!O41</f>
        <v/>
      </c>
      <c r="P41" s="31">
        <f>案件入力!P41</f>
        <v/>
      </c>
    </row>
    <row r="42">
      <c r="A42" s="31">
        <f>案件入力!A42</f>
        <v/>
      </c>
      <c r="B42" s="32">
        <f>案件入力!B42</f>
        <v/>
      </c>
      <c r="C42" s="33">
        <f>案件入力!C42</f>
        <v/>
      </c>
      <c r="D42" s="31">
        <f>案件入力!D42</f>
        <v/>
      </c>
      <c r="E42" s="31">
        <f>案件入力!E42</f>
        <v/>
      </c>
      <c r="F42" s="31">
        <f>案件入力!F42</f>
        <v/>
      </c>
      <c r="G42" s="34">
        <f>案件入力!G42</f>
        <v/>
      </c>
      <c r="H42" s="34">
        <f>案件入力!H42</f>
        <v/>
      </c>
      <c r="I42" s="32">
        <f>案件入力!I42</f>
        <v/>
      </c>
      <c r="J42" s="34">
        <f>案件入力!J42</f>
        <v/>
      </c>
      <c r="K42" s="34">
        <f>案件入力!K42</f>
        <v/>
      </c>
      <c r="L42" s="32">
        <f>案件入力!L42</f>
        <v/>
      </c>
      <c r="M42" s="33">
        <f>案件入力!M42</f>
        <v/>
      </c>
      <c r="N42" s="31">
        <f>案件入力!N42</f>
        <v/>
      </c>
      <c r="O42" s="31">
        <f>案件入力!O42</f>
        <v/>
      </c>
      <c r="P42" s="31">
        <f>案件入力!P42</f>
        <v/>
      </c>
    </row>
    <row r="43">
      <c r="A43" s="31">
        <f>案件入力!A43</f>
        <v/>
      </c>
      <c r="B43" s="32">
        <f>案件入力!B43</f>
        <v/>
      </c>
      <c r="C43" s="33">
        <f>案件入力!C43</f>
        <v/>
      </c>
      <c r="D43" s="31">
        <f>案件入力!D43</f>
        <v/>
      </c>
      <c r="E43" s="31">
        <f>案件入力!E43</f>
        <v/>
      </c>
      <c r="F43" s="31">
        <f>案件入力!F43</f>
        <v/>
      </c>
      <c r="G43" s="34">
        <f>案件入力!G43</f>
        <v/>
      </c>
      <c r="H43" s="34">
        <f>案件入力!H43</f>
        <v/>
      </c>
      <c r="I43" s="32">
        <f>案件入力!I43</f>
        <v/>
      </c>
      <c r="J43" s="34">
        <f>案件入力!J43</f>
        <v/>
      </c>
      <c r="K43" s="34">
        <f>案件入力!K43</f>
        <v/>
      </c>
      <c r="L43" s="32">
        <f>案件入力!L43</f>
        <v/>
      </c>
      <c r="M43" s="33">
        <f>案件入力!M43</f>
        <v/>
      </c>
      <c r="N43" s="31">
        <f>案件入力!N43</f>
        <v/>
      </c>
      <c r="O43" s="31">
        <f>案件入力!O43</f>
        <v/>
      </c>
      <c r="P43" s="31">
        <f>案件入力!P43</f>
        <v/>
      </c>
    </row>
    <row r="44">
      <c r="A44" s="31">
        <f>案件入力!A44</f>
        <v/>
      </c>
      <c r="B44" s="32">
        <f>案件入力!B44</f>
        <v/>
      </c>
      <c r="C44" s="33">
        <f>案件入力!C44</f>
        <v/>
      </c>
      <c r="D44" s="31">
        <f>案件入力!D44</f>
        <v/>
      </c>
      <c r="E44" s="31">
        <f>案件入力!E44</f>
        <v/>
      </c>
      <c r="F44" s="31">
        <f>案件入力!F44</f>
        <v/>
      </c>
      <c r="G44" s="34">
        <f>案件入力!G44</f>
        <v/>
      </c>
      <c r="H44" s="34">
        <f>案件入力!H44</f>
        <v/>
      </c>
      <c r="I44" s="32">
        <f>案件入力!I44</f>
        <v/>
      </c>
      <c r="J44" s="34">
        <f>案件入力!J44</f>
        <v/>
      </c>
      <c r="K44" s="34">
        <f>案件入力!K44</f>
        <v/>
      </c>
      <c r="L44" s="32">
        <f>案件入力!L44</f>
        <v/>
      </c>
      <c r="M44" s="33">
        <f>案件入力!M44</f>
        <v/>
      </c>
      <c r="N44" s="31">
        <f>案件入力!N44</f>
        <v/>
      </c>
      <c r="O44" s="31">
        <f>案件入力!O44</f>
        <v/>
      </c>
      <c r="P44" s="31">
        <f>案件入力!P44</f>
        <v/>
      </c>
    </row>
    <row r="45">
      <c r="A45" s="31">
        <f>案件入力!A45</f>
        <v/>
      </c>
      <c r="B45" s="32">
        <f>案件入力!B45</f>
        <v/>
      </c>
      <c r="C45" s="33">
        <f>案件入力!C45</f>
        <v/>
      </c>
      <c r="D45" s="31">
        <f>案件入力!D45</f>
        <v/>
      </c>
      <c r="E45" s="31">
        <f>案件入力!E45</f>
        <v/>
      </c>
      <c r="F45" s="31">
        <f>案件入力!F45</f>
        <v/>
      </c>
      <c r="G45" s="34">
        <f>案件入力!G45</f>
        <v/>
      </c>
      <c r="H45" s="34">
        <f>案件入力!H45</f>
        <v/>
      </c>
      <c r="I45" s="32">
        <f>案件入力!I45</f>
        <v/>
      </c>
      <c r="J45" s="34">
        <f>案件入力!J45</f>
        <v/>
      </c>
      <c r="K45" s="34">
        <f>案件入力!K45</f>
        <v/>
      </c>
      <c r="L45" s="32">
        <f>案件入力!L45</f>
        <v/>
      </c>
      <c r="M45" s="33">
        <f>案件入力!M45</f>
        <v/>
      </c>
      <c r="N45" s="31">
        <f>案件入力!N45</f>
        <v/>
      </c>
      <c r="O45" s="31">
        <f>案件入力!O45</f>
        <v/>
      </c>
      <c r="P45" s="31">
        <f>案件入力!P45</f>
        <v/>
      </c>
    </row>
    <row r="46">
      <c r="A46" s="31">
        <f>案件入力!A46</f>
        <v/>
      </c>
      <c r="B46" s="32">
        <f>案件入力!B46</f>
        <v/>
      </c>
      <c r="C46" s="33">
        <f>案件入力!C46</f>
        <v/>
      </c>
      <c r="D46" s="31">
        <f>案件入力!D46</f>
        <v/>
      </c>
      <c r="E46" s="31">
        <f>案件入力!E46</f>
        <v/>
      </c>
      <c r="F46" s="31">
        <f>案件入力!F46</f>
        <v/>
      </c>
      <c r="G46" s="34">
        <f>案件入力!G46</f>
        <v/>
      </c>
      <c r="H46" s="34">
        <f>案件入力!H46</f>
        <v/>
      </c>
      <c r="I46" s="32">
        <f>案件入力!I46</f>
        <v/>
      </c>
      <c r="J46" s="34">
        <f>案件入力!J46</f>
        <v/>
      </c>
      <c r="K46" s="34">
        <f>案件入力!K46</f>
        <v/>
      </c>
      <c r="L46" s="32">
        <f>案件入力!L46</f>
        <v/>
      </c>
      <c r="M46" s="33">
        <f>案件入力!M46</f>
        <v/>
      </c>
      <c r="N46" s="31">
        <f>案件入力!N46</f>
        <v/>
      </c>
      <c r="O46" s="31">
        <f>案件入力!O46</f>
        <v/>
      </c>
      <c r="P46" s="31">
        <f>案件入力!P46</f>
        <v/>
      </c>
    </row>
    <row r="47">
      <c r="A47" s="31">
        <f>案件入力!A47</f>
        <v/>
      </c>
      <c r="B47" s="32">
        <f>案件入力!B47</f>
        <v/>
      </c>
      <c r="C47" s="33">
        <f>案件入力!C47</f>
        <v/>
      </c>
      <c r="D47" s="31">
        <f>案件入力!D47</f>
        <v/>
      </c>
      <c r="E47" s="31">
        <f>案件入力!E47</f>
        <v/>
      </c>
      <c r="F47" s="31">
        <f>案件入力!F47</f>
        <v/>
      </c>
      <c r="G47" s="34">
        <f>案件入力!G47</f>
        <v/>
      </c>
      <c r="H47" s="34">
        <f>案件入力!H47</f>
        <v/>
      </c>
      <c r="I47" s="32">
        <f>案件入力!I47</f>
        <v/>
      </c>
      <c r="J47" s="34">
        <f>案件入力!J47</f>
        <v/>
      </c>
      <c r="K47" s="34">
        <f>案件入力!K47</f>
        <v/>
      </c>
      <c r="L47" s="32">
        <f>案件入力!L47</f>
        <v/>
      </c>
      <c r="M47" s="33">
        <f>案件入力!M47</f>
        <v/>
      </c>
      <c r="N47" s="31">
        <f>案件入力!N47</f>
        <v/>
      </c>
      <c r="O47" s="31">
        <f>案件入力!O47</f>
        <v/>
      </c>
      <c r="P47" s="31">
        <f>案件入力!P47</f>
        <v/>
      </c>
    </row>
    <row r="48">
      <c r="A48" s="31">
        <f>案件入力!A48</f>
        <v/>
      </c>
      <c r="B48" s="32">
        <f>案件入力!B48</f>
        <v/>
      </c>
      <c r="C48" s="33">
        <f>案件入力!C48</f>
        <v/>
      </c>
      <c r="D48" s="31">
        <f>案件入力!D48</f>
        <v/>
      </c>
      <c r="E48" s="31">
        <f>案件入力!E48</f>
        <v/>
      </c>
      <c r="F48" s="31">
        <f>案件入力!F48</f>
        <v/>
      </c>
      <c r="G48" s="34">
        <f>案件入力!G48</f>
        <v/>
      </c>
      <c r="H48" s="34">
        <f>案件入力!H48</f>
        <v/>
      </c>
      <c r="I48" s="32">
        <f>案件入力!I48</f>
        <v/>
      </c>
      <c r="J48" s="34">
        <f>案件入力!J48</f>
        <v/>
      </c>
      <c r="K48" s="34">
        <f>案件入力!K48</f>
        <v/>
      </c>
      <c r="L48" s="32">
        <f>案件入力!L48</f>
        <v/>
      </c>
      <c r="M48" s="33">
        <f>案件入力!M48</f>
        <v/>
      </c>
      <c r="N48" s="31">
        <f>案件入力!N48</f>
        <v/>
      </c>
      <c r="O48" s="31">
        <f>案件入力!O48</f>
        <v/>
      </c>
      <c r="P48" s="31">
        <f>案件入力!P48</f>
        <v/>
      </c>
    </row>
    <row r="49">
      <c r="A49" s="31">
        <f>案件入力!A49</f>
        <v/>
      </c>
      <c r="B49" s="32">
        <f>案件入力!B49</f>
        <v/>
      </c>
      <c r="C49" s="33">
        <f>案件入力!C49</f>
        <v/>
      </c>
      <c r="D49" s="31">
        <f>案件入力!D49</f>
        <v/>
      </c>
      <c r="E49" s="31">
        <f>案件入力!E49</f>
        <v/>
      </c>
      <c r="F49" s="31">
        <f>案件入力!F49</f>
        <v/>
      </c>
      <c r="G49" s="34">
        <f>案件入力!G49</f>
        <v/>
      </c>
      <c r="H49" s="34">
        <f>案件入力!H49</f>
        <v/>
      </c>
      <c r="I49" s="32">
        <f>案件入力!I49</f>
        <v/>
      </c>
      <c r="J49" s="34">
        <f>案件入力!J49</f>
        <v/>
      </c>
      <c r="K49" s="34">
        <f>案件入力!K49</f>
        <v/>
      </c>
      <c r="L49" s="32">
        <f>案件入力!L49</f>
        <v/>
      </c>
      <c r="M49" s="33">
        <f>案件入力!M49</f>
        <v/>
      </c>
      <c r="N49" s="31">
        <f>案件入力!N49</f>
        <v/>
      </c>
      <c r="O49" s="31">
        <f>案件入力!O49</f>
        <v/>
      </c>
      <c r="P49" s="31">
        <f>案件入力!P49</f>
        <v/>
      </c>
    </row>
    <row r="50">
      <c r="A50" s="31">
        <f>案件入力!A50</f>
        <v/>
      </c>
      <c r="B50" s="32">
        <f>案件入力!B50</f>
        <v/>
      </c>
      <c r="C50" s="33">
        <f>案件入力!C50</f>
        <v/>
      </c>
      <c r="D50" s="31">
        <f>案件入力!D50</f>
        <v/>
      </c>
      <c r="E50" s="31">
        <f>案件入力!E50</f>
        <v/>
      </c>
      <c r="F50" s="31">
        <f>案件入力!F50</f>
        <v/>
      </c>
      <c r="G50" s="34">
        <f>案件入力!G50</f>
        <v/>
      </c>
      <c r="H50" s="34">
        <f>案件入力!H50</f>
        <v/>
      </c>
      <c r="I50" s="32">
        <f>案件入力!I50</f>
        <v/>
      </c>
      <c r="J50" s="34">
        <f>案件入力!J50</f>
        <v/>
      </c>
      <c r="K50" s="34">
        <f>案件入力!K50</f>
        <v/>
      </c>
      <c r="L50" s="32">
        <f>案件入力!L50</f>
        <v/>
      </c>
      <c r="M50" s="33">
        <f>案件入力!M50</f>
        <v/>
      </c>
      <c r="N50" s="31">
        <f>案件入力!N50</f>
        <v/>
      </c>
      <c r="O50" s="31">
        <f>案件入力!O50</f>
        <v/>
      </c>
      <c r="P50" s="31">
        <f>案件入力!P50</f>
        <v/>
      </c>
    </row>
    <row r="51">
      <c r="A51" s="31">
        <f>案件入力!A51</f>
        <v/>
      </c>
      <c r="B51" s="32">
        <f>案件入力!B51</f>
        <v/>
      </c>
      <c r="C51" s="33">
        <f>案件入力!C51</f>
        <v/>
      </c>
      <c r="D51" s="31">
        <f>案件入力!D51</f>
        <v/>
      </c>
      <c r="E51" s="31">
        <f>案件入力!E51</f>
        <v/>
      </c>
      <c r="F51" s="31">
        <f>案件入力!F51</f>
        <v/>
      </c>
      <c r="G51" s="34">
        <f>案件入力!G51</f>
        <v/>
      </c>
      <c r="H51" s="34">
        <f>案件入力!H51</f>
        <v/>
      </c>
      <c r="I51" s="32">
        <f>案件入力!I51</f>
        <v/>
      </c>
      <c r="J51" s="34">
        <f>案件入力!J51</f>
        <v/>
      </c>
      <c r="K51" s="34">
        <f>案件入力!K51</f>
        <v/>
      </c>
      <c r="L51" s="32">
        <f>案件入力!L51</f>
        <v/>
      </c>
      <c r="M51" s="33">
        <f>案件入力!M51</f>
        <v/>
      </c>
      <c r="N51" s="31">
        <f>案件入力!N51</f>
        <v/>
      </c>
      <c r="O51" s="31">
        <f>案件入力!O51</f>
        <v/>
      </c>
      <c r="P51" s="31">
        <f>案件入力!P51</f>
        <v/>
      </c>
    </row>
    <row r="52">
      <c r="A52" s="31">
        <f>案件入力!A52</f>
        <v/>
      </c>
      <c r="B52" s="32">
        <f>案件入力!B52</f>
        <v/>
      </c>
      <c r="C52" s="33">
        <f>案件入力!C52</f>
        <v/>
      </c>
      <c r="D52" s="31">
        <f>案件入力!D52</f>
        <v/>
      </c>
      <c r="E52" s="31">
        <f>案件入力!E52</f>
        <v/>
      </c>
      <c r="F52" s="31">
        <f>案件入力!F52</f>
        <v/>
      </c>
      <c r="G52" s="34">
        <f>案件入力!G52</f>
        <v/>
      </c>
      <c r="H52" s="34">
        <f>案件入力!H52</f>
        <v/>
      </c>
      <c r="I52" s="32">
        <f>案件入力!I52</f>
        <v/>
      </c>
      <c r="J52" s="34">
        <f>案件入力!J52</f>
        <v/>
      </c>
      <c r="K52" s="34">
        <f>案件入力!K52</f>
        <v/>
      </c>
      <c r="L52" s="32">
        <f>案件入力!L52</f>
        <v/>
      </c>
      <c r="M52" s="33">
        <f>案件入力!M52</f>
        <v/>
      </c>
      <c r="N52" s="31">
        <f>案件入力!N52</f>
        <v/>
      </c>
      <c r="O52" s="31">
        <f>案件入力!O52</f>
        <v/>
      </c>
      <c r="P52" s="31">
        <f>案件入力!P52</f>
        <v/>
      </c>
    </row>
    <row r="53">
      <c r="A53" s="31">
        <f>案件入力!A53</f>
        <v/>
      </c>
      <c r="B53" s="32">
        <f>案件入力!B53</f>
        <v/>
      </c>
      <c r="C53" s="33">
        <f>案件入力!C53</f>
        <v/>
      </c>
      <c r="D53" s="31">
        <f>案件入力!D53</f>
        <v/>
      </c>
      <c r="E53" s="31">
        <f>案件入力!E53</f>
        <v/>
      </c>
      <c r="F53" s="31">
        <f>案件入力!F53</f>
        <v/>
      </c>
      <c r="G53" s="34">
        <f>案件入力!G53</f>
        <v/>
      </c>
      <c r="H53" s="34">
        <f>案件入力!H53</f>
        <v/>
      </c>
      <c r="I53" s="32">
        <f>案件入力!I53</f>
        <v/>
      </c>
      <c r="J53" s="34">
        <f>案件入力!J53</f>
        <v/>
      </c>
      <c r="K53" s="34">
        <f>案件入力!K53</f>
        <v/>
      </c>
      <c r="L53" s="32">
        <f>案件入力!L53</f>
        <v/>
      </c>
      <c r="M53" s="33">
        <f>案件入力!M53</f>
        <v/>
      </c>
      <c r="N53" s="31">
        <f>案件入力!N53</f>
        <v/>
      </c>
      <c r="O53" s="31">
        <f>案件入力!O53</f>
        <v/>
      </c>
      <c r="P53" s="31">
        <f>案件入力!P53</f>
        <v/>
      </c>
    </row>
    <row r="54">
      <c r="A54" s="31">
        <f>案件入力!A54</f>
        <v/>
      </c>
      <c r="B54" s="32">
        <f>案件入力!B54</f>
        <v/>
      </c>
      <c r="C54" s="33">
        <f>案件入力!C54</f>
        <v/>
      </c>
      <c r="D54" s="31">
        <f>案件入力!D54</f>
        <v/>
      </c>
      <c r="E54" s="31">
        <f>案件入力!E54</f>
        <v/>
      </c>
      <c r="F54" s="31">
        <f>案件入力!F54</f>
        <v/>
      </c>
      <c r="G54" s="34">
        <f>案件入力!G54</f>
        <v/>
      </c>
      <c r="H54" s="34">
        <f>案件入力!H54</f>
        <v/>
      </c>
      <c r="I54" s="32">
        <f>案件入力!I54</f>
        <v/>
      </c>
      <c r="J54" s="34">
        <f>案件入力!J54</f>
        <v/>
      </c>
      <c r="K54" s="34">
        <f>案件入力!K54</f>
        <v/>
      </c>
      <c r="L54" s="32">
        <f>案件入力!L54</f>
        <v/>
      </c>
      <c r="M54" s="33">
        <f>案件入力!M54</f>
        <v/>
      </c>
      <c r="N54" s="31">
        <f>案件入力!N54</f>
        <v/>
      </c>
      <c r="O54" s="31">
        <f>案件入力!O54</f>
        <v/>
      </c>
      <c r="P54" s="31">
        <f>案件入力!P54</f>
        <v/>
      </c>
    </row>
    <row r="55">
      <c r="A55" s="31">
        <f>案件入力!A55</f>
        <v/>
      </c>
      <c r="B55" s="32">
        <f>案件入力!B55</f>
        <v/>
      </c>
      <c r="C55" s="33">
        <f>案件入力!C55</f>
        <v/>
      </c>
      <c r="D55" s="31">
        <f>案件入力!D55</f>
        <v/>
      </c>
      <c r="E55" s="31">
        <f>案件入力!E55</f>
        <v/>
      </c>
      <c r="F55" s="31">
        <f>案件入力!F55</f>
        <v/>
      </c>
      <c r="G55" s="34">
        <f>案件入力!G55</f>
        <v/>
      </c>
      <c r="H55" s="34">
        <f>案件入力!H55</f>
        <v/>
      </c>
      <c r="I55" s="32">
        <f>案件入力!I55</f>
        <v/>
      </c>
      <c r="J55" s="34">
        <f>案件入力!J55</f>
        <v/>
      </c>
      <c r="K55" s="34">
        <f>案件入力!K55</f>
        <v/>
      </c>
      <c r="L55" s="32">
        <f>案件入力!L55</f>
        <v/>
      </c>
      <c r="M55" s="33">
        <f>案件入力!M55</f>
        <v/>
      </c>
      <c r="N55" s="31">
        <f>案件入力!N55</f>
        <v/>
      </c>
      <c r="O55" s="31">
        <f>案件入力!O55</f>
        <v/>
      </c>
      <c r="P55" s="31">
        <f>案件入力!P55</f>
        <v/>
      </c>
    </row>
    <row r="56">
      <c r="A56" s="31">
        <f>案件入力!A56</f>
        <v/>
      </c>
      <c r="B56" s="32">
        <f>案件入力!B56</f>
        <v/>
      </c>
      <c r="C56" s="33">
        <f>案件入力!C56</f>
        <v/>
      </c>
      <c r="D56" s="31">
        <f>案件入力!D56</f>
        <v/>
      </c>
      <c r="E56" s="31">
        <f>案件入力!E56</f>
        <v/>
      </c>
      <c r="F56" s="31">
        <f>案件入力!F56</f>
        <v/>
      </c>
      <c r="G56" s="34">
        <f>案件入力!G56</f>
        <v/>
      </c>
      <c r="H56" s="34">
        <f>案件入力!H56</f>
        <v/>
      </c>
      <c r="I56" s="32">
        <f>案件入力!I56</f>
        <v/>
      </c>
      <c r="J56" s="34">
        <f>案件入力!J56</f>
        <v/>
      </c>
      <c r="K56" s="34">
        <f>案件入力!K56</f>
        <v/>
      </c>
      <c r="L56" s="32">
        <f>案件入力!L56</f>
        <v/>
      </c>
      <c r="M56" s="33">
        <f>案件入力!M56</f>
        <v/>
      </c>
      <c r="N56" s="31">
        <f>案件入力!N56</f>
        <v/>
      </c>
      <c r="O56" s="31">
        <f>案件入力!O56</f>
        <v/>
      </c>
      <c r="P56" s="31">
        <f>案件入力!P56</f>
        <v/>
      </c>
    </row>
    <row r="57">
      <c r="A57" s="31">
        <f>案件入力!A57</f>
        <v/>
      </c>
      <c r="B57" s="32">
        <f>案件入力!B57</f>
        <v/>
      </c>
      <c r="C57" s="33">
        <f>案件入力!C57</f>
        <v/>
      </c>
      <c r="D57" s="31">
        <f>案件入力!D57</f>
        <v/>
      </c>
      <c r="E57" s="31">
        <f>案件入力!E57</f>
        <v/>
      </c>
      <c r="F57" s="31">
        <f>案件入力!F57</f>
        <v/>
      </c>
      <c r="G57" s="34">
        <f>案件入力!G57</f>
        <v/>
      </c>
      <c r="H57" s="34">
        <f>案件入力!H57</f>
        <v/>
      </c>
      <c r="I57" s="32">
        <f>案件入力!I57</f>
        <v/>
      </c>
      <c r="J57" s="34">
        <f>案件入力!J57</f>
        <v/>
      </c>
      <c r="K57" s="34">
        <f>案件入力!K57</f>
        <v/>
      </c>
      <c r="L57" s="32">
        <f>案件入力!L57</f>
        <v/>
      </c>
      <c r="M57" s="33">
        <f>案件入力!M57</f>
        <v/>
      </c>
      <c r="N57" s="31">
        <f>案件入力!N57</f>
        <v/>
      </c>
      <c r="O57" s="31">
        <f>案件入力!O57</f>
        <v/>
      </c>
      <c r="P57" s="31">
        <f>案件入力!P57</f>
        <v/>
      </c>
    </row>
    <row r="58">
      <c r="A58" s="31">
        <f>案件入力!A58</f>
        <v/>
      </c>
      <c r="B58" s="32">
        <f>案件入力!B58</f>
        <v/>
      </c>
      <c r="C58" s="33">
        <f>案件入力!C58</f>
        <v/>
      </c>
      <c r="D58" s="31">
        <f>案件入力!D58</f>
        <v/>
      </c>
      <c r="E58" s="31">
        <f>案件入力!E58</f>
        <v/>
      </c>
      <c r="F58" s="31">
        <f>案件入力!F58</f>
        <v/>
      </c>
      <c r="G58" s="34">
        <f>案件入力!G58</f>
        <v/>
      </c>
      <c r="H58" s="34">
        <f>案件入力!H58</f>
        <v/>
      </c>
      <c r="I58" s="32">
        <f>案件入力!I58</f>
        <v/>
      </c>
      <c r="J58" s="34">
        <f>案件入力!J58</f>
        <v/>
      </c>
      <c r="K58" s="34">
        <f>案件入力!K58</f>
        <v/>
      </c>
      <c r="L58" s="32">
        <f>案件入力!L58</f>
        <v/>
      </c>
      <c r="M58" s="33">
        <f>案件入力!M58</f>
        <v/>
      </c>
      <c r="N58" s="31">
        <f>案件入力!N58</f>
        <v/>
      </c>
      <c r="O58" s="31">
        <f>案件入力!O58</f>
        <v/>
      </c>
      <c r="P58" s="31">
        <f>案件入力!P58</f>
        <v/>
      </c>
    </row>
    <row r="59">
      <c r="A59" s="31">
        <f>案件入力!A59</f>
        <v/>
      </c>
      <c r="B59" s="32">
        <f>案件入力!B59</f>
        <v/>
      </c>
      <c r="C59" s="33">
        <f>案件入力!C59</f>
        <v/>
      </c>
      <c r="D59" s="31">
        <f>案件入力!D59</f>
        <v/>
      </c>
      <c r="E59" s="31">
        <f>案件入力!E59</f>
        <v/>
      </c>
      <c r="F59" s="31">
        <f>案件入力!F59</f>
        <v/>
      </c>
      <c r="G59" s="34">
        <f>案件入力!G59</f>
        <v/>
      </c>
      <c r="H59" s="34">
        <f>案件入力!H59</f>
        <v/>
      </c>
      <c r="I59" s="32">
        <f>案件入力!I59</f>
        <v/>
      </c>
      <c r="J59" s="34">
        <f>案件入力!J59</f>
        <v/>
      </c>
      <c r="K59" s="34">
        <f>案件入力!K59</f>
        <v/>
      </c>
      <c r="L59" s="32">
        <f>案件入力!L59</f>
        <v/>
      </c>
      <c r="M59" s="33">
        <f>案件入力!M59</f>
        <v/>
      </c>
      <c r="N59" s="31">
        <f>案件入力!N59</f>
        <v/>
      </c>
      <c r="O59" s="31">
        <f>案件入力!O59</f>
        <v/>
      </c>
      <c r="P59" s="31">
        <f>案件入力!P59</f>
        <v/>
      </c>
    </row>
    <row r="60">
      <c r="A60" s="31">
        <f>案件入力!A60</f>
        <v/>
      </c>
      <c r="B60" s="32">
        <f>案件入力!B60</f>
        <v/>
      </c>
      <c r="C60" s="33">
        <f>案件入力!C60</f>
        <v/>
      </c>
      <c r="D60" s="31">
        <f>案件入力!D60</f>
        <v/>
      </c>
      <c r="E60" s="31">
        <f>案件入力!E60</f>
        <v/>
      </c>
      <c r="F60" s="31">
        <f>案件入力!F60</f>
        <v/>
      </c>
      <c r="G60" s="34">
        <f>案件入力!G60</f>
        <v/>
      </c>
      <c r="H60" s="34">
        <f>案件入力!H60</f>
        <v/>
      </c>
      <c r="I60" s="32">
        <f>案件入力!I60</f>
        <v/>
      </c>
      <c r="J60" s="34">
        <f>案件入力!J60</f>
        <v/>
      </c>
      <c r="K60" s="34">
        <f>案件入力!K60</f>
        <v/>
      </c>
      <c r="L60" s="32">
        <f>案件入力!L60</f>
        <v/>
      </c>
      <c r="M60" s="33">
        <f>案件入力!M60</f>
        <v/>
      </c>
      <c r="N60" s="31">
        <f>案件入力!N60</f>
        <v/>
      </c>
      <c r="O60" s="31">
        <f>案件入力!O60</f>
        <v/>
      </c>
      <c r="P60" s="31">
        <f>案件入力!P60</f>
        <v/>
      </c>
    </row>
    <row r="61">
      <c r="A61" s="31">
        <f>案件入力!A61</f>
        <v/>
      </c>
      <c r="B61" s="32">
        <f>案件入力!B61</f>
        <v/>
      </c>
      <c r="C61" s="33">
        <f>案件入力!C61</f>
        <v/>
      </c>
      <c r="D61" s="31">
        <f>案件入力!D61</f>
        <v/>
      </c>
      <c r="E61" s="31">
        <f>案件入力!E61</f>
        <v/>
      </c>
      <c r="F61" s="31">
        <f>案件入力!F61</f>
        <v/>
      </c>
      <c r="G61" s="34">
        <f>案件入力!G61</f>
        <v/>
      </c>
      <c r="H61" s="34">
        <f>案件入力!H61</f>
        <v/>
      </c>
      <c r="I61" s="32">
        <f>案件入力!I61</f>
        <v/>
      </c>
      <c r="J61" s="34">
        <f>案件入力!J61</f>
        <v/>
      </c>
      <c r="K61" s="34">
        <f>案件入力!K61</f>
        <v/>
      </c>
      <c r="L61" s="32">
        <f>案件入力!L61</f>
        <v/>
      </c>
      <c r="M61" s="33">
        <f>案件入力!M61</f>
        <v/>
      </c>
      <c r="N61" s="31">
        <f>案件入力!N61</f>
        <v/>
      </c>
      <c r="O61" s="31">
        <f>案件入力!O61</f>
        <v/>
      </c>
      <c r="P61" s="31">
        <f>案件入力!P61</f>
        <v/>
      </c>
    </row>
    <row r="62">
      <c r="A62" s="31">
        <f>案件入力!A62</f>
        <v/>
      </c>
      <c r="B62" s="32">
        <f>案件入力!B62</f>
        <v/>
      </c>
      <c r="C62" s="33">
        <f>案件入力!C62</f>
        <v/>
      </c>
      <c r="D62" s="31">
        <f>案件入力!D62</f>
        <v/>
      </c>
      <c r="E62" s="31">
        <f>案件入力!E62</f>
        <v/>
      </c>
      <c r="F62" s="31">
        <f>案件入力!F62</f>
        <v/>
      </c>
      <c r="G62" s="34">
        <f>案件入力!G62</f>
        <v/>
      </c>
      <c r="H62" s="34">
        <f>案件入力!H62</f>
        <v/>
      </c>
      <c r="I62" s="32">
        <f>案件入力!I62</f>
        <v/>
      </c>
      <c r="J62" s="34">
        <f>案件入力!J62</f>
        <v/>
      </c>
      <c r="K62" s="34">
        <f>案件入力!K62</f>
        <v/>
      </c>
      <c r="L62" s="32">
        <f>案件入力!L62</f>
        <v/>
      </c>
      <c r="M62" s="33">
        <f>案件入力!M62</f>
        <v/>
      </c>
      <c r="N62" s="31">
        <f>案件入力!N62</f>
        <v/>
      </c>
      <c r="O62" s="31">
        <f>案件入力!O62</f>
        <v/>
      </c>
      <c r="P62" s="31">
        <f>案件入力!P62</f>
        <v/>
      </c>
    </row>
    <row r="63">
      <c r="A63" s="31">
        <f>案件入力!A63</f>
        <v/>
      </c>
      <c r="B63" s="32">
        <f>案件入力!B63</f>
        <v/>
      </c>
      <c r="C63" s="33">
        <f>案件入力!C63</f>
        <v/>
      </c>
      <c r="D63" s="31">
        <f>案件入力!D63</f>
        <v/>
      </c>
      <c r="E63" s="31">
        <f>案件入力!E63</f>
        <v/>
      </c>
      <c r="F63" s="31">
        <f>案件入力!F63</f>
        <v/>
      </c>
      <c r="G63" s="34">
        <f>案件入力!G63</f>
        <v/>
      </c>
      <c r="H63" s="34">
        <f>案件入力!H63</f>
        <v/>
      </c>
      <c r="I63" s="32">
        <f>案件入力!I63</f>
        <v/>
      </c>
      <c r="J63" s="34">
        <f>案件入力!J63</f>
        <v/>
      </c>
      <c r="K63" s="34">
        <f>案件入力!K63</f>
        <v/>
      </c>
      <c r="L63" s="32">
        <f>案件入力!L63</f>
        <v/>
      </c>
      <c r="M63" s="33">
        <f>案件入力!M63</f>
        <v/>
      </c>
      <c r="N63" s="31">
        <f>案件入力!N63</f>
        <v/>
      </c>
      <c r="O63" s="31">
        <f>案件入力!O63</f>
        <v/>
      </c>
      <c r="P63" s="31">
        <f>案件入力!P63</f>
        <v/>
      </c>
    </row>
    <row r="64">
      <c r="A64" s="31">
        <f>案件入力!A64</f>
        <v/>
      </c>
      <c r="B64" s="32">
        <f>案件入力!B64</f>
        <v/>
      </c>
      <c r="C64" s="33">
        <f>案件入力!C64</f>
        <v/>
      </c>
      <c r="D64" s="31">
        <f>案件入力!D64</f>
        <v/>
      </c>
      <c r="E64" s="31">
        <f>案件入力!E64</f>
        <v/>
      </c>
      <c r="F64" s="31">
        <f>案件入力!F64</f>
        <v/>
      </c>
      <c r="G64" s="34">
        <f>案件入力!G64</f>
        <v/>
      </c>
      <c r="H64" s="34">
        <f>案件入力!H64</f>
        <v/>
      </c>
      <c r="I64" s="32">
        <f>案件入力!I64</f>
        <v/>
      </c>
      <c r="J64" s="34">
        <f>案件入力!J64</f>
        <v/>
      </c>
      <c r="K64" s="34">
        <f>案件入力!K64</f>
        <v/>
      </c>
      <c r="L64" s="32">
        <f>案件入力!L64</f>
        <v/>
      </c>
      <c r="M64" s="33">
        <f>案件入力!M64</f>
        <v/>
      </c>
      <c r="N64" s="31">
        <f>案件入力!N64</f>
        <v/>
      </c>
      <c r="O64" s="31">
        <f>案件入力!O64</f>
        <v/>
      </c>
      <c r="P64" s="31">
        <f>案件入力!P64</f>
        <v/>
      </c>
    </row>
    <row r="65">
      <c r="A65" s="31">
        <f>案件入力!A65</f>
        <v/>
      </c>
      <c r="B65" s="32">
        <f>案件入力!B65</f>
        <v/>
      </c>
      <c r="C65" s="33">
        <f>案件入力!C65</f>
        <v/>
      </c>
      <c r="D65" s="31">
        <f>案件入力!D65</f>
        <v/>
      </c>
      <c r="E65" s="31">
        <f>案件入力!E65</f>
        <v/>
      </c>
      <c r="F65" s="31">
        <f>案件入力!F65</f>
        <v/>
      </c>
      <c r="G65" s="34">
        <f>案件入力!G65</f>
        <v/>
      </c>
      <c r="H65" s="34">
        <f>案件入力!H65</f>
        <v/>
      </c>
      <c r="I65" s="32">
        <f>案件入力!I65</f>
        <v/>
      </c>
      <c r="J65" s="34">
        <f>案件入力!J65</f>
        <v/>
      </c>
      <c r="K65" s="34">
        <f>案件入力!K65</f>
        <v/>
      </c>
      <c r="L65" s="32">
        <f>案件入力!L65</f>
        <v/>
      </c>
      <c r="M65" s="33">
        <f>案件入力!M65</f>
        <v/>
      </c>
      <c r="N65" s="31">
        <f>案件入力!N65</f>
        <v/>
      </c>
      <c r="O65" s="31">
        <f>案件入力!O65</f>
        <v/>
      </c>
      <c r="P65" s="31">
        <f>案件入力!P65</f>
        <v/>
      </c>
    </row>
    <row r="66">
      <c r="A66" s="31">
        <f>案件入力!A66</f>
        <v/>
      </c>
      <c r="B66" s="32">
        <f>案件入力!B66</f>
        <v/>
      </c>
      <c r="C66" s="33">
        <f>案件入力!C66</f>
        <v/>
      </c>
      <c r="D66" s="31">
        <f>案件入力!D66</f>
        <v/>
      </c>
      <c r="E66" s="31">
        <f>案件入力!E66</f>
        <v/>
      </c>
      <c r="F66" s="31">
        <f>案件入力!F66</f>
        <v/>
      </c>
      <c r="G66" s="34">
        <f>案件入力!G66</f>
        <v/>
      </c>
      <c r="H66" s="34">
        <f>案件入力!H66</f>
        <v/>
      </c>
      <c r="I66" s="32">
        <f>案件入力!I66</f>
        <v/>
      </c>
      <c r="J66" s="34">
        <f>案件入力!J66</f>
        <v/>
      </c>
      <c r="K66" s="34">
        <f>案件入力!K66</f>
        <v/>
      </c>
      <c r="L66" s="32">
        <f>案件入力!L66</f>
        <v/>
      </c>
      <c r="M66" s="33">
        <f>案件入力!M66</f>
        <v/>
      </c>
      <c r="N66" s="31">
        <f>案件入力!N66</f>
        <v/>
      </c>
      <c r="O66" s="31">
        <f>案件入力!O66</f>
        <v/>
      </c>
      <c r="P66" s="31">
        <f>案件入力!P66</f>
        <v/>
      </c>
    </row>
    <row r="67">
      <c r="A67" s="31">
        <f>案件入力!A67</f>
        <v/>
      </c>
      <c r="B67" s="32">
        <f>案件入力!B67</f>
        <v/>
      </c>
      <c r="C67" s="33">
        <f>案件入力!C67</f>
        <v/>
      </c>
      <c r="D67" s="31">
        <f>案件入力!D67</f>
        <v/>
      </c>
      <c r="E67" s="31">
        <f>案件入力!E67</f>
        <v/>
      </c>
      <c r="F67" s="31">
        <f>案件入力!F67</f>
        <v/>
      </c>
      <c r="G67" s="34">
        <f>案件入力!G67</f>
        <v/>
      </c>
      <c r="H67" s="34">
        <f>案件入力!H67</f>
        <v/>
      </c>
      <c r="I67" s="32">
        <f>案件入力!I67</f>
        <v/>
      </c>
      <c r="J67" s="34">
        <f>案件入力!J67</f>
        <v/>
      </c>
      <c r="K67" s="34">
        <f>案件入力!K67</f>
        <v/>
      </c>
      <c r="L67" s="32">
        <f>案件入力!L67</f>
        <v/>
      </c>
      <c r="M67" s="33">
        <f>案件入力!M67</f>
        <v/>
      </c>
      <c r="N67" s="31">
        <f>案件入力!N67</f>
        <v/>
      </c>
      <c r="O67" s="31">
        <f>案件入力!O67</f>
        <v/>
      </c>
      <c r="P67" s="31">
        <f>案件入力!P67</f>
        <v/>
      </c>
    </row>
    <row r="68">
      <c r="A68" s="31">
        <f>案件入力!A68</f>
        <v/>
      </c>
      <c r="B68" s="32">
        <f>案件入力!B68</f>
        <v/>
      </c>
      <c r="C68" s="33">
        <f>案件入力!C68</f>
        <v/>
      </c>
      <c r="D68" s="31">
        <f>案件入力!D68</f>
        <v/>
      </c>
      <c r="E68" s="31">
        <f>案件入力!E68</f>
        <v/>
      </c>
      <c r="F68" s="31">
        <f>案件入力!F68</f>
        <v/>
      </c>
      <c r="G68" s="34">
        <f>案件入力!G68</f>
        <v/>
      </c>
      <c r="H68" s="34">
        <f>案件入力!H68</f>
        <v/>
      </c>
      <c r="I68" s="32">
        <f>案件入力!I68</f>
        <v/>
      </c>
      <c r="J68" s="34">
        <f>案件入力!J68</f>
        <v/>
      </c>
      <c r="K68" s="34">
        <f>案件入力!K68</f>
        <v/>
      </c>
      <c r="L68" s="32">
        <f>案件入力!L68</f>
        <v/>
      </c>
      <c r="M68" s="33">
        <f>案件入力!M68</f>
        <v/>
      </c>
      <c r="N68" s="31">
        <f>案件入力!N68</f>
        <v/>
      </c>
      <c r="O68" s="31">
        <f>案件入力!O68</f>
        <v/>
      </c>
      <c r="P68" s="31">
        <f>案件入力!P68</f>
        <v/>
      </c>
    </row>
    <row r="69">
      <c r="A69" s="31">
        <f>案件入力!A69</f>
        <v/>
      </c>
      <c r="B69" s="32">
        <f>案件入力!B69</f>
        <v/>
      </c>
      <c r="C69" s="33">
        <f>案件入力!C69</f>
        <v/>
      </c>
      <c r="D69" s="31">
        <f>案件入力!D69</f>
        <v/>
      </c>
      <c r="E69" s="31">
        <f>案件入力!E69</f>
        <v/>
      </c>
      <c r="F69" s="31">
        <f>案件入力!F69</f>
        <v/>
      </c>
      <c r="G69" s="34">
        <f>案件入力!G69</f>
        <v/>
      </c>
      <c r="H69" s="34">
        <f>案件入力!H69</f>
        <v/>
      </c>
      <c r="I69" s="32">
        <f>案件入力!I69</f>
        <v/>
      </c>
      <c r="J69" s="34">
        <f>案件入力!J69</f>
        <v/>
      </c>
      <c r="K69" s="34">
        <f>案件入力!K69</f>
        <v/>
      </c>
      <c r="L69" s="32">
        <f>案件入力!L69</f>
        <v/>
      </c>
      <c r="M69" s="33">
        <f>案件入力!M69</f>
        <v/>
      </c>
      <c r="N69" s="31">
        <f>案件入力!N69</f>
        <v/>
      </c>
      <c r="O69" s="31">
        <f>案件入力!O69</f>
        <v/>
      </c>
      <c r="P69" s="31">
        <f>案件入力!P69</f>
        <v/>
      </c>
    </row>
    <row r="70">
      <c r="A70" s="31">
        <f>案件入力!A70</f>
        <v/>
      </c>
      <c r="B70" s="32">
        <f>案件入力!B70</f>
        <v/>
      </c>
      <c r="C70" s="33">
        <f>案件入力!C70</f>
        <v/>
      </c>
      <c r="D70" s="31">
        <f>案件入力!D70</f>
        <v/>
      </c>
      <c r="E70" s="31">
        <f>案件入力!E70</f>
        <v/>
      </c>
      <c r="F70" s="31">
        <f>案件入力!F70</f>
        <v/>
      </c>
      <c r="G70" s="34">
        <f>案件入力!G70</f>
        <v/>
      </c>
      <c r="H70" s="34">
        <f>案件入力!H70</f>
        <v/>
      </c>
      <c r="I70" s="32">
        <f>案件入力!I70</f>
        <v/>
      </c>
      <c r="J70" s="34">
        <f>案件入力!J70</f>
        <v/>
      </c>
      <c r="K70" s="34">
        <f>案件入力!K70</f>
        <v/>
      </c>
      <c r="L70" s="32">
        <f>案件入力!L70</f>
        <v/>
      </c>
      <c r="M70" s="33">
        <f>案件入力!M70</f>
        <v/>
      </c>
      <c r="N70" s="31">
        <f>案件入力!N70</f>
        <v/>
      </c>
      <c r="O70" s="31">
        <f>案件入力!O70</f>
        <v/>
      </c>
      <c r="P70" s="31">
        <f>案件入力!P70</f>
        <v/>
      </c>
    </row>
    <row r="71">
      <c r="A71" s="31">
        <f>案件入力!A71</f>
        <v/>
      </c>
      <c r="B71" s="32">
        <f>案件入力!B71</f>
        <v/>
      </c>
      <c r="C71" s="33">
        <f>案件入力!C71</f>
        <v/>
      </c>
      <c r="D71" s="31">
        <f>案件入力!D71</f>
        <v/>
      </c>
      <c r="E71" s="31">
        <f>案件入力!E71</f>
        <v/>
      </c>
      <c r="F71" s="31">
        <f>案件入力!F71</f>
        <v/>
      </c>
      <c r="G71" s="34">
        <f>案件入力!G71</f>
        <v/>
      </c>
      <c r="H71" s="34">
        <f>案件入力!H71</f>
        <v/>
      </c>
      <c r="I71" s="32">
        <f>案件入力!I71</f>
        <v/>
      </c>
      <c r="J71" s="34">
        <f>案件入力!J71</f>
        <v/>
      </c>
      <c r="K71" s="34">
        <f>案件入力!K71</f>
        <v/>
      </c>
      <c r="L71" s="32">
        <f>案件入力!L71</f>
        <v/>
      </c>
      <c r="M71" s="33">
        <f>案件入力!M71</f>
        <v/>
      </c>
      <c r="N71" s="31">
        <f>案件入力!N71</f>
        <v/>
      </c>
      <c r="O71" s="31">
        <f>案件入力!O71</f>
        <v/>
      </c>
      <c r="P71" s="31">
        <f>案件入力!P71</f>
        <v/>
      </c>
    </row>
    <row r="72">
      <c r="A72" s="31">
        <f>案件入力!A72</f>
        <v/>
      </c>
      <c r="B72" s="32">
        <f>案件入力!B72</f>
        <v/>
      </c>
      <c r="C72" s="33">
        <f>案件入力!C72</f>
        <v/>
      </c>
      <c r="D72" s="31">
        <f>案件入力!D72</f>
        <v/>
      </c>
      <c r="E72" s="31">
        <f>案件入力!E72</f>
        <v/>
      </c>
      <c r="F72" s="31">
        <f>案件入力!F72</f>
        <v/>
      </c>
      <c r="G72" s="34">
        <f>案件入力!G72</f>
        <v/>
      </c>
      <c r="H72" s="34">
        <f>案件入力!H72</f>
        <v/>
      </c>
      <c r="I72" s="32">
        <f>案件入力!I72</f>
        <v/>
      </c>
      <c r="J72" s="34">
        <f>案件入力!J72</f>
        <v/>
      </c>
      <c r="K72" s="34">
        <f>案件入力!K72</f>
        <v/>
      </c>
      <c r="L72" s="32">
        <f>案件入力!L72</f>
        <v/>
      </c>
      <c r="M72" s="33">
        <f>案件入力!M72</f>
        <v/>
      </c>
      <c r="N72" s="31">
        <f>案件入力!N72</f>
        <v/>
      </c>
      <c r="O72" s="31">
        <f>案件入力!O72</f>
        <v/>
      </c>
      <c r="P72" s="31">
        <f>案件入力!P72</f>
        <v/>
      </c>
    </row>
    <row r="73">
      <c r="A73" s="31">
        <f>案件入力!A73</f>
        <v/>
      </c>
      <c r="B73" s="32">
        <f>案件入力!B73</f>
        <v/>
      </c>
      <c r="C73" s="33">
        <f>案件入力!C73</f>
        <v/>
      </c>
      <c r="D73" s="31">
        <f>案件入力!D73</f>
        <v/>
      </c>
      <c r="E73" s="31">
        <f>案件入力!E73</f>
        <v/>
      </c>
      <c r="F73" s="31">
        <f>案件入力!F73</f>
        <v/>
      </c>
      <c r="G73" s="34">
        <f>案件入力!G73</f>
        <v/>
      </c>
      <c r="H73" s="34">
        <f>案件入力!H73</f>
        <v/>
      </c>
      <c r="I73" s="32">
        <f>案件入力!I73</f>
        <v/>
      </c>
      <c r="J73" s="34">
        <f>案件入力!J73</f>
        <v/>
      </c>
      <c r="K73" s="34">
        <f>案件入力!K73</f>
        <v/>
      </c>
      <c r="L73" s="32">
        <f>案件入力!L73</f>
        <v/>
      </c>
      <c r="M73" s="33">
        <f>案件入力!M73</f>
        <v/>
      </c>
      <c r="N73" s="31">
        <f>案件入力!N73</f>
        <v/>
      </c>
      <c r="O73" s="31">
        <f>案件入力!O73</f>
        <v/>
      </c>
      <c r="P73" s="31">
        <f>案件入力!P73</f>
        <v/>
      </c>
    </row>
    <row r="74">
      <c r="A74" s="31">
        <f>案件入力!A74</f>
        <v/>
      </c>
      <c r="B74" s="32">
        <f>案件入力!B74</f>
        <v/>
      </c>
      <c r="C74" s="33">
        <f>案件入力!C74</f>
        <v/>
      </c>
      <c r="D74" s="31">
        <f>案件入力!D74</f>
        <v/>
      </c>
      <c r="E74" s="31">
        <f>案件入力!E74</f>
        <v/>
      </c>
      <c r="F74" s="31">
        <f>案件入力!F74</f>
        <v/>
      </c>
      <c r="G74" s="34">
        <f>案件入力!G74</f>
        <v/>
      </c>
      <c r="H74" s="34">
        <f>案件入力!H74</f>
        <v/>
      </c>
      <c r="I74" s="32">
        <f>案件入力!I74</f>
        <v/>
      </c>
      <c r="J74" s="34">
        <f>案件入力!J74</f>
        <v/>
      </c>
      <c r="K74" s="34">
        <f>案件入力!K74</f>
        <v/>
      </c>
      <c r="L74" s="32">
        <f>案件入力!L74</f>
        <v/>
      </c>
      <c r="M74" s="33">
        <f>案件入力!M74</f>
        <v/>
      </c>
      <c r="N74" s="31">
        <f>案件入力!N74</f>
        <v/>
      </c>
      <c r="O74" s="31">
        <f>案件入力!O74</f>
        <v/>
      </c>
      <c r="P74" s="31">
        <f>案件入力!P74</f>
        <v/>
      </c>
    </row>
    <row r="75">
      <c r="A75" s="31">
        <f>案件入力!A75</f>
        <v/>
      </c>
      <c r="B75" s="32">
        <f>案件入力!B75</f>
        <v/>
      </c>
      <c r="C75" s="33">
        <f>案件入力!C75</f>
        <v/>
      </c>
      <c r="D75" s="31">
        <f>案件入力!D75</f>
        <v/>
      </c>
      <c r="E75" s="31">
        <f>案件入力!E75</f>
        <v/>
      </c>
      <c r="F75" s="31">
        <f>案件入力!F75</f>
        <v/>
      </c>
      <c r="G75" s="34">
        <f>案件入力!G75</f>
        <v/>
      </c>
      <c r="H75" s="34">
        <f>案件入力!H75</f>
        <v/>
      </c>
      <c r="I75" s="32">
        <f>案件入力!I75</f>
        <v/>
      </c>
      <c r="J75" s="34">
        <f>案件入力!J75</f>
        <v/>
      </c>
      <c r="K75" s="34">
        <f>案件入力!K75</f>
        <v/>
      </c>
      <c r="L75" s="32">
        <f>案件入力!L75</f>
        <v/>
      </c>
      <c r="M75" s="33">
        <f>案件入力!M75</f>
        <v/>
      </c>
      <c r="N75" s="31">
        <f>案件入力!N75</f>
        <v/>
      </c>
      <c r="O75" s="31">
        <f>案件入力!O75</f>
        <v/>
      </c>
      <c r="P75" s="31">
        <f>案件入力!P75</f>
        <v/>
      </c>
    </row>
    <row r="76">
      <c r="A76" s="31">
        <f>案件入力!A76</f>
        <v/>
      </c>
      <c r="B76" s="32">
        <f>案件入力!B76</f>
        <v/>
      </c>
      <c r="C76" s="33">
        <f>案件入力!C76</f>
        <v/>
      </c>
      <c r="D76" s="31">
        <f>案件入力!D76</f>
        <v/>
      </c>
      <c r="E76" s="31">
        <f>案件入力!E76</f>
        <v/>
      </c>
      <c r="F76" s="31">
        <f>案件入力!F76</f>
        <v/>
      </c>
      <c r="G76" s="34">
        <f>案件入力!G76</f>
        <v/>
      </c>
      <c r="H76" s="34">
        <f>案件入力!H76</f>
        <v/>
      </c>
      <c r="I76" s="32">
        <f>案件入力!I76</f>
        <v/>
      </c>
      <c r="J76" s="34">
        <f>案件入力!J76</f>
        <v/>
      </c>
      <c r="K76" s="34">
        <f>案件入力!K76</f>
        <v/>
      </c>
      <c r="L76" s="32">
        <f>案件入力!L76</f>
        <v/>
      </c>
      <c r="M76" s="33">
        <f>案件入力!M76</f>
        <v/>
      </c>
      <c r="N76" s="31">
        <f>案件入力!N76</f>
        <v/>
      </c>
      <c r="O76" s="31">
        <f>案件入力!O76</f>
        <v/>
      </c>
      <c r="P76" s="31">
        <f>案件入力!P76</f>
        <v/>
      </c>
    </row>
    <row r="77">
      <c r="A77" s="31">
        <f>案件入力!A77</f>
        <v/>
      </c>
      <c r="B77" s="32">
        <f>案件入力!B77</f>
        <v/>
      </c>
      <c r="C77" s="33">
        <f>案件入力!C77</f>
        <v/>
      </c>
      <c r="D77" s="31">
        <f>案件入力!D77</f>
        <v/>
      </c>
      <c r="E77" s="31">
        <f>案件入力!E77</f>
        <v/>
      </c>
      <c r="F77" s="31">
        <f>案件入力!F77</f>
        <v/>
      </c>
      <c r="G77" s="34">
        <f>案件入力!G77</f>
        <v/>
      </c>
      <c r="H77" s="34">
        <f>案件入力!H77</f>
        <v/>
      </c>
      <c r="I77" s="32">
        <f>案件入力!I77</f>
        <v/>
      </c>
      <c r="J77" s="34">
        <f>案件入力!J77</f>
        <v/>
      </c>
      <c r="K77" s="34">
        <f>案件入力!K77</f>
        <v/>
      </c>
      <c r="L77" s="32">
        <f>案件入力!L77</f>
        <v/>
      </c>
      <c r="M77" s="33">
        <f>案件入力!M77</f>
        <v/>
      </c>
      <c r="N77" s="31">
        <f>案件入力!N77</f>
        <v/>
      </c>
      <c r="O77" s="31">
        <f>案件入力!O77</f>
        <v/>
      </c>
      <c r="P77" s="31">
        <f>案件入力!P77</f>
        <v/>
      </c>
    </row>
    <row r="78">
      <c r="A78" s="31">
        <f>案件入力!A78</f>
        <v/>
      </c>
      <c r="B78" s="32">
        <f>案件入力!B78</f>
        <v/>
      </c>
      <c r="C78" s="33">
        <f>案件入力!C78</f>
        <v/>
      </c>
      <c r="D78" s="31">
        <f>案件入力!D78</f>
        <v/>
      </c>
      <c r="E78" s="31">
        <f>案件入力!E78</f>
        <v/>
      </c>
      <c r="F78" s="31">
        <f>案件入力!F78</f>
        <v/>
      </c>
      <c r="G78" s="34">
        <f>案件入力!G78</f>
        <v/>
      </c>
      <c r="H78" s="34">
        <f>案件入力!H78</f>
        <v/>
      </c>
      <c r="I78" s="32">
        <f>案件入力!I78</f>
        <v/>
      </c>
      <c r="J78" s="34">
        <f>案件入力!J78</f>
        <v/>
      </c>
      <c r="K78" s="34">
        <f>案件入力!K78</f>
        <v/>
      </c>
      <c r="L78" s="32">
        <f>案件入力!L78</f>
        <v/>
      </c>
      <c r="M78" s="33">
        <f>案件入力!M78</f>
        <v/>
      </c>
      <c r="N78" s="31">
        <f>案件入力!N78</f>
        <v/>
      </c>
      <c r="O78" s="31">
        <f>案件入力!O78</f>
        <v/>
      </c>
      <c r="P78" s="31">
        <f>案件入力!P78</f>
        <v/>
      </c>
    </row>
    <row r="79">
      <c r="A79" s="31">
        <f>案件入力!A79</f>
        <v/>
      </c>
      <c r="B79" s="32">
        <f>案件入力!B79</f>
        <v/>
      </c>
      <c r="C79" s="33">
        <f>案件入力!C79</f>
        <v/>
      </c>
      <c r="D79" s="31">
        <f>案件入力!D79</f>
        <v/>
      </c>
      <c r="E79" s="31">
        <f>案件入力!E79</f>
        <v/>
      </c>
      <c r="F79" s="31">
        <f>案件入力!F79</f>
        <v/>
      </c>
      <c r="G79" s="34">
        <f>案件入力!G79</f>
        <v/>
      </c>
      <c r="H79" s="34">
        <f>案件入力!H79</f>
        <v/>
      </c>
      <c r="I79" s="32">
        <f>案件入力!I79</f>
        <v/>
      </c>
      <c r="J79" s="34">
        <f>案件入力!J79</f>
        <v/>
      </c>
      <c r="K79" s="34">
        <f>案件入力!K79</f>
        <v/>
      </c>
      <c r="L79" s="32">
        <f>案件入力!L79</f>
        <v/>
      </c>
      <c r="M79" s="33">
        <f>案件入力!M79</f>
        <v/>
      </c>
      <c r="N79" s="31">
        <f>案件入力!N79</f>
        <v/>
      </c>
      <c r="O79" s="31">
        <f>案件入力!O79</f>
        <v/>
      </c>
      <c r="P79" s="31">
        <f>案件入力!P79</f>
        <v/>
      </c>
    </row>
    <row r="80">
      <c r="A80" s="31">
        <f>案件入力!A80</f>
        <v/>
      </c>
      <c r="B80" s="32">
        <f>案件入力!B80</f>
        <v/>
      </c>
      <c r="C80" s="33">
        <f>案件入力!C80</f>
        <v/>
      </c>
      <c r="D80" s="31">
        <f>案件入力!D80</f>
        <v/>
      </c>
      <c r="E80" s="31">
        <f>案件入力!E80</f>
        <v/>
      </c>
      <c r="F80" s="31">
        <f>案件入力!F80</f>
        <v/>
      </c>
      <c r="G80" s="34">
        <f>案件入力!G80</f>
        <v/>
      </c>
      <c r="H80" s="34">
        <f>案件入力!H80</f>
        <v/>
      </c>
      <c r="I80" s="32">
        <f>案件入力!I80</f>
        <v/>
      </c>
      <c r="J80" s="34">
        <f>案件入力!J80</f>
        <v/>
      </c>
      <c r="K80" s="34">
        <f>案件入力!K80</f>
        <v/>
      </c>
      <c r="L80" s="32">
        <f>案件入力!L80</f>
        <v/>
      </c>
      <c r="M80" s="33">
        <f>案件入力!M80</f>
        <v/>
      </c>
      <c r="N80" s="31">
        <f>案件入力!N80</f>
        <v/>
      </c>
      <c r="O80" s="31">
        <f>案件入力!O80</f>
        <v/>
      </c>
      <c r="P80" s="31">
        <f>案件入力!P80</f>
        <v/>
      </c>
    </row>
    <row r="81">
      <c r="A81" s="31">
        <f>案件入力!A81</f>
        <v/>
      </c>
      <c r="B81" s="32">
        <f>案件入力!B81</f>
        <v/>
      </c>
      <c r="C81" s="33">
        <f>案件入力!C81</f>
        <v/>
      </c>
      <c r="D81" s="31">
        <f>案件入力!D81</f>
        <v/>
      </c>
      <c r="E81" s="31">
        <f>案件入力!E81</f>
        <v/>
      </c>
      <c r="F81" s="31">
        <f>案件入力!F81</f>
        <v/>
      </c>
      <c r="G81" s="34">
        <f>案件入力!G81</f>
        <v/>
      </c>
      <c r="H81" s="34">
        <f>案件入力!H81</f>
        <v/>
      </c>
      <c r="I81" s="32">
        <f>案件入力!I81</f>
        <v/>
      </c>
      <c r="J81" s="34">
        <f>案件入力!J81</f>
        <v/>
      </c>
      <c r="K81" s="34">
        <f>案件入力!K81</f>
        <v/>
      </c>
      <c r="L81" s="32">
        <f>案件入力!L81</f>
        <v/>
      </c>
      <c r="M81" s="33">
        <f>案件入力!M81</f>
        <v/>
      </c>
      <c r="N81" s="31">
        <f>案件入力!N81</f>
        <v/>
      </c>
      <c r="O81" s="31">
        <f>案件入力!O81</f>
        <v/>
      </c>
      <c r="P81" s="31">
        <f>案件入力!P81</f>
        <v/>
      </c>
    </row>
    <row r="82">
      <c r="A82" s="31">
        <f>案件入力!A82</f>
        <v/>
      </c>
      <c r="B82" s="32">
        <f>案件入力!B82</f>
        <v/>
      </c>
      <c r="C82" s="33">
        <f>案件入力!C82</f>
        <v/>
      </c>
      <c r="D82" s="31">
        <f>案件入力!D82</f>
        <v/>
      </c>
      <c r="E82" s="31">
        <f>案件入力!E82</f>
        <v/>
      </c>
      <c r="F82" s="31">
        <f>案件入力!F82</f>
        <v/>
      </c>
      <c r="G82" s="34">
        <f>案件入力!G82</f>
        <v/>
      </c>
      <c r="H82" s="34">
        <f>案件入力!H82</f>
        <v/>
      </c>
      <c r="I82" s="32">
        <f>案件入力!I82</f>
        <v/>
      </c>
      <c r="J82" s="34">
        <f>案件入力!J82</f>
        <v/>
      </c>
      <c r="K82" s="34">
        <f>案件入力!K82</f>
        <v/>
      </c>
      <c r="L82" s="32">
        <f>案件入力!L82</f>
        <v/>
      </c>
      <c r="M82" s="33">
        <f>案件入力!M82</f>
        <v/>
      </c>
      <c r="N82" s="31">
        <f>案件入力!N82</f>
        <v/>
      </c>
      <c r="O82" s="31">
        <f>案件入力!O82</f>
        <v/>
      </c>
      <c r="P82" s="31">
        <f>案件入力!P82</f>
        <v/>
      </c>
    </row>
    <row r="83">
      <c r="A83" s="31">
        <f>案件入力!A83</f>
        <v/>
      </c>
      <c r="B83" s="32">
        <f>案件入力!B83</f>
        <v/>
      </c>
      <c r="C83" s="33">
        <f>案件入力!C83</f>
        <v/>
      </c>
      <c r="D83" s="31">
        <f>案件入力!D83</f>
        <v/>
      </c>
      <c r="E83" s="31">
        <f>案件入力!E83</f>
        <v/>
      </c>
      <c r="F83" s="31">
        <f>案件入力!F83</f>
        <v/>
      </c>
      <c r="G83" s="34">
        <f>案件入力!G83</f>
        <v/>
      </c>
      <c r="H83" s="34">
        <f>案件入力!H83</f>
        <v/>
      </c>
      <c r="I83" s="32">
        <f>案件入力!I83</f>
        <v/>
      </c>
      <c r="J83" s="34">
        <f>案件入力!J83</f>
        <v/>
      </c>
      <c r="K83" s="34">
        <f>案件入力!K83</f>
        <v/>
      </c>
      <c r="L83" s="32">
        <f>案件入力!L83</f>
        <v/>
      </c>
      <c r="M83" s="33">
        <f>案件入力!M83</f>
        <v/>
      </c>
      <c r="N83" s="31">
        <f>案件入力!N83</f>
        <v/>
      </c>
      <c r="O83" s="31">
        <f>案件入力!O83</f>
        <v/>
      </c>
      <c r="P83" s="31">
        <f>案件入力!P83</f>
        <v/>
      </c>
    </row>
    <row r="84">
      <c r="A84" s="31">
        <f>案件入力!A84</f>
        <v/>
      </c>
      <c r="B84" s="32">
        <f>案件入力!B84</f>
        <v/>
      </c>
      <c r="C84" s="33">
        <f>案件入力!C84</f>
        <v/>
      </c>
      <c r="D84" s="31">
        <f>案件入力!D84</f>
        <v/>
      </c>
      <c r="E84" s="31">
        <f>案件入力!E84</f>
        <v/>
      </c>
      <c r="F84" s="31">
        <f>案件入力!F84</f>
        <v/>
      </c>
      <c r="G84" s="34">
        <f>案件入力!G84</f>
        <v/>
      </c>
      <c r="H84" s="34">
        <f>案件入力!H84</f>
        <v/>
      </c>
      <c r="I84" s="32">
        <f>案件入力!I84</f>
        <v/>
      </c>
      <c r="J84" s="34">
        <f>案件入力!J84</f>
        <v/>
      </c>
      <c r="K84" s="34">
        <f>案件入力!K84</f>
        <v/>
      </c>
      <c r="L84" s="32">
        <f>案件入力!L84</f>
        <v/>
      </c>
      <c r="M84" s="33">
        <f>案件入力!M84</f>
        <v/>
      </c>
      <c r="N84" s="31">
        <f>案件入力!N84</f>
        <v/>
      </c>
      <c r="O84" s="31">
        <f>案件入力!O84</f>
        <v/>
      </c>
      <c r="P84" s="31">
        <f>案件入力!P84</f>
        <v/>
      </c>
    </row>
    <row r="85">
      <c r="A85" s="31">
        <f>案件入力!A85</f>
        <v/>
      </c>
      <c r="B85" s="32">
        <f>案件入力!B85</f>
        <v/>
      </c>
      <c r="C85" s="33">
        <f>案件入力!C85</f>
        <v/>
      </c>
      <c r="D85" s="31">
        <f>案件入力!D85</f>
        <v/>
      </c>
      <c r="E85" s="31">
        <f>案件入力!E85</f>
        <v/>
      </c>
      <c r="F85" s="31">
        <f>案件入力!F85</f>
        <v/>
      </c>
      <c r="G85" s="34">
        <f>案件入力!G85</f>
        <v/>
      </c>
      <c r="H85" s="34">
        <f>案件入力!H85</f>
        <v/>
      </c>
      <c r="I85" s="32">
        <f>案件入力!I85</f>
        <v/>
      </c>
      <c r="J85" s="34">
        <f>案件入力!J85</f>
        <v/>
      </c>
      <c r="K85" s="34">
        <f>案件入力!K85</f>
        <v/>
      </c>
      <c r="L85" s="32">
        <f>案件入力!L85</f>
        <v/>
      </c>
      <c r="M85" s="33">
        <f>案件入力!M85</f>
        <v/>
      </c>
      <c r="N85" s="31">
        <f>案件入力!N85</f>
        <v/>
      </c>
      <c r="O85" s="31">
        <f>案件入力!O85</f>
        <v/>
      </c>
      <c r="P85" s="31">
        <f>案件入力!P85</f>
        <v/>
      </c>
    </row>
    <row r="86">
      <c r="A86" s="31">
        <f>案件入力!A86</f>
        <v/>
      </c>
      <c r="B86" s="32">
        <f>案件入力!B86</f>
        <v/>
      </c>
      <c r="C86" s="33">
        <f>案件入力!C86</f>
        <v/>
      </c>
      <c r="D86" s="31">
        <f>案件入力!D86</f>
        <v/>
      </c>
      <c r="E86" s="31">
        <f>案件入力!E86</f>
        <v/>
      </c>
      <c r="F86" s="31">
        <f>案件入力!F86</f>
        <v/>
      </c>
      <c r="G86" s="34">
        <f>案件入力!G86</f>
        <v/>
      </c>
      <c r="H86" s="34">
        <f>案件入力!H86</f>
        <v/>
      </c>
      <c r="I86" s="32">
        <f>案件入力!I86</f>
        <v/>
      </c>
      <c r="J86" s="34">
        <f>案件入力!J86</f>
        <v/>
      </c>
      <c r="K86" s="34">
        <f>案件入力!K86</f>
        <v/>
      </c>
      <c r="L86" s="32">
        <f>案件入力!L86</f>
        <v/>
      </c>
      <c r="M86" s="33">
        <f>案件入力!M86</f>
        <v/>
      </c>
      <c r="N86" s="31">
        <f>案件入力!N86</f>
        <v/>
      </c>
      <c r="O86" s="31">
        <f>案件入力!O86</f>
        <v/>
      </c>
      <c r="P86" s="31">
        <f>案件入力!P86</f>
        <v/>
      </c>
    </row>
    <row r="87">
      <c r="A87" s="31">
        <f>案件入力!A87</f>
        <v/>
      </c>
      <c r="B87" s="32">
        <f>案件入力!B87</f>
        <v/>
      </c>
      <c r="C87" s="33">
        <f>案件入力!C87</f>
        <v/>
      </c>
      <c r="D87" s="31">
        <f>案件入力!D87</f>
        <v/>
      </c>
      <c r="E87" s="31">
        <f>案件入力!E87</f>
        <v/>
      </c>
      <c r="F87" s="31">
        <f>案件入力!F87</f>
        <v/>
      </c>
      <c r="G87" s="34">
        <f>案件入力!G87</f>
        <v/>
      </c>
      <c r="H87" s="34">
        <f>案件入力!H87</f>
        <v/>
      </c>
      <c r="I87" s="32">
        <f>案件入力!I87</f>
        <v/>
      </c>
      <c r="J87" s="34">
        <f>案件入力!J87</f>
        <v/>
      </c>
      <c r="K87" s="34">
        <f>案件入力!K87</f>
        <v/>
      </c>
      <c r="L87" s="32">
        <f>案件入力!L87</f>
        <v/>
      </c>
      <c r="M87" s="33">
        <f>案件入力!M87</f>
        <v/>
      </c>
      <c r="N87" s="31">
        <f>案件入力!N87</f>
        <v/>
      </c>
      <c r="O87" s="31">
        <f>案件入力!O87</f>
        <v/>
      </c>
      <c r="P87" s="31">
        <f>案件入力!P87</f>
        <v/>
      </c>
    </row>
    <row r="88">
      <c r="A88" s="31">
        <f>案件入力!A88</f>
        <v/>
      </c>
      <c r="B88" s="32">
        <f>案件入力!B88</f>
        <v/>
      </c>
      <c r="C88" s="33">
        <f>案件入力!C88</f>
        <v/>
      </c>
      <c r="D88" s="31">
        <f>案件入力!D88</f>
        <v/>
      </c>
      <c r="E88" s="31">
        <f>案件入力!E88</f>
        <v/>
      </c>
      <c r="F88" s="31">
        <f>案件入力!F88</f>
        <v/>
      </c>
      <c r="G88" s="34">
        <f>案件入力!G88</f>
        <v/>
      </c>
      <c r="H88" s="34">
        <f>案件入力!H88</f>
        <v/>
      </c>
      <c r="I88" s="32">
        <f>案件入力!I88</f>
        <v/>
      </c>
      <c r="J88" s="34">
        <f>案件入力!J88</f>
        <v/>
      </c>
      <c r="K88" s="34">
        <f>案件入力!K88</f>
        <v/>
      </c>
      <c r="L88" s="32">
        <f>案件入力!L88</f>
        <v/>
      </c>
      <c r="M88" s="33">
        <f>案件入力!M88</f>
        <v/>
      </c>
      <c r="N88" s="31">
        <f>案件入力!N88</f>
        <v/>
      </c>
      <c r="O88" s="31">
        <f>案件入力!O88</f>
        <v/>
      </c>
      <c r="P88" s="31">
        <f>案件入力!P88</f>
        <v/>
      </c>
    </row>
    <row r="89">
      <c r="A89" s="31">
        <f>案件入力!A89</f>
        <v/>
      </c>
      <c r="B89" s="32">
        <f>案件入力!B89</f>
        <v/>
      </c>
      <c r="C89" s="33">
        <f>案件入力!C89</f>
        <v/>
      </c>
      <c r="D89" s="31">
        <f>案件入力!D89</f>
        <v/>
      </c>
      <c r="E89" s="31">
        <f>案件入力!E89</f>
        <v/>
      </c>
      <c r="F89" s="31">
        <f>案件入力!F89</f>
        <v/>
      </c>
      <c r="G89" s="34">
        <f>案件入力!G89</f>
        <v/>
      </c>
      <c r="H89" s="34">
        <f>案件入力!H89</f>
        <v/>
      </c>
      <c r="I89" s="32">
        <f>案件入力!I89</f>
        <v/>
      </c>
      <c r="J89" s="34">
        <f>案件入力!J89</f>
        <v/>
      </c>
      <c r="K89" s="34">
        <f>案件入力!K89</f>
        <v/>
      </c>
      <c r="L89" s="32">
        <f>案件入力!L89</f>
        <v/>
      </c>
      <c r="M89" s="33">
        <f>案件入力!M89</f>
        <v/>
      </c>
      <c r="N89" s="31">
        <f>案件入力!N89</f>
        <v/>
      </c>
      <c r="O89" s="31">
        <f>案件入力!O89</f>
        <v/>
      </c>
      <c r="P89" s="31">
        <f>案件入力!P89</f>
        <v/>
      </c>
    </row>
    <row r="90">
      <c r="A90" s="31">
        <f>案件入力!A90</f>
        <v/>
      </c>
      <c r="B90" s="32">
        <f>案件入力!B90</f>
        <v/>
      </c>
      <c r="C90" s="33">
        <f>案件入力!C90</f>
        <v/>
      </c>
      <c r="D90" s="31">
        <f>案件入力!D90</f>
        <v/>
      </c>
      <c r="E90" s="31">
        <f>案件入力!E90</f>
        <v/>
      </c>
      <c r="F90" s="31">
        <f>案件入力!F90</f>
        <v/>
      </c>
      <c r="G90" s="34">
        <f>案件入力!G90</f>
        <v/>
      </c>
      <c r="H90" s="34">
        <f>案件入力!H90</f>
        <v/>
      </c>
      <c r="I90" s="32">
        <f>案件入力!I90</f>
        <v/>
      </c>
      <c r="J90" s="34">
        <f>案件入力!J90</f>
        <v/>
      </c>
      <c r="K90" s="34">
        <f>案件入力!K90</f>
        <v/>
      </c>
      <c r="L90" s="32">
        <f>案件入力!L90</f>
        <v/>
      </c>
      <c r="M90" s="33">
        <f>案件入力!M90</f>
        <v/>
      </c>
      <c r="N90" s="31">
        <f>案件入力!N90</f>
        <v/>
      </c>
      <c r="O90" s="31">
        <f>案件入力!O90</f>
        <v/>
      </c>
      <c r="P90" s="31">
        <f>案件入力!P90</f>
        <v/>
      </c>
    </row>
    <row r="91">
      <c r="A91" s="31">
        <f>案件入力!A91</f>
        <v/>
      </c>
      <c r="B91" s="32">
        <f>案件入力!B91</f>
        <v/>
      </c>
      <c r="C91" s="33">
        <f>案件入力!C91</f>
        <v/>
      </c>
      <c r="D91" s="31">
        <f>案件入力!D91</f>
        <v/>
      </c>
      <c r="E91" s="31">
        <f>案件入力!E91</f>
        <v/>
      </c>
      <c r="F91" s="31">
        <f>案件入力!F91</f>
        <v/>
      </c>
      <c r="G91" s="34">
        <f>案件入力!G91</f>
        <v/>
      </c>
      <c r="H91" s="34">
        <f>案件入力!H91</f>
        <v/>
      </c>
      <c r="I91" s="32">
        <f>案件入力!I91</f>
        <v/>
      </c>
      <c r="J91" s="34">
        <f>案件入力!J91</f>
        <v/>
      </c>
      <c r="K91" s="34">
        <f>案件入力!K91</f>
        <v/>
      </c>
      <c r="L91" s="32">
        <f>案件入力!L91</f>
        <v/>
      </c>
      <c r="M91" s="33">
        <f>案件入力!M91</f>
        <v/>
      </c>
      <c r="N91" s="31">
        <f>案件入力!N91</f>
        <v/>
      </c>
      <c r="O91" s="31">
        <f>案件入力!O91</f>
        <v/>
      </c>
      <c r="P91" s="31">
        <f>案件入力!P91</f>
        <v/>
      </c>
    </row>
    <row r="92">
      <c r="A92" s="31">
        <f>案件入力!A92</f>
        <v/>
      </c>
      <c r="B92" s="32">
        <f>案件入力!B92</f>
        <v/>
      </c>
      <c r="C92" s="33">
        <f>案件入力!C92</f>
        <v/>
      </c>
      <c r="D92" s="31">
        <f>案件入力!D92</f>
        <v/>
      </c>
      <c r="E92" s="31">
        <f>案件入力!E92</f>
        <v/>
      </c>
      <c r="F92" s="31">
        <f>案件入力!F92</f>
        <v/>
      </c>
      <c r="G92" s="34">
        <f>案件入力!G92</f>
        <v/>
      </c>
      <c r="H92" s="34">
        <f>案件入力!H92</f>
        <v/>
      </c>
      <c r="I92" s="32">
        <f>案件入力!I92</f>
        <v/>
      </c>
      <c r="J92" s="34">
        <f>案件入力!J92</f>
        <v/>
      </c>
      <c r="K92" s="34">
        <f>案件入力!K92</f>
        <v/>
      </c>
      <c r="L92" s="32">
        <f>案件入力!L92</f>
        <v/>
      </c>
      <c r="M92" s="33">
        <f>案件入力!M92</f>
        <v/>
      </c>
      <c r="N92" s="31">
        <f>案件入力!N92</f>
        <v/>
      </c>
      <c r="O92" s="31">
        <f>案件入力!O92</f>
        <v/>
      </c>
      <c r="P92" s="31">
        <f>案件入力!P92</f>
        <v/>
      </c>
    </row>
    <row r="93">
      <c r="A93" s="31">
        <f>案件入力!A93</f>
        <v/>
      </c>
      <c r="B93" s="32">
        <f>案件入力!B93</f>
        <v/>
      </c>
      <c r="C93" s="33">
        <f>案件入力!C93</f>
        <v/>
      </c>
      <c r="D93" s="31">
        <f>案件入力!D93</f>
        <v/>
      </c>
      <c r="E93" s="31">
        <f>案件入力!E93</f>
        <v/>
      </c>
      <c r="F93" s="31">
        <f>案件入力!F93</f>
        <v/>
      </c>
      <c r="G93" s="34">
        <f>案件入力!G93</f>
        <v/>
      </c>
      <c r="H93" s="34">
        <f>案件入力!H93</f>
        <v/>
      </c>
      <c r="I93" s="32">
        <f>案件入力!I93</f>
        <v/>
      </c>
      <c r="J93" s="34">
        <f>案件入力!J93</f>
        <v/>
      </c>
      <c r="K93" s="34">
        <f>案件入力!K93</f>
        <v/>
      </c>
      <c r="L93" s="32">
        <f>案件入力!L93</f>
        <v/>
      </c>
      <c r="M93" s="33">
        <f>案件入力!M93</f>
        <v/>
      </c>
      <c r="N93" s="31">
        <f>案件入力!N93</f>
        <v/>
      </c>
      <c r="O93" s="31">
        <f>案件入力!O93</f>
        <v/>
      </c>
      <c r="P93" s="31">
        <f>案件入力!P93</f>
        <v/>
      </c>
    </row>
    <row r="94">
      <c r="A94" s="31">
        <f>案件入力!A94</f>
        <v/>
      </c>
      <c r="B94" s="32">
        <f>案件入力!B94</f>
        <v/>
      </c>
      <c r="C94" s="33">
        <f>案件入力!C94</f>
        <v/>
      </c>
      <c r="D94" s="31">
        <f>案件入力!D94</f>
        <v/>
      </c>
      <c r="E94" s="31">
        <f>案件入力!E94</f>
        <v/>
      </c>
      <c r="F94" s="31">
        <f>案件入力!F94</f>
        <v/>
      </c>
      <c r="G94" s="34">
        <f>案件入力!G94</f>
        <v/>
      </c>
      <c r="H94" s="34">
        <f>案件入力!H94</f>
        <v/>
      </c>
      <c r="I94" s="32">
        <f>案件入力!I94</f>
        <v/>
      </c>
      <c r="J94" s="34">
        <f>案件入力!J94</f>
        <v/>
      </c>
      <c r="K94" s="34">
        <f>案件入力!K94</f>
        <v/>
      </c>
      <c r="L94" s="32">
        <f>案件入力!L94</f>
        <v/>
      </c>
      <c r="M94" s="33">
        <f>案件入力!M94</f>
        <v/>
      </c>
      <c r="N94" s="31">
        <f>案件入力!N94</f>
        <v/>
      </c>
      <c r="O94" s="31">
        <f>案件入力!O94</f>
        <v/>
      </c>
      <c r="P94" s="31">
        <f>案件入力!P94</f>
        <v/>
      </c>
    </row>
    <row r="95">
      <c r="A95" s="31">
        <f>案件入力!A95</f>
        <v/>
      </c>
      <c r="B95" s="32">
        <f>案件入力!B95</f>
        <v/>
      </c>
      <c r="C95" s="33">
        <f>案件入力!C95</f>
        <v/>
      </c>
      <c r="D95" s="31">
        <f>案件入力!D95</f>
        <v/>
      </c>
      <c r="E95" s="31">
        <f>案件入力!E95</f>
        <v/>
      </c>
      <c r="F95" s="31">
        <f>案件入力!F95</f>
        <v/>
      </c>
      <c r="G95" s="34">
        <f>案件入力!G95</f>
        <v/>
      </c>
      <c r="H95" s="34">
        <f>案件入力!H95</f>
        <v/>
      </c>
      <c r="I95" s="32">
        <f>案件入力!I95</f>
        <v/>
      </c>
      <c r="J95" s="34">
        <f>案件入力!J95</f>
        <v/>
      </c>
      <c r="K95" s="34">
        <f>案件入力!K95</f>
        <v/>
      </c>
      <c r="L95" s="32">
        <f>案件入力!L95</f>
        <v/>
      </c>
      <c r="M95" s="33">
        <f>案件入力!M95</f>
        <v/>
      </c>
      <c r="N95" s="31">
        <f>案件入力!N95</f>
        <v/>
      </c>
      <c r="O95" s="31">
        <f>案件入力!O95</f>
        <v/>
      </c>
      <c r="P95" s="31">
        <f>案件入力!P95</f>
        <v/>
      </c>
    </row>
    <row r="96">
      <c r="A96" s="31">
        <f>案件入力!A96</f>
        <v/>
      </c>
      <c r="B96" s="32">
        <f>案件入力!B96</f>
        <v/>
      </c>
      <c r="C96" s="33">
        <f>案件入力!C96</f>
        <v/>
      </c>
      <c r="D96" s="31">
        <f>案件入力!D96</f>
        <v/>
      </c>
      <c r="E96" s="31">
        <f>案件入力!E96</f>
        <v/>
      </c>
      <c r="F96" s="31">
        <f>案件入力!F96</f>
        <v/>
      </c>
      <c r="G96" s="34">
        <f>案件入力!G96</f>
        <v/>
      </c>
      <c r="H96" s="34">
        <f>案件入力!H96</f>
        <v/>
      </c>
      <c r="I96" s="32">
        <f>案件入力!I96</f>
        <v/>
      </c>
      <c r="J96" s="34">
        <f>案件入力!J96</f>
        <v/>
      </c>
      <c r="K96" s="34">
        <f>案件入力!K96</f>
        <v/>
      </c>
      <c r="L96" s="32">
        <f>案件入力!L96</f>
        <v/>
      </c>
      <c r="M96" s="33">
        <f>案件入力!M96</f>
        <v/>
      </c>
      <c r="N96" s="31">
        <f>案件入力!N96</f>
        <v/>
      </c>
      <c r="O96" s="31">
        <f>案件入力!O96</f>
        <v/>
      </c>
      <c r="P96" s="31">
        <f>案件入力!P96</f>
        <v/>
      </c>
    </row>
    <row r="97">
      <c r="A97" s="31">
        <f>案件入力!A97</f>
        <v/>
      </c>
      <c r="B97" s="32">
        <f>案件入力!B97</f>
        <v/>
      </c>
      <c r="C97" s="33">
        <f>案件入力!C97</f>
        <v/>
      </c>
      <c r="D97" s="31">
        <f>案件入力!D97</f>
        <v/>
      </c>
      <c r="E97" s="31">
        <f>案件入力!E97</f>
        <v/>
      </c>
      <c r="F97" s="31">
        <f>案件入力!F97</f>
        <v/>
      </c>
      <c r="G97" s="34">
        <f>案件入力!G97</f>
        <v/>
      </c>
      <c r="H97" s="34">
        <f>案件入力!H97</f>
        <v/>
      </c>
      <c r="I97" s="32">
        <f>案件入力!I97</f>
        <v/>
      </c>
      <c r="J97" s="34">
        <f>案件入力!J97</f>
        <v/>
      </c>
      <c r="K97" s="34">
        <f>案件入力!K97</f>
        <v/>
      </c>
      <c r="L97" s="32">
        <f>案件入力!L97</f>
        <v/>
      </c>
      <c r="M97" s="33">
        <f>案件入力!M97</f>
        <v/>
      </c>
      <c r="N97" s="31">
        <f>案件入力!N97</f>
        <v/>
      </c>
      <c r="O97" s="31">
        <f>案件入力!O97</f>
        <v/>
      </c>
      <c r="P97" s="31">
        <f>案件入力!P97</f>
        <v/>
      </c>
    </row>
    <row r="98">
      <c r="A98" s="31">
        <f>案件入力!A98</f>
        <v/>
      </c>
      <c r="B98" s="32">
        <f>案件入力!B98</f>
        <v/>
      </c>
      <c r="C98" s="33">
        <f>案件入力!C98</f>
        <v/>
      </c>
      <c r="D98" s="31">
        <f>案件入力!D98</f>
        <v/>
      </c>
      <c r="E98" s="31">
        <f>案件入力!E98</f>
        <v/>
      </c>
      <c r="F98" s="31">
        <f>案件入力!F98</f>
        <v/>
      </c>
      <c r="G98" s="34">
        <f>案件入力!G98</f>
        <v/>
      </c>
      <c r="H98" s="34">
        <f>案件入力!H98</f>
        <v/>
      </c>
      <c r="I98" s="32">
        <f>案件入力!I98</f>
        <v/>
      </c>
      <c r="J98" s="34">
        <f>案件入力!J98</f>
        <v/>
      </c>
      <c r="K98" s="34">
        <f>案件入力!K98</f>
        <v/>
      </c>
      <c r="L98" s="32">
        <f>案件入力!L98</f>
        <v/>
      </c>
      <c r="M98" s="33">
        <f>案件入力!M98</f>
        <v/>
      </c>
      <c r="N98" s="31">
        <f>案件入力!N98</f>
        <v/>
      </c>
      <c r="O98" s="31">
        <f>案件入力!O98</f>
        <v/>
      </c>
      <c r="P98" s="31">
        <f>案件入力!P98</f>
        <v/>
      </c>
    </row>
    <row r="99">
      <c r="A99" s="31">
        <f>案件入力!A99</f>
        <v/>
      </c>
      <c r="B99" s="32">
        <f>案件入力!B99</f>
        <v/>
      </c>
      <c r="C99" s="33">
        <f>案件入力!C99</f>
        <v/>
      </c>
      <c r="D99" s="31">
        <f>案件入力!D99</f>
        <v/>
      </c>
      <c r="E99" s="31">
        <f>案件入力!E99</f>
        <v/>
      </c>
      <c r="F99" s="31">
        <f>案件入力!F99</f>
        <v/>
      </c>
      <c r="G99" s="34">
        <f>案件入力!G99</f>
        <v/>
      </c>
      <c r="H99" s="34">
        <f>案件入力!H99</f>
        <v/>
      </c>
      <c r="I99" s="32">
        <f>案件入力!I99</f>
        <v/>
      </c>
      <c r="J99" s="34">
        <f>案件入力!J99</f>
        <v/>
      </c>
      <c r="K99" s="34">
        <f>案件入力!K99</f>
        <v/>
      </c>
      <c r="L99" s="32">
        <f>案件入力!L99</f>
        <v/>
      </c>
      <c r="M99" s="33">
        <f>案件入力!M99</f>
        <v/>
      </c>
      <c r="N99" s="31">
        <f>案件入力!N99</f>
        <v/>
      </c>
      <c r="O99" s="31">
        <f>案件入力!O99</f>
        <v/>
      </c>
      <c r="P99" s="31">
        <f>案件入力!P99</f>
        <v/>
      </c>
    </row>
    <row r="100">
      <c r="A100" s="31">
        <f>案件入力!A100</f>
        <v/>
      </c>
      <c r="B100" s="32">
        <f>案件入力!B100</f>
        <v/>
      </c>
      <c r="C100" s="33">
        <f>案件入力!C100</f>
        <v/>
      </c>
      <c r="D100" s="31">
        <f>案件入力!D100</f>
        <v/>
      </c>
      <c r="E100" s="31">
        <f>案件入力!E100</f>
        <v/>
      </c>
      <c r="F100" s="31">
        <f>案件入力!F100</f>
        <v/>
      </c>
      <c r="G100" s="34">
        <f>案件入力!G100</f>
        <v/>
      </c>
      <c r="H100" s="34">
        <f>案件入力!H100</f>
        <v/>
      </c>
      <c r="I100" s="32">
        <f>案件入力!I100</f>
        <v/>
      </c>
      <c r="J100" s="34">
        <f>案件入力!J100</f>
        <v/>
      </c>
      <c r="K100" s="34">
        <f>案件入力!K100</f>
        <v/>
      </c>
      <c r="L100" s="32">
        <f>案件入力!L100</f>
        <v/>
      </c>
      <c r="M100" s="33">
        <f>案件入力!M100</f>
        <v/>
      </c>
      <c r="N100" s="31">
        <f>案件入力!N100</f>
        <v/>
      </c>
      <c r="O100" s="31">
        <f>案件入力!O100</f>
        <v/>
      </c>
      <c r="P100" s="31">
        <f>案件入力!P100</f>
        <v/>
      </c>
    </row>
    <row r="101">
      <c r="A101" s="31">
        <f>案件入力!A101</f>
        <v/>
      </c>
      <c r="B101" s="32">
        <f>案件入力!B101</f>
        <v/>
      </c>
      <c r="C101" s="33">
        <f>案件入力!C101</f>
        <v/>
      </c>
      <c r="D101" s="31">
        <f>案件入力!D101</f>
        <v/>
      </c>
      <c r="E101" s="31">
        <f>案件入力!E101</f>
        <v/>
      </c>
      <c r="F101" s="31">
        <f>案件入力!F101</f>
        <v/>
      </c>
      <c r="G101" s="34">
        <f>案件入力!G101</f>
        <v/>
      </c>
      <c r="H101" s="34">
        <f>案件入力!H101</f>
        <v/>
      </c>
      <c r="I101" s="32">
        <f>案件入力!I101</f>
        <v/>
      </c>
      <c r="J101" s="34">
        <f>案件入力!J101</f>
        <v/>
      </c>
      <c r="K101" s="34">
        <f>案件入力!K101</f>
        <v/>
      </c>
      <c r="L101" s="32">
        <f>案件入力!L101</f>
        <v/>
      </c>
      <c r="M101" s="33">
        <f>案件入力!M101</f>
        <v/>
      </c>
      <c r="N101" s="31">
        <f>案件入力!N101</f>
        <v/>
      </c>
      <c r="O101" s="31">
        <f>案件入力!O101</f>
        <v/>
      </c>
      <c r="P101" s="31">
        <f>案件入力!P101</f>
        <v/>
      </c>
    </row>
    <row r="102">
      <c r="A102" s="31">
        <f>案件入力!A102</f>
        <v/>
      </c>
      <c r="B102" s="32">
        <f>案件入力!B102</f>
        <v/>
      </c>
      <c r="C102" s="33">
        <f>案件入力!C102</f>
        <v/>
      </c>
      <c r="D102" s="31">
        <f>案件入力!D102</f>
        <v/>
      </c>
      <c r="E102" s="31">
        <f>案件入力!E102</f>
        <v/>
      </c>
      <c r="F102" s="31">
        <f>案件入力!F102</f>
        <v/>
      </c>
      <c r="G102" s="34">
        <f>案件入力!G102</f>
        <v/>
      </c>
      <c r="H102" s="34">
        <f>案件入力!H102</f>
        <v/>
      </c>
      <c r="I102" s="32">
        <f>案件入力!I102</f>
        <v/>
      </c>
      <c r="J102" s="34">
        <f>案件入力!J102</f>
        <v/>
      </c>
      <c r="K102" s="34">
        <f>案件入力!K102</f>
        <v/>
      </c>
      <c r="L102" s="32">
        <f>案件入力!L102</f>
        <v/>
      </c>
      <c r="M102" s="33">
        <f>案件入力!M102</f>
        <v/>
      </c>
      <c r="N102" s="31">
        <f>案件入力!N102</f>
        <v/>
      </c>
      <c r="O102" s="31">
        <f>案件入力!O102</f>
        <v/>
      </c>
      <c r="P102" s="31">
        <f>案件入力!P102</f>
        <v/>
      </c>
    </row>
    <row r="103">
      <c r="A103" s="31">
        <f>案件入力!A103</f>
        <v/>
      </c>
      <c r="B103" s="32">
        <f>案件入力!B103</f>
        <v/>
      </c>
      <c r="C103" s="33">
        <f>案件入力!C103</f>
        <v/>
      </c>
      <c r="D103" s="31">
        <f>案件入力!D103</f>
        <v/>
      </c>
      <c r="E103" s="31">
        <f>案件入力!E103</f>
        <v/>
      </c>
      <c r="F103" s="31">
        <f>案件入力!F103</f>
        <v/>
      </c>
      <c r="G103" s="34">
        <f>案件入力!G103</f>
        <v/>
      </c>
      <c r="H103" s="34">
        <f>案件入力!H103</f>
        <v/>
      </c>
      <c r="I103" s="32">
        <f>案件入力!I103</f>
        <v/>
      </c>
      <c r="J103" s="34">
        <f>案件入力!J103</f>
        <v/>
      </c>
      <c r="K103" s="34">
        <f>案件入力!K103</f>
        <v/>
      </c>
      <c r="L103" s="32">
        <f>案件入力!L103</f>
        <v/>
      </c>
      <c r="M103" s="33">
        <f>案件入力!M103</f>
        <v/>
      </c>
      <c r="N103" s="31">
        <f>案件入力!N103</f>
        <v/>
      </c>
      <c r="O103" s="31">
        <f>案件入力!O103</f>
        <v/>
      </c>
      <c r="P103" s="31">
        <f>案件入力!P103</f>
        <v/>
      </c>
    </row>
    <row r="104">
      <c r="A104" s="31">
        <f>案件入力!A104</f>
        <v/>
      </c>
      <c r="B104" s="32">
        <f>案件入力!B104</f>
        <v/>
      </c>
      <c r="C104" s="33">
        <f>案件入力!C104</f>
        <v/>
      </c>
      <c r="D104" s="31">
        <f>案件入力!D104</f>
        <v/>
      </c>
      <c r="E104" s="31">
        <f>案件入力!E104</f>
        <v/>
      </c>
      <c r="F104" s="31">
        <f>案件入力!F104</f>
        <v/>
      </c>
      <c r="G104" s="34">
        <f>案件入力!G104</f>
        <v/>
      </c>
      <c r="H104" s="34">
        <f>案件入力!H104</f>
        <v/>
      </c>
      <c r="I104" s="32">
        <f>案件入力!I104</f>
        <v/>
      </c>
      <c r="J104" s="34">
        <f>案件入力!J104</f>
        <v/>
      </c>
      <c r="K104" s="34">
        <f>案件入力!K104</f>
        <v/>
      </c>
      <c r="L104" s="32">
        <f>案件入力!L104</f>
        <v/>
      </c>
      <c r="M104" s="33">
        <f>案件入力!M104</f>
        <v/>
      </c>
      <c r="N104" s="31">
        <f>案件入力!N104</f>
        <v/>
      </c>
      <c r="O104" s="31">
        <f>案件入力!O104</f>
        <v/>
      </c>
      <c r="P104" s="31">
        <f>案件入力!P104</f>
        <v/>
      </c>
    </row>
    <row r="105">
      <c r="A105" s="31">
        <f>案件入力!A105</f>
        <v/>
      </c>
      <c r="B105" s="32">
        <f>案件入力!B105</f>
        <v/>
      </c>
      <c r="C105" s="33">
        <f>案件入力!C105</f>
        <v/>
      </c>
      <c r="D105" s="31">
        <f>案件入力!D105</f>
        <v/>
      </c>
      <c r="E105" s="31">
        <f>案件入力!E105</f>
        <v/>
      </c>
      <c r="F105" s="31">
        <f>案件入力!F105</f>
        <v/>
      </c>
      <c r="G105" s="34">
        <f>案件入力!G105</f>
        <v/>
      </c>
      <c r="H105" s="34">
        <f>案件入力!H105</f>
        <v/>
      </c>
      <c r="I105" s="32">
        <f>案件入力!I105</f>
        <v/>
      </c>
      <c r="J105" s="34">
        <f>案件入力!J105</f>
        <v/>
      </c>
      <c r="K105" s="34">
        <f>案件入力!K105</f>
        <v/>
      </c>
      <c r="L105" s="32">
        <f>案件入力!L105</f>
        <v/>
      </c>
      <c r="M105" s="33">
        <f>案件入力!M105</f>
        <v/>
      </c>
      <c r="N105" s="31">
        <f>案件入力!N105</f>
        <v/>
      </c>
      <c r="O105" s="31">
        <f>案件入力!O105</f>
        <v/>
      </c>
      <c r="P105" s="31">
        <f>案件入力!P105</f>
        <v/>
      </c>
    </row>
    <row r="106">
      <c r="A106" s="31">
        <f>案件入力!A106</f>
        <v/>
      </c>
      <c r="B106" s="32">
        <f>案件入力!B106</f>
        <v/>
      </c>
      <c r="C106" s="33">
        <f>案件入力!C106</f>
        <v/>
      </c>
      <c r="D106" s="31">
        <f>案件入力!D106</f>
        <v/>
      </c>
      <c r="E106" s="31">
        <f>案件入力!E106</f>
        <v/>
      </c>
      <c r="F106" s="31">
        <f>案件入力!F106</f>
        <v/>
      </c>
      <c r="G106" s="34">
        <f>案件入力!G106</f>
        <v/>
      </c>
      <c r="H106" s="34">
        <f>案件入力!H106</f>
        <v/>
      </c>
      <c r="I106" s="32">
        <f>案件入力!I106</f>
        <v/>
      </c>
      <c r="J106" s="34">
        <f>案件入力!J106</f>
        <v/>
      </c>
      <c r="K106" s="34">
        <f>案件入力!K106</f>
        <v/>
      </c>
      <c r="L106" s="32">
        <f>案件入力!L106</f>
        <v/>
      </c>
      <c r="M106" s="33">
        <f>案件入力!M106</f>
        <v/>
      </c>
      <c r="N106" s="31">
        <f>案件入力!N106</f>
        <v/>
      </c>
      <c r="O106" s="31">
        <f>案件入力!O106</f>
        <v/>
      </c>
      <c r="P106" s="31">
        <f>案件入力!P106</f>
        <v/>
      </c>
    </row>
    <row r="107">
      <c r="A107" s="31">
        <f>案件入力!A107</f>
        <v/>
      </c>
      <c r="B107" s="32">
        <f>案件入力!B107</f>
        <v/>
      </c>
      <c r="C107" s="33">
        <f>案件入力!C107</f>
        <v/>
      </c>
      <c r="D107" s="31">
        <f>案件入力!D107</f>
        <v/>
      </c>
      <c r="E107" s="31">
        <f>案件入力!E107</f>
        <v/>
      </c>
      <c r="F107" s="31">
        <f>案件入力!F107</f>
        <v/>
      </c>
      <c r="G107" s="34">
        <f>案件入力!G107</f>
        <v/>
      </c>
      <c r="H107" s="34">
        <f>案件入力!H107</f>
        <v/>
      </c>
      <c r="I107" s="32">
        <f>案件入力!I107</f>
        <v/>
      </c>
      <c r="J107" s="34">
        <f>案件入力!J107</f>
        <v/>
      </c>
      <c r="K107" s="34">
        <f>案件入力!K107</f>
        <v/>
      </c>
      <c r="L107" s="32">
        <f>案件入力!L107</f>
        <v/>
      </c>
      <c r="M107" s="33">
        <f>案件入力!M107</f>
        <v/>
      </c>
      <c r="N107" s="31">
        <f>案件入力!N107</f>
        <v/>
      </c>
      <c r="O107" s="31">
        <f>案件入力!O107</f>
        <v/>
      </c>
      <c r="P107" s="31">
        <f>案件入力!P107</f>
        <v/>
      </c>
    </row>
    <row r="108">
      <c r="A108" s="31">
        <f>案件入力!A108</f>
        <v/>
      </c>
      <c r="B108" s="32">
        <f>案件入力!B108</f>
        <v/>
      </c>
      <c r="C108" s="33">
        <f>案件入力!C108</f>
        <v/>
      </c>
      <c r="D108" s="31">
        <f>案件入力!D108</f>
        <v/>
      </c>
      <c r="E108" s="31">
        <f>案件入力!E108</f>
        <v/>
      </c>
      <c r="F108" s="31">
        <f>案件入力!F108</f>
        <v/>
      </c>
      <c r="G108" s="34">
        <f>案件入力!G108</f>
        <v/>
      </c>
      <c r="H108" s="34">
        <f>案件入力!H108</f>
        <v/>
      </c>
      <c r="I108" s="32">
        <f>案件入力!I108</f>
        <v/>
      </c>
      <c r="J108" s="34">
        <f>案件入力!J108</f>
        <v/>
      </c>
      <c r="K108" s="34">
        <f>案件入力!K108</f>
        <v/>
      </c>
      <c r="L108" s="32">
        <f>案件入力!L108</f>
        <v/>
      </c>
      <c r="M108" s="33">
        <f>案件入力!M108</f>
        <v/>
      </c>
      <c r="N108" s="31">
        <f>案件入力!N108</f>
        <v/>
      </c>
      <c r="O108" s="31">
        <f>案件入力!O108</f>
        <v/>
      </c>
      <c r="P108" s="31">
        <f>案件入力!P108</f>
        <v/>
      </c>
    </row>
    <row r="109">
      <c r="A109" s="31">
        <f>案件入力!A109</f>
        <v/>
      </c>
      <c r="B109" s="32">
        <f>案件入力!B109</f>
        <v/>
      </c>
      <c r="C109" s="33">
        <f>案件入力!C109</f>
        <v/>
      </c>
      <c r="D109" s="31">
        <f>案件入力!D109</f>
        <v/>
      </c>
      <c r="E109" s="31">
        <f>案件入力!E109</f>
        <v/>
      </c>
      <c r="F109" s="31">
        <f>案件入力!F109</f>
        <v/>
      </c>
      <c r="G109" s="34">
        <f>案件入力!G109</f>
        <v/>
      </c>
      <c r="H109" s="34">
        <f>案件入力!H109</f>
        <v/>
      </c>
      <c r="I109" s="32">
        <f>案件入力!I109</f>
        <v/>
      </c>
      <c r="J109" s="34">
        <f>案件入力!J109</f>
        <v/>
      </c>
      <c r="K109" s="34">
        <f>案件入力!K109</f>
        <v/>
      </c>
      <c r="L109" s="32">
        <f>案件入力!L109</f>
        <v/>
      </c>
      <c r="M109" s="33">
        <f>案件入力!M109</f>
        <v/>
      </c>
      <c r="N109" s="31">
        <f>案件入力!N109</f>
        <v/>
      </c>
      <c r="O109" s="31">
        <f>案件入力!O109</f>
        <v/>
      </c>
      <c r="P109" s="31">
        <f>案件入力!P109</f>
        <v/>
      </c>
    </row>
    <row r="110">
      <c r="A110" s="31">
        <f>案件入力!A110</f>
        <v/>
      </c>
      <c r="B110" s="32">
        <f>案件入力!B110</f>
        <v/>
      </c>
      <c r="C110" s="33">
        <f>案件入力!C110</f>
        <v/>
      </c>
      <c r="D110" s="31">
        <f>案件入力!D110</f>
        <v/>
      </c>
      <c r="E110" s="31">
        <f>案件入力!E110</f>
        <v/>
      </c>
      <c r="F110" s="31">
        <f>案件入力!F110</f>
        <v/>
      </c>
      <c r="G110" s="34">
        <f>案件入力!G110</f>
        <v/>
      </c>
      <c r="H110" s="34">
        <f>案件入力!H110</f>
        <v/>
      </c>
      <c r="I110" s="32">
        <f>案件入力!I110</f>
        <v/>
      </c>
      <c r="J110" s="34">
        <f>案件入力!J110</f>
        <v/>
      </c>
      <c r="K110" s="34">
        <f>案件入力!K110</f>
        <v/>
      </c>
      <c r="L110" s="32">
        <f>案件入力!L110</f>
        <v/>
      </c>
      <c r="M110" s="33">
        <f>案件入力!M110</f>
        <v/>
      </c>
      <c r="N110" s="31">
        <f>案件入力!N110</f>
        <v/>
      </c>
      <c r="O110" s="31">
        <f>案件入力!O110</f>
        <v/>
      </c>
      <c r="P110" s="31">
        <f>案件入力!P110</f>
        <v/>
      </c>
    </row>
    <row r="111">
      <c r="A111" s="31">
        <f>案件入力!A111</f>
        <v/>
      </c>
      <c r="B111" s="32">
        <f>案件入力!B111</f>
        <v/>
      </c>
      <c r="C111" s="33">
        <f>案件入力!C111</f>
        <v/>
      </c>
      <c r="D111" s="31">
        <f>案件入力!D111</f>
        <v/>
      </c>
      <c r="E111" s="31">
        <f>案件入力!E111</f>
        <v/>
      </c>
      <c r="F111" s="31">
        <f>案件入力!F111</f>
        <v/>
      </c>
      <c r="G111" s="34">
        <f>案件入力!G111</f>
        <v/>
      </c>
      <c r="H111" s="34">
        <f>案件入力!H111</f>
        <v/>
      </c>
      <c r="I111" s="32">
        <f>案件入力!I111</f>
        <v/>
      </c>
      <c r="J111" s="34">
        <f>案件入力!J111</f>
        <v/>
      </c>
      <c r="K111" s="34">
        <f>案件入力!K111</f>
        <v/>
      </c>
      <c r="L111" s="32">
        <f>案件入力!L111</f>
        <v/>
      </c>
      <c r="M111" s="33">
        <f>案件入力!M111</f>
        <v/>
      </c>
      <c r="N111" s="31">
        <f>案件入力!N111</f>
        <v/>
      </c>
      <c r="O111" s="31">
        <f>案件入力!O111</f>
        <v/>
      </c>
      <c r="P111" s="31">
        <f>案件入力!P111</f>
        <v/>
      </c>
    </row>
    <row r="112">
      <c r="A112" s="31">
        <f>案件入力!A112</f>
        <v/>
      </c>
      <c r="B112" s="32">
        <f>案件入力!B112</f>
        <v/>
      </c>
      <c r="C112" s="33">
        <f>案件入力!C112</f>
        <v/>
      </c>
      <c r="D112" s="31">
        <f>案件入力!D112</f>
        <v/>
      </c>
      <c r="E112" s="31">
        <f>案件入力!E112</f>
        <v/>
      </c>
      <c r="F112" s="31">
        <f>案件入力!F112</f>
        <v/>
      </c>
      <c r="G112" s="34">
        <f>案件入力!G112</f>
        <v/>
      </c>
      <c r="H112" s="34">
        <f>案件入力!H112</f>
        <v/>
      </c>
      <c r="I112" s="32">
        <f>案件入力!I112</f>
        <v/>
      </c>
      <c r="J112" s="34">
        <f>案件入力!J112</f>
        <v/>
      </c>
      <c r="K112" s="34">
        <f>案件入力!K112</f>
        <v/>
      </c>
      <c r="L112" s="32">
        <f>案件入力!L112</f>
        <v/>
      </c>
      <c r="M112" s="33">
        <f>案件入力!M112</f>
        <v/>
      </c>
      <c r="N112" s="31">
        <f>案件入力!N112</f>
        <v/>
      </c>
      <c r="O112" s="31">
        <f>案件入力!O112</f>
        <v/>
      </c>
      <c r="P112" s="31">
        <f>案件入力!P112</f>
        <v/>
      </c>
    </row>
    <row r="113">
      <c r="A113" s="31">
        <f>案件入力!A113</f>
        <v/>
      </c>
      <c r="B113" s="32">
        <f>案件入力!B113</f>
        <v/>
      </c>
      <c r="C113" s="33">
        <f>案件入力!C113</f>
        <v/>
      </c>
      <c r="D113" s="31">
        <f>案件入力!D113</f>
        <v/>
      </c>
      <c r="E113" s="31">
        <f>案件入力!E113</f>
        <v/>
      </c>
      <c r="F113" s="31">
        <f>案件入力!F113</f>
        <v/>
      </c>
      <c r="G113" s="34">
        <f>案件入力!G113</f>
        <v/>
      </c>
      <c r="H113" s="34">
        <f>案件入力!H113</f>
        <v/>
      </c>
      <c r="I113" s="32">
        <f>案件入力!I113</f>
        <v/>
      </c>
      <c r="J113" s="34">
        <f>案件入力!J113</f>
        <v/>
      </c>
      <c r="K113" s="34">
        <f>案件入力!K113</f>
        <v/>
      </c>
      <c r="L113" s="32">
        <f>案件入力!L113</f>
        <v/>
      </c>
      <c r="M113" s="33">
        <f>案件入力!M113</f>
        <v/>
      </c>
      <c r="N113" s="31">
        <f>案件入力!N113</f>
        <v/>
      </c>
      <c r="O113" s="31">
        <f>案件入力!O113</f>
        <v/>
      </c>
      <c r="P113" s="31">
        <f>案件入力!P113</f>
        <v/>
      </c>
    </row>
    <row r="114">
      <c r="A114" s="31">
        <f>案件入力!A114</f>
        <v/>
      </c>
      <c r="B114" s="32">
        <f>案件入力!B114</f>
        <v/>
      </c>
      <c r="C114" s="33">
        <f>案件入力!C114</f>
        <v/>
      </c>
      <c r="D114" s="31">
        <f>案件入力!D114</f>
        <v/>
      </c>
      <c r="E114" s="31">
        <f>案件入力!E114</f>
        <v/>
      </c>
      <c r="F114" s="31">
        <f>案件入力!F114</f>
        <v/>
      </c>
      <c r="G114" s="34">
        <f>案件入力!G114</f>
        <v/>
      </c>
      <c r="H114" s="34">
        <f>案件入力!H114</f>
        <v/>
      </c>
      <c r="I114" s="32">
        <f>案件入力!I114</f>
        <v/>
      </c>
      <c r="J114" s="34">
        <f>案件入力!J114</f>
        <v/>
      </c>
      <c r="K114" s="34">
        <f>案件入力!K114</f>
        <v/>
      </c>
      <c r="L114" s="32">
        <f>案件入力!L114</f>
        <v/>
      </c>
      <c r="M114" s="33">
        <f>案件入力!M114</f>
        <v/>
      </c>
      <c r="N114" s="31">
        <f>案件入力!N114</f>
        <v/>
      </c>
      <c r="O114" s="31">
        <f>案件入力!O114</f>
        <v/>
      </c>
      <c r="P114" s="31">
        <f>案件入力!P114</f>
        <v/>
      </c>
    </row>
    <row r="115">
      <c r="A115" s="31">
        <f>案件入力!A115</f>
        <v/>
      </c>
      <c r="B115" s="32">
        <f>案件入力!B115</f>
        <v/>
      </c>
      <c r="C115" s="33">
        <f>案件入力!C115</f>
        <v/>
      </c>
      <c r="D115" s="31">
        <f>案件入力!D115</f>
        <v/>
      </c>
      <c r="E115" s="31">
        <f>案件入力!E115</f>
        <v/>
      </c>
      <c r="F115" s="31">
        <f>案件入力!F115</f>
        <v/>
      </c>
      <c r="G115" s="34">
        <f>案件入力!G115</f>
        <v/>
      </c>
      <c r="H115" s="34">
        <f>案件入力!H115</f>
        <v/>
      </c>
      <c r="I115" s="32">
        <f>案件入力!I115</f>
        <v/>
      </c>
      <c r="J115" s="34">
        <f>案件入力!J115</f>
        <v/>
      </c>
      <c r="K115" s="34">
        <f>案件入力!K115</f>
        <v/>
      </c>
      <c r="L115" s="32">
        <f>案件入力!L115</f>
        <v/>
      </c>
      <c r="M115" s="33">
        <f>案件入力!M115</f>
        <v/>
      </c>
      <c r="N115" s="31">
        <f>案件入力!N115</f>
        <v/>
      </c>
      <c r="O115" s="31">
        <f>案件入力!O115</f>
        <v/>
      </c>
      <c r="P115" s="31">
        <f>案件入力!P115</f>
        <v/>
      </c>
    </row>
    <row r="116">
      <c r="A116" s="31">
        <f>案件入力!A116</f>
        <v/>
      </c>
      <c r="B116" s="32">
        <f>案件入力!B116</f>
        <v/>
      </c>
      <c r="C116" s="33">
        <f>案件入力!C116</f>
        <v/>
      </c>
      <c r="D116" s="31">
        <f>案件入力!D116</f>
        <v/>
      </c>
      <c r="E116" s="31">
        <f>案件入力!E116</f>
        <v/>
      </c>
      <c r="F116" s="31">
        <f>案件入力!F116</f>
        <v/>
      </c>
      <c r="G116" s="34">
        <f>案件入力!G116</f>
        <v/>
      </c>
      <c r="H116" s="34">
        <f>案件入力!H116</f>
        <v/>
      </c>
      <c r="I116" s="32">
        <f>案件入力!I116</f>
        <v/>
      </c>
      <c r="J116" s="34">
        <f>案件入力!J116</f>
        <v/>
      </c>
      <c r="K116" s="34">
        <f>案件入力!K116</f>
        <v/>
      </c>
      <c r="L116" s="32">
        <f>案件入力!L116</f>
        <v/>
      </c>
      <c r="M116" s="33">
        <f>案件入力!M116</f>
        <v/>
      </c>
      <c r="N116" s="31">
        <f>案件入力!N116</f>
        <v/>
      </c>
      <c r="O116" s="31">
        <f>案件入力!O116</f>
        <v/>
      </c>
      <c r="P116" s="31">
        <f>案件入力!P116</f>
        <v/>
      </c>
    </row>
    <row r="117">
      <c r="A117" s="31">
        <f>案件入力!A117</f>
        <v/>
      </c>
      <c r="B117" s="32">
        <f>案件入力!B117</f>
        <v/>
      </c>
      <c r="C117" s="33">
        <f>案件入力!C117</f>
        <v/>
      </c>
      <c r="D117" s="31">
        <f>案件入力!D117</f>
        <v/>
      </c>
      <c r="E117" s="31">
        <f>案件入力!E117</f>
        <v/>
      </c>
      <c r="F117" s="31">
        <f>案件入力!F117</f>
        <v/>
      </c>
      <c r="G117" s="34">
        <f>案件入力!G117</f>
        <v/>
      </c>
      <c r="H117" s="34">
        <f>案件入力!H117</f>
        <v/>
      </c>
      <c r="I117" s="32">
        <f>案件入力!I117</f>
        <v/>
      </c>
      <c r="J117" s="34">
        <f>案件入力!J117</f>
        <v/>
      </c>
      <c r="K117" s="34">
        <f>案件入力!K117</f>
        <v/>
      </c>
      <c r="L117" s="32">
        <f>案件入力!L117</f>
        <v/>
      </c>
      <c r="M117" s="33">
        <f>案件入力!M117</f>
        <v/>
      </c>
      <c r="N117" s="31">
        <f>案件入力!N117</f>
        <v/>
      </c>
      <c r="O117" s="31">
        <f>案件入力!O117</f>
        <v/>
      </c>
      <c r="P117" s="31">
        <f>案件入力!P117</f>
        <v/>
      </c>
    </row>
    <row r="118">
      <c r="A118" s="31">
        <f>案件入力!A118</f>
        <v/>
      </c>
      <c r="B118" s="32">
        <f>案件入力!B118</f>
        <v/>
      </c>
      <c r="C118" s="33">
        <f>案件入力!C118</f>
        <v/>
      </c>
      <c r="D118" s="31">
        <f>案件入力!D118</f>
        <v/>
      </c>
      <c r="E118" s="31">
        <f>案件入力!E118</f>
        <v/>
      </c>
      <c r="F118" s="31">
        <f>案件入力!F118</f>
        <v/>
      </c>
      <c r="G118" s="34">
        <f>案件入力!G118</f>
        <v/>
      </c>
      <c r="H118" s="34">
        <f>案件入力!H118</f>
        <v/>
      </c>
      <c r="I118" s="32">
        <f>案件入力!I118</f>
        <v/>
      </c>
      <c r="J118" s="34">
        <f>案件入力!J118</f>
        <v/>
      </c>
      <c r="K118" s="34">
        <f>案件入力!K118</f>
        <v/>
      </c>
      <c r="L118" s="32">
        <f>案件入力!L118</f>
        <v/>
      </c>
      <c r="M118" s="33">
        <f>案件入力!M118</f>
        <v/>
      </c>
      <c r="N118" s="31">
        <f>案件入力!N118</f>
        <v/>
      </c>
      <c r="O118" s="31">
        <f>案件入力!O118</f>
        <v/>
      </c>
      <c r="P118" s="31">
        <f>案件入力!P118</f>
        <v/>
      </c>
    </row>
    <row r="119">
      <c r="A119" s="31">
        <f>案件入力!A119</f>
        <v/>
      </c>
      <c r="B119" s="32">
        <f>案件入力!B119</f>
        <v/>
      </c>
      <c r="C119" s="33">
        <f>案件入力!C119</f>
        <v/>
      </c>
      <c r="D119" s="31">
        <f>案件入力!D119</f>
        <v/>
      </c>
      <c r="E119" s="31">
        <f>案件入力!E119</f>
        <v/>
      </c>
      <c r="F119" s="31">
        <f>案件入力!F119</f>
        <v/>
      </c>
      <c r="G119" s="34">
        <f>案件入力!G119</f>
        <v/>
      </c>
      <c r="H119" s="34">
        <f>案件入力!H119</f>
        <v/>
      </c>
      <c r="I119" s="32">
        <f>案件入力!I119</f>
        <v/>
      </c>
      <c r="J119" s="34">
        <f>案件入力!J119</f>
        <v/>
      </c>
      <c r="K119" s="34">
        <f>案件入力!K119</f>
        <v/>
      </c>
      <c r="L119" s="32">
        <f>案件入力!L119</f>
        <v/>
      </c>
      <c r="M119" s="33">
        <f>案件入力!M119</f>
        <v/>
      </c>
      <c r="N119" s="31">
        <f>案件入力!N119</f>
        <v/>
      </c>
      <c r="O119" s="31">
        <f>案件入力!O119</f>
        <v/>
      </c>
      <c r="P119" s="31">
        <f>案件入力!P119</f>
        <v/>
      </c>
    </row>
    <row r="120">
      <c r="A120" s="31">
        <f>案件入力!A120</f>
        <v/>
      </c>
      <c r="B120" s="32">
        <f>案件入力!B120</f>
        <v/>
      </c>
      <c r="C120" s="33">
        <f>案件入力!C120</f>
        <v/>
      </c>
      <c r="D120" s="31">
        <f>案件入力!D120</f>
        <v/>
      </c>
      <c r="E120" s="31">
        <f>案件入力!E120</f>
        <v/>
      </c>
      <c r="F120" s="31">
        <f>案件入力!F120</f>
        <v/>
      </c>
      <c r="G120" s="34">
        <f>案件入力!G120</f>
        <v/>
      </c>
      <c r="H120" s="34">
        <f>案件入力!H120</f>
        <v/>
      </c>
      <c r="I120" s="32">
        <f>案件入力!I120</f>
        <v/>
      </c>
      <c r="J120" s="34">
        <f>案件入力!J120</f>
        <v/>
      </c>
      <c r="K120" s="34">
        <f>案件入力!K120</f>
        <v/>
      </c>
      <c r="L120" s="32">
        <f>案件入力!L120</f>
        <v/>
      </c>
      <c r="M120" s="33">
        <f>案件入力!M120</f>
        <v/>
      </c>
      <c r="N120" s="31">
        <f>案件入力!N120</f>
        <v/>
      </c>
      <c r="O120" s="31">
        <f>案件入力!O120</f>
        <v/>
      </c>
      <c r="P120" s="31">
        <f>案件入力!P120</f>
        <v/>
      </c>
    </row>
    <row r="121">
      <c r="A121" s="31">
        <f>案件入力!A121</f>
        <v/>
      </c>
      <c r="B121" s="32">
        <f>案件入力!B121</f>
        <v/>
      </c>
      <c r="C121" s="33">
        <f>案件入力!C121</f>
        <v/>
      </c>
      <c r="D121" s="31">
        <f>案件入力!D121</f>
        <v/>
      </c>
      <c r="E121" s="31">
        <f>案件入力!E121</f>
        <v/>
      </c>
      <c r="F121" s="31">
        <f>案件入力!F121</f>
        <v/>
      </c>
      <c r="G121" s="34">
        <f>案件入力!G121</f>
        <v/>
      </c>
      <c r="H121" s="34">
        <f>案件入力!H121</f>
        <v/>
      </c>
      <c r="I121" s="32">
        <f>案件入力!I121</f>
        <v/>
      </c>
      <c r="J121" s="34">
        <f>案件入力!J121</f>
        <v/>
      </c>
      <c r="K121" s="34">
        <f>案件入力!K121</f>
        <v/>
      </c>
      <c r="L121" s="32">
        <f>案件入力!L121</f>
        <v/>
      </c>
      <c r="M121" s="33">
        <f>案件入力!M121</f>
        <v/>
      </c>
      <c r="N121" s="31">
        <f>案件入力!N121</f>
        <v/>
      </c>
      <c r="O121" s="31">
        <f>案件入力!O121</f>
        <v/>
      </c>
      <c r="P121" s="31">
        <f>案件入力!P121</f>
        <v/>
      </c>
    </row>
    <row r="122">
      <c r="A122" s="31">
        <f>案件入力!A122</f>
        <v/>
      </c>
      <c r="B122" s="32">
        <f>案件入力!B122</f>
        <v/>
      </c>
      <c r="C122" s="33">
        <f>案件入力!C122</f>
        <v/>
      </c>
      <c r="D122" s="31">
        <f>案件入力!D122</f>
        <v/>
      </c>
      <c r="E122" s="31">
        <f>案件入力!E122</f>
        <v/>
      </c>
      <c r="F122" s="31">
        <f>案件入力!F122</f>
        <v/>
      </c>
      <c r="G122" s="34">
        <f>案件入力!G122</f>
        <v/>
      </c>
      <c r="H122" s="34">
        <f>案件入力!H122</f>
        <v/>
      </c>
      <c r="I122" s="32">
        <f>案件入力!I122</f>
        <v/>
      </c>
      <c r="J122" s="34">
        <f>案件入力!J122</f>
        <v/>
      </c>
      <c r="K122" s="34">
        <f>案件入力!K122</f>
        <v/>
      </c>
      <c r="L122" s="32">
        <f>案件入力!L122</f>
        <v/>
      </c>
      <c r="M122" s="33">
        <f>案件入力!M122</f>
        <v/>
      </c>
      <c r="N122" s="31">
        <f>案件入力!N122</f>
        <v/>
      </c>
      <c r="O122" s="31">
        <f>案件入力!O122</f>
        <v/>
      </c>
      <c r="P122" s="31">
        <f>案件入力!P122</f>
        <v/>
      </c>
    </row>
    <row r="123">
      <c r="A123" s="31">
        <f>案件入力!A123</f>
        <v/>
      </c>
      <c r="B123" s="32">
        <f>案件入力!B123</f>
        <v/>
      </c>
      <c r="C123" s="33">
        <f>案件入力!C123</f>
        <v/>
      </c>
      <c r="D123" s="31">
        <f>案件入力!D123</f>
        <v/>
      </c>
      <c r="E123" s="31">
        <f>案件入力!E123</f>
        <v/>
      </c>
      <c r="F123" s="31">
        <f>案件入力!F123</f>
        <v/>
      </c>
      <c r="G123" s="34">
        <f>案件入力!G123</f>
        <v/>
      </c>
      <c r="H123" s="34">
        <f>案件入力!H123</f>
        <v/>
      </c>
      <c r="I123" s="32">
        <f>案件入力!I123</f>
        <v/>
      </c>
      <c r="J123" s="34">
        <f>案件入力!J123</f>
        <v/>
      </c>
      <c r="K123" s="34">
        <f>案件入力!K123</f>
        <v/>
      </c>
      <c r="L123" s="32">
        <f>案件入力!L123</f>
        <v/>
      </c>
      <c r="M123" s="33">
        <f>案件入力!M123</f>
        <v/>
      </c>
      <c r="N123" s="31">
        <f>案件入力!N123</f>
        <v/>
      </c>
      <c r="O123" s="31">
        <f>案件入力!O123</f>
        <v/>
      </c>
      <c r="P123" s="31">
        <f>案件入力!P123</f>
        <v/>
      </c>
    </row>
    <row r="124">
      <c r="A124" s="31">
        <f>案件入力!A124</f>
        <v/>
      </c>
      <c r="B124" s="32">
        <f>案件入力!B124</f>
        <v/>
      </c>
      <c r="C124" s="33">
        <f>案件入力!C124</f>
        <v/>
      </c>
      <c r="D124" s="31">
        <f>案件入力!D124</f>
        <v/>
      </c>
      <c r="E124" s="31">
        <f>案件入力!E124</f>
        <v/>
      </c>
      <c r="F124" s="31">
        <f>案件入力!F124</f>
        <v/>
      </c>
      <c r="G124" s="34">
        <f>案件入力!G124</f>
        <v/>
      </c>
      <c r="H124" s="34">
        <f>案件入力!H124</f>
        <v/>
      </c>
      <c r="I124" s="32">
        <f>案件入力!I124</f>
        <v/>
      </c>
      <c r="J124" s="34">
        <f>案件入力!J124</f>
        <v/>
      </c>
      <c r="K124" s="34">
        <f>案件入力!K124</f>
        <v/>
      </c>
      <c r="L124" s="32">
        <f>案件入力!L124</f>
        <v/>
      </c>
      <c r="M124" s="33">
        <f>案件入力!M124</f>
        <v/>
      </c>
      <c r="N124" s="31">
        <f>案件入力!N124</f>
        <v/>
      </c>
      <c r="O124" s="31">
        <f>案件入力!O124</f>
        <v/>
      </c>
      <c r="P124" s="31">
        <f>案件入力!P124</f>
        <v/>
      </c>
    </row>
    <row r="125">
      <c r="A125" s="31">
        <f>案件入力!A125</f>
        <v/>
      </c>
      <c r="B125" s="32">
        <f>案件入力!B125</f>
        <v/>
      </c>
      <c r="C125" s="33">
        <f>案件入力!C125</f>
        <v/>
      </c>
      <c r="D125" s="31">
        <f>案件入力!D125</f>
        <v/>
      </c>
      <c r="E125" s="31">
        <f>案件入力!E125</f>
        <v/>
      </c>
      <c r="F125" s="31">
        <f>案件入力!F125</f>
        <v/>
      </c>
      <c r="G125" s="34">
        <f>案件入力!G125</f>
        <v/>
      </c>
      <c r="H125" s="34">
        <f>案件入力!H125</f>
        <v/>
      </c>
      <c r="I125" s="32">
        <f>案件入力!I125</f>
        <v/>
      </c>
      <c r="J125" s="34">
        <f>案件入力!J125</f>
        <v/>
      </c>
      <c r="K125" s="34">
        <f>案件入力!K125</f>
        <v/>
      </c>
      <c r="L125" s="32">
        <f>案件入力!L125</f>
        <v/>
      </c>
      <c r="M125" s="33">
        <f>案件入力!M125</f>
        <v/>
      </c>
      <c r="N125" s="31">
        <f>案件入力!N125</f>
        <v/>
      </c>
      <c r="O125" s="31">
        <f>案件入力!O125</f>
        <v/>
      </c>
      <c r="P125" s="31">
        <f>案件入力!P125</f>
        <v/>
      </c>
    </row>
    <row r="126">
      <c r="A126" s="31">
        <f>案件入力!A126</f>
        <v/>
      </c>
      <c r="B126" s="32">
        <f>案件入力!B126</f>
        <v/>
      </c>
      <c r="C126" s="33">
        <f>案件入力!C126</f>
        <v/>
      </c>
      <c r="D126" s="31">
        <f>案件入力!D126</f>
        <v/>
      </c>
      <c r="E126" s="31">
        <f>案件入力!E126</f>
        <v/>
      </c>
      <c r="F126" s="31">
        <f>案件入力!F126</f>
        <v/>
      </c>
      <c r="G126" s="34">
        <f>案件入力!G126</f>
        <v/>
      </c>
      <c r="H126" s="34">
        <f>案件入力!H126</f>
        <v/>
      </c>
      <c r="I126" s="32">
        <f>案件入力!I126</f>
        <v/>
      </c>
      <c r="J126" s="34">
        <f>案件入力!J126</f>
        <v/>
      </c>
      <c r="K126" s="34">
        <f>案件入力!K126</f>
        <v/>
      </c>
      <c r="L126" s="32">
        <f>案件入力!L126</f>
        <v/>
      </c>
      <c r="M126" s="33">
        <f>案件入力!M126</f>
        <v/>
      </c>
      <c r="N126" s="31">
        <f>案件入力!N126</f>
        <v/>
      </c>
      <c r="O126" s="31">
        <f>案件入力!O126</f>
        <v/>
      </c>
      <c r="P126" s="31">
        <f>案件入力!P126</f>
        <v/>
      </c>
    </row>
    <row r="127">
      <c r="A127" s="31">
        <f>案件入力!A127</f>
        <v/>
      </c>
      <c r="B127" s="32">
        <f>案件入力!B127</f>
        <v/>
      </c>
      <c r="C127" s="33">
        <f>案件入力!C127</f>
        <v/>
      </c>
      <c r="D127" s="31">
        <f>案件入力!D127</f>
        <v/>
      </c>
      <c r="E127" s="31">
        <f>案件入力!E127</f>
        <v/>
      </c>
      <c r="F127" s="31">
        <f>案件入力!F127</f>
        <v/>
      </c>
      <c r="G127" s="34">
        <f>案件入力!G127</f>
        <v/>
      </c>
      <c r="H127" s="34">
        <f>案件入力!H127</f>
        <v/>
      </c>
      <c r="I127" s="32">
        <f>案件入力!I127</f>
        <v/>
      </c>
      <c r="J127" s="34">
        <f>案件入力!J127</f>
        <v/>
      </c>
      <c r="K127" s="34">
        <f>案件入力!K127</f>
        <v/>
      </c>
      <c r="L127" s="32">
        <f>案件入力!L127</f>
        <v/>
      </c>
      <c r="M127" s="33">
        <f>案件入力!M127</f>
        <v/>
      </c>
      <c r="N127" s="31">
        <f>案件入力!N127</f>
        <v/>
      </c>
      <c r="O127" s="31">
        <f>案件入力!O127</f>
        <v/>
      </c>
      <c r="P127" s="31">
        <f>案件入力!P127</f>
        <v/>
      </c>
    </row>
    <row r="128">
      <c r="A128" s="31">
        <f>案件入力!A128</f>
        <v/>
      </c>
      <c r="B128" s="32">
        <f>案件入力!B128</f>
        <v/>
      </c>
      <c r="C128" s="33">
        <f>案件入力!C128</f>
        <v/>
      </c>
      <c r="D128" s="31">
        <f>案件入力!D128</f>
        <v/>
      </c>
      <c r="E128" s="31">
        <f>案件入力!E128</f>
        <v/>
      </c>
      <c r="F128" s="31">
        <f>案件入力!F128</f>
        <v/>
      </c>
      <c r="G128" s="34">
        <f>案件入力!G128</f>
        <v/>
      </c>
      <c r="H128" s="34">
        <f>案件入力!H128</f>
        <v/>
      </c>
      <c r="I128" s="32">
        <f>案件入力!I128</f>
        <v/>
      </c>
      <c r="J128" s="34">
        <f>案件入力!J128</f>
        <v/>
      </c>
      <c r="K128" s="34">
        <f>案件入力!K128</f>
        <v/>
      </c>
      <c r="L128" s="32">
        <f>案件入力!L128</f>
        <v/>
      </c>
      <c r="M128" s="33">
        <f>案件入力!M128</f>
        <v/>
      </c>
      <c r="N128" s="31">
        <f>案件入力!N128</f>
        <v/>
      </c>
      <c r="O128" s="31">
        <f>案件入力!O128</f>
        <v/>
      </c>
      <c r="P128" s="31">
        <f>案件入力!P128</f>
        <v/>
      </c>
    </row>
    <row r="129">
      <c r="A129" s="31">
        <f>案件入力!A129</f>
        <v/>
      </c>
      <c r="B129" s="32">
        <f>案件入力!B129</f>
        <v/>
      </c>
      <c r="C129" s="33">
        <f>案件入力!C129</f>
        <v/>
      </c>
      <c r="D129" s="31">
        <f>案件入力!D129</f>
        <v/>
      </c>
      <c r="E129" s="31">
        <f>案件入力!E129</f>
        <v/>
      </c>
      <c r="F129" s="31">
        <f>案件入力!F129</f>
        <v/>
      </c>
      <c r="G129" s="34">
        <f>案件入力!G129</f>
        <v/>
      </c>
      <c r="H129" s="34">
        <f>案件入力!H129</f>
        <v/>
      </c>
      <c r="I129" s="32">
        <f>案件入力!I129</f>
        <v/>
      </c>
      <c r="J129" s="34">
        <f>案件入力!J129</f>
        <v/>
      </c>
      <c r="K129" s="34">
        <f>案件入力!K129</f>
        <v/>
      </c>
      <c r="L129" s="32">
        <f>案件入力!L129</f>
        <v/>
      </c>
      <c r="M129" s="33">
        <f>案件入力!M129</f>
        <v/>
      </c>
      <c r="N129" s="31">
        <f>案件入力!N129</f>
        <v/>
      </c>
      <c r="O129" s="31">
        <f>案件入力!O129</f>
        <v/>
      </c>
      <c r="P129" s="31">
        <f>案件入力!P129</f>
        <v/>
      </c>
    </row>
    <row r="130">
      <c r="A130" s="31">
        <f>案件入力!A130</f>
        <v/>
      </c>
      <c r="B130" s="32">
        <f>案件入力!B130</f>
        <v/>
      </c>
      <c r="C130" s="33">
        <f>案件入力!C130</f>
        <v/>
      </c>
      <c r="D130" s="31">
        <f>案件入力!D130</f>
        <v/>
      </c>
      <c r="E130" s="31">
        <f>案件入力!E130</f>
        <v/>
      </c>
      <c r="F130" s="31">
        <f>案件入力!F130</f>
        <v/>
      </c>
      <c r="G130" s="34">
        <f>案件入力!G130</f>
        <v/>
      </c>
      <c r="H130" s="34">
        <f>案件入力!H130</f>
        <v/>
      </c>
      <c r="I130" s="32">
        <f>案件入力!I130</f>
        <v/>
      </c>
      <c r="J130" s="34">
        <f>案件入力!J130</f>
        <v/>
      </c>
      <c r="K130" s="34">
        <f>案件入力!K130</f>
        <v/>
      </c>
      <c r="L130" s="32">
        <f>案件入力!L130</f>
        <v/>
      </c>
      <c r="M130" s="33">
        <f>案件入力!M130</f>
        <v/>
      </c>
      <c r="N130" s="31">
        <f>案件入力!N130</f>
        <v/>
      </c>
      <c r="O130" s="31">
        <f>案件入力!O130</f>
        <v/>
      </c>
      <c r="P130" s="31">
        <f>案件入力!P130</f>
        <v/>
      </c>
    </row>
    <row r="131">
      <c r="A131" s="31">
        <f>案件入力!A131</f>
        <v/>
      </c>
      <c r="B131" s="32">
        <f>案件入力!B131</f>
        <v/>
      </c>
      <c r="C131" s="33">
        <f>案件入力!C131</f>
        <v/>
      </c>
      <c r="D131" s="31">
        <f>案件入力!D131</f>
        <v/>
      </c>
      <c r="E131" s="31">
        <f>案件入力!E131</f>
        <v/>
      </c>
      <c r="F131" s="31">
        <f>案件入力!F131</f>
        <v/>
      </c>
      <c r="G131" s="34">
        <f>案件入力!G131</f>
        <v/>
      </c>
      <c r="H131" s="34">
        <f>案件入力!H131</f>
        <v/>
      </c>
      <c r="I131" s="32">
        <f>案件入力!I131</f>
        <v/>
      </c>
      <c r="J131" s="34">
        <f>案件入力!J131</f>
        <v/>
      </c>
      <c r="K131" s="34">
        <f>案件入力!K131</f>
        <v/>
      </c>
      <c r="L131" s="32">
        <f>案件入力!L131</f>
        <v/>
      </c>
      <c r="M131" s="33">
        <f>案件入力!M131</f>
        <v/>
      </c>
      <c r="N131" s="31">
        <f>案件入力!N131</f>
        <v/>
      </c>
      <c r="O131" s="31">
        <f>案件入力!O131</f>
        <v/>
      </c>
      <c r="P131" s="31">
        <f>案件入力!P131</f>
        <v/>
      </c>
    </row>
    <row r="132">
      <c r="A132" s="31">
        <f>案件入力!A132</f>
        <v/>
      </c>
      <c r="B132" s="32">
        <f>案件入力!B132</f>
        <v/>
      </c>
      <c r="C132" s="33">
        <f>案件入力!C132</f>
        <v/>
      </c>
      <c r="D132" s="31">
        <f>案件入力!D132</f>
        <v/>
      </c>
      <c r="E132" s="31">
        <f>案件入力!E132</f>
        <v/>
      </c>
      <c r="F132" s="31">
        <f>案件入力!F132</f>
        <v/>
      </c>
      <c r="G132" s="34">
        <f>案件入力!G132</f>
        <v/>
      </c>
      <c r="H132" s="34">
        <f>案件入力!H132</f>
        <v/>
      </c>
      <c r="I132" s="32">
        <f>案件入力!I132</f>
        <v/>
      </c>
      <c r="J132" s="34">
        <f>案件入力!J132</f>
        <v/>
      </c>
      <c r="K132" s="34">
        <f>案件入力!K132</f>
        <v/>
      </c>
      <c r="L132" s="32">
        <f>案件入力!L132</f>
        <v/>
      </c>
      <c r="M132" s="33">
        <f>案件入力!M132</f>
        <v/>
      </c>
      <c r="N132" s="31">
        <f>案件入力!N132</f>
        <v/>
      </c>
      <c r="O132" s="31">
        <f>案件入力!O132</f>
        <v/>
      </c>
      <c r="P132" s="31">
        <f>案件入力!P132</f>
        <v/>
      </c>
    </row>
    <row r="133">
      <c r="A133" s="31">
        <f>案件入力!A133</f>
        <v/>
      </c>
      <c r="B133" s="32">
        <f>案件入力!B133</f>
        <v/>
      </c>
      <c r="C133" s="33">
        <f>案件入力!C133</f>
        <v/>
      </c>
      <c r="D133" s="31">
        <f>案件入力!D133</f>
        <v/>
      </c>
      <c r="E133" s="31">
        <f>案件入力!E133</f>
        <v/>
      </c>
      <c r="F133" s="31">
        <f>案件入力!F133</f>
        <v/>
      </c>
      <c r="G133" s="34">
        <f>案件入力!G133</f>
        <v/>
      </c>
      <c r="H133" s="34">
        <f>案件入力!H133</f>
        <v/>
      </c>
      <c r="I133" s="32">
        <f>案件入力!I133</f>
        <v/>
      </c>
      <c r="J133" s="34">
        <f>案件入力!J133</f>
        <v/>
      </c>
      <c r="K133" s="34">
        <f>案件入力!K133</f>
        <v/>
      </c>
      <c r="L133" s="32">
        <f>案件入力!L133</f>
        <v/>
      </c>
      <c r="M133" s="33">
        <f>案件入力!M133</f>
        <v/>
      </c>
      <c r="N133" s="31">
        <f>案件入力!N133</f>
        <v/>
      </c>
      <c r="O133" s="31">
        <f>案件入力!O133</f>
        <v/>
      </c>
      <c r="P133" s="31">
        <f>案件入力!P133</f>
        <v/>
      </c>
    </row>
    <row r="134">
      <c r="A134" s="31">
        <f>案件入力!A134</f>
        <v/>
      </c>
      <c r="B134" s="32">
        <f>案件入力!B134</f>
        <v/>
      </c>
      <c r="C134" s="33">
        <f>案件入力!C134</f>
        <v/>
      </c>
      <c r="D134" s="31">
        <f>案件入力!D134</f>
        <v/>
      </c>
      <c r="E134" s="31">
        <f>案件入力!E134</f>
        <v/>
      </c>
      <c r="F134" s="31">
        <f>案件入力!F134</f>
        <v/>
      </c>
      <c r="G134" s="34">
        <f>案件入力!G134</f>
        <v/>
      </c>
      <c r="H134" s="34">
        <f>案件入力!H134</f>
        <v/>
      </c>
      <c r="I134" s="32">
        <f>案件入力!I134</f>
        <v/>
      </c>
      <c r="J134" s="34">
        <f>案件入力!J134</f>
        <v/>
      </c>
      <c r="K134" s="34">
        <f>案件入力!K134</f>
        <v/>
      </c>
      <c r="L134" s="32">
        <f>案件入力!L134</f>
        <v/>
      </c>
      <c r="M134" s="33">
        <f>案件入力!M134</f>
        <v/>
      </c>
      <c r="N134" s="31">
        <f>案件入力!N134</f>
        <v/>
      </c>
      <c r="O134" s="31">
        <f>案件入力!O134</f>
        <v/>
      </c>
      <c r="P134" s="31">
        <f>案件入力!P134</f>
        <v/>
      </c>
    </row>
    <row r="135">
      <c r="A135" s="31">
        <f>案件入力!A135</f>
        <v/>
      </c>
      <c r="B135" s="32">
        <f>案件入力!B135</f>
        <v/>
      </c>
      <c r="C135" s="33">
        <f>案件入力!C135</f>
        <v/>
      </c>
      <c r="D135" s="31">
        <f>案件入力!D135</f>
        <v/>
      </c>
      <c r="E135" s="31">
        <f>案件入力!E135</f>
        <v/>
      </c>
      <c r="F135" s="31">
        <f>案件入力!F135</f>
        <v/>
      </c>
      <c r="G135" s="34">
        <f>案件入力!G135</f>
        <v/>
      </c>
      <c r="H135" s="34">
        <f>案件入力!H135</f>
        <v/>
      </c>
      <c r="I135" s="32">
        <f>案件入力!I135</f>
        <v/>
      </c>
      <c r="J135" s="34">
        <f>案件入力!J135</f>
        <v/>
      </c>
      <c r="K135" s="34">
        <f>案件入力!K135</f>
        <v/>
      </c>
      <c r="L135" s="32">
        <f>案件入力!L135</f>
        <v/>
      </c>
      <c r="M135" s="33">
        <f>案件入力!M135</f>
        <v/>
      </c>
      <c r="N135" s="31">
        <f>案件入力!N135</f>
        <v/>
      </c>
      <c r="O135" s="31">
        <f>案件入力!O135</f>
        <v/>
      </c>
      <c r="P135" s="31">
        <f>案件入力!P135</f>
        <v/>
      </c>
    </row>
    <row r="136">
      <c r="A136" s="31">
        <f>案件入力!A136</f>
        <v/>
      </c>
      <c r="B136" s="32">
        <f>案件入力!B136</f>
        <v/>
      </c>
      <c r="C136" s="33">
        <f>案件入力!C136</f>
        <v/>
      </c>
      <c r="D136" s="31">
        <f>案件入力!D136</f>
        <v/>
      </c>
      <c r="E136" s="31">
        <f>案件入力!E136</f>
        <v/>
      </c>
      <c r="F136" s="31">
        <f>案件入力!F136</f>
        <v/>
      </c>
      <c r="G136" s="34">
        <f>案件入力!G136</f>
        <v/>
      </c>
      <c r="H136" s="34">
        <f>案件入力!H136</f>
        <v/>
      </c>
      <c r="I136" s="32">
        <f>案件入力!I136</f>
        <v/>
      </c>
      <c r="J136" s="34">
        <f>案件入力!J136</f>
        <v/>
      </c>
      <c r="K136" s="34">
        <f>案件入力!K136</f>
        <v/>
      </c>
      <c r="L136" s="32">
        <f>案件入力!L136</f>
        <v/>
      </c>
      <c r="M136" s="33">
        <f>案件入力!M136</f>
        <v/>
      </c>
      <c r="N136" s="31">
        <f>案件入力!N136</f>
        <v/>
      </c>
      <c r="O136" s="31">
        <f>案件入力!O136</f>
        <v/>
      </c>
      <c r="P136" s="31">
        <f>案件入力!P136</f>
        <v/>
      </c>
    </row>
    <row r="137">
      <c r="A137" s="31">
        <f>案件入力!A137</f>
        <v/>
      </c>
      <c r="B137" s="32">
        <f>案件入力!B137</f>
        <v/>
      </c>
      <c r="C137" s="33">
        <f>案件入力!C137</f>
        <v/>
      </c>
      <c r="D137" s="31">
        <f>案件入力!D137</f>
        <v/>
      </c>
      <c r="E137" s="31">
        <f>案件入力!E137</f>
        <v/>
      </c>
      <c r="F137" s="31">
        <f>案件入力!F137</f>
        <v/>
      </c>
      <c r="G137" s="34">
        <f>案件入力!G137</f>
        <v/>
      </c>
      <c r="H137" s="34">
        <f>案件入力!H137</f>
        <v/>
      </c>
      <c r="I137" s="32">
        <f>案件入力!I137</f>
        <v/>
      </c>
      <c r="J137" s="34">
        <f>案件入力!J137</f>
        <v/>
      </c>
      <c r="K137" s="34">
        <f>案件入力!K137</f>
        <v/>
      </c>
      <c r="L137" s="32">
        <f>案件入力!L137</f>
        <v/>
      </c>
      <c r="M137" s="33">
        <f>案件入力!M137</f>
        <v/>
      </c>
      <c r="N137" s="31">
        <f>案件入力!N137</f>
        <v/>
      </c>
      <c r="O137" s="31">
        <f>案件入力!O137</f>
        <v/>
      </c>
      <c r="P137" s="31">
        <f>案件入力!P137</f>
        <v/>
      </c>
    </row>
    <row r="138">
      <c r="A138" s="31">
        <f>案件入力!A138</f>
        <v/>
      </c>
      <c r="B138" s="32">
        <f>案件入力!B138</f>
        <v/>
      </c>
      <c r="C138" s="33">
        <f>案件入力!C138</f>
        <v/>
      </c>
      <c r="D138" s="31">
        <f>案件入力!D138</f>
        <v/>
      </c>
      <c r="E138" s="31">
        <f>案件入力!E138</f>
        <v/>
      </c>
      <c r="F138" s="31">
        <f>案件入力!F138</f>
        <v/>
      </c>
      <c r="G138" s="34">
        <f>案件入力!G138</f>
        <v/>
      </c>
      <c r="H138" s="34">
        <f>案件入力!H138</f>
        <v/>
      </c>
      <c r="I138" s="32">
        <f>案件入力!I138</f>
        <v/>
      </c>
      <c r="J138" s="34">
        <f>案件入力!J138</f>
        <v/>
      </c>
      <c r="K138" s="34">
        <f>案件入力!K138</f>
        <v/>
      </c>
      <c r="L138" s="32">
        <f>案件入力!L138</f>
        <v/>
      </c>
      <c r="M138" s="33">
        <f>案件入力!M138</f>
        <v/>
      </c>
      <c r="N138" s="31">
        <f>案件入力!N138</f>
        <v/>
      </c>
      <c r="O138" s="31">
        <f>案件入力!O138</f>
        <v/>
      </c>
      <c r="P138" s="31">
        <f>案件入力!P138</f>
        <v/>
      </c>
    </row>
    <row r="139">
      <c r="A139" s="31">
        <f>案件入力!A139</f>
        <v/>
      </c>
      <c r="B139" s="32">
        <f>案件入力!B139</f>
        <v/>
      </c>
      <c r="C139" s="33">
        <f>案件入力!C139</f>
        <v/>
      </c>
      <c r="D139" s="31">
        <f>案件入力!D139</f>
        <v/>
      </c>
      <c r="E139" s="31">
        <f>案件入力!E139</f>
        <v/>
      </c>
      <c r="F139" s="31">
        <f>案件入力!F139</f>
        <v/>
      </c>
      <c r="G139" s="34">
        <f>案件入力!G139</f>
        <v/>
      </c>
      <c r="H139" s="34">
        <f>案件入力!H139</f>
        <v/>
      </c>
      <c r="I139" s="32">
        <f>案件入力!I139</f>
        <v/>
      </c>
      <c r="J139" s="34">
        <f>案件入力!J139</f>
        <v/>
      </c>
      <c r="K139" s="34">
        <f>案件入力!K139</f>
        <v/>
      </c>
      <c r="L139" s="32">
        <f>案件入力!L139</f>
        <v/>
      </c>
      <c r="M139" s="33">
        <f>案件入力!M139</f>
        <v/>
      </c>
      <c r="N139" s="31">
        <f>案件入力!N139</f>
        <v/>
      </c>
      <c r="O139" s="31">
        <f>案件入力!O139</f>
        <v/>
      </c>
      <c r="P139" s="31">
        <f>案件入力!P139</f>
        <v/>
      </c>
    </row>
    <row r="140">
      <c r="A140" s="31">
        <f>案件入力!A140</f>
        <v/>
      </c>
      <c r="B140" s="32">
        <f>案件入力!B140</f>
        <v/>
      </c>
      <c r="C140" s="33">
        <f>案件入力!C140</f>
        <v/>
      </c>
      <c r="D140" s="31">
        <f>案件入力!D140</f>
        <v/>
      </c>
      <c r="E140" s="31">
        <f>案件入力!E140</f>
        <v/>
      </c>
      <c r="F140" s="31">
        <f>案件入力!F140</f>
        <v/>
      </c>
      <c r="G140" s="34">
        <f>案件入力!G140</f>
        <v/>
      </c>
      <c r="H140" s="34">
        <f>案件入力!H140</f>
        <v/>
      </c>
      <c r="I140" s="32">
        <f>案件入力!I140</f>
        <v/>
      </c>
      <c r="J140" s="34">
        <f>案件入力!J140</f>
        <v/>
      </c>
      <c r="K140" s="34">
        <f>案件入力!K140</f>
        <v/>
      </c>
      <c r="L140" s="32">
        <f>案件入力!L140</f>
        <v/>
      </c>
      <c r="M140" s="33">
        <f>案件入力!M140</f>
        <v/>
      </c>
      <c r="N140" s="31">
        <f>案件入力!N140</f>
        <v/>
      </c>
      <c r="O140" s="31">
        <f>案件入力!O140</f>
        <v/>
      </c>
      <c r="P140" s="31">
        <f>案件入力!P140</f>
        <v/>
      </c>
    </row>
    <row r="141">
      <c r="A141" s="31">
        <f>案件入力!A141</f>
        <v/>
      </c>
      <c r="B141" s="32">
        <f>案件入力!B141</f>
        <v/>
      </c>
      <c r="C141" s="33">
        <f>案件入力!C141</f>
        <v/>
      </c>
      <c r="D141" s="31">
        <f>案件入力!D141</f>
        <v/>
      </c>
      <c r="E141" s="31">
        <f>案件入力!E141</f>
        <v/>
      </c>
      <c r="F141" s="31">
        <f>案件入力!F141</f>
        <v/>
      </c>
      <c r="G141" s="34">
        <f>案件入力!G141</f>
        <v/>
      </c>
      <c r="H141" s="34">
        <f>案件入力!H141</f>
        <v/>
      </c>
      <c r="I141" s="32">
        <f>案件入力!I141</f>
        <v/>
      </c>
      <c r="J141" s="34">
        <f>案件入力!J141</f>
        <v/>
      </c>
      <c r="K141" s="34">
        <f>案件入力!K141</f>
        <v/>
      </c>
      <c r="L141" s="32">
        <f>案件入力!L141</f>
        <v/>
      </c>
      <c r="M141" s="33">
        <f>案件入力!M141</f>
        <v/>
      </c>
      <c r="N141" s="31">
        <f>案件入力!N141</f>
        <v/>
      </c>
      <c r="O141" s="31">
        <f>案件入力!O141</f>
        <v/>
      </c>
      <c r="P141" s="31">
        <f>案件入力!P141</f>
        <v/>
      </c>
    </row>
    <row r="142">
      <c r="A142" s="31">
        <f>案件入力!A142</f>
        <v/>
      </c>
      <c r="B142" s="32">
        <f>案件入力!B142</f>
        <v/>
      </c>
      <c r="C142" s="33">
        <f>案件入力!C142</f>
        <v/>
      </c>
      <c r="D142" s="31">
        <f>案件入力!D142</f>
        <v/>
      </c>
      <c r="E142" s="31">
        <f>案件入力!E142</f>
        <v/>
      </c>
      <c r="F142" s="31">
        <f>案件入力!F142</f>
        <v/>
      </c>
      <c r="G142" s="34">
        <f>案件入力!G142</f>
        <v/>
      </c>
      <c r="H142" s="34">
        <f>案件入力!H142</f>
        <v/>
      </c>
      <c r="I142" s="32">
        <f>案件入力!I142</f>
        <v/>
      </c>
      <c r="J142" s="34">
        <f>案件入力!J142</f>
        <v/>
      </c>
      <c r="K142" s="34">
        <f>案件入力!K142</f>
        <v/>
      </c>
      <c r="L142" s="32">
        <f>案件入力!L142</f>
        <v/>
      </c>
      <c r="M142" s="33">
        <f>案件入力!M142</f>
        <v/>
      </c>
      <c r="N142" s="31">
        <f>案件入力!N142</f>
        <v/>
      </c>
      <c r="O142" s="31">
        <f>案件入力!O142</f>
        <v/>
      </c>
      <c r="P142" s="31">
        <f>案件入力!P142</f>
        <v/>
      </c>
    </row>
    <row r="143">
      <c r="A143" s="31">
        <f>案件入力!A143</f>
        <v/>
      </c>
      <c r="B143" s="32">
        <f>案件入力!B143</f>
        <v/>
      </c>
      <c r="C143" s="33">
        <f>案件入力!C143</f>
        <v/>
      </c>
      <c r="D143" s="31">
        <f>案件入力!D143</f>
        <v/>
      </c>
      <c r="E143" s="31">
        <f>案件入力!E143</f>
        <v/>
      </c>
      <c r="F143" s="31">
        <f>案件入力!F143</f>
        <v/>
      </c>
      <c r="G143" s="34">
        <f>案件入力!G143</f>
        <v/>
      </c>
      <c r="H143" s="34">
        <f>案件入力!H143</f>
        <v/>
      </c>
      <c r="I143" s="32">
        <f>案件入力!I143</f>
        <v/>
      </c>
      <c r="J143" s="34">
        <f>案件入力!J143</f>
        <v/>
      </c>
      <c r="K143" s="34">
        <f>案件入力!K143</f>
        <v/>
      </c>
      <c r="L143" s="32">
        <f>案件入力!L143</f>
        <v/>
      </c>
      <c r="M143" s="33">
        <f>案件入力!M143</f>
        <v/>
      </c>
      <c r="N143" s="31">
        <f>案件入力!N143</f>
        <v/>
      </c>
      <c r="O143" s="31">
        <f>案件入力!O143</f>
        <v/>
      </c>
      <c r="P143" s="31">
        <f>案件入力!P143</f>
        <v/>
      </c>
    </row>
    <row r="144">
      <c r="A144" s="31">
        <f>案件入力!A144</f>
        <v/>
      </c>
      <c r="B144" s="32">
        <f>案件入力!B144</f>
        <v/>
      </c>
      <c r="C144" s="33">
        <f>案件入力!C144</f>
        <v/>
      </c>
      <c r="D144" s="31">
        <f>案件入力!D144</f>
        <v/>
      </c>
      <c r="E144" s="31">
        <f>案件入力!E144</f>
        <v/>
      </c>
      <c r="F144" s="31">
        <f>案件入力!F144</f>
        <v/>
      </c>
      <c r="G144" s="34">
        <f>案件入力!G144</f>
        <v/>
      </c>
      <c r="H144" s="34">
        <f>案件入力!H144</f>
        <v/>
      </c>
      <c r="I144" s="32">
        <f>案件入力!I144</f>
        <v/>
      </c>
      <c r="J144" s="34">
        <f>案件入力!J144</f>
        <v/>
      </c>
      <c r="K144" s="34">
        <f>案件入力!K144</f>
        <v/>
      </c>
      <c r="L144" s="32">
        <f>案件入力!L144</f>
        <v/>
      </c>
      <c r="M144" s="33">
        <f>案件入力!M144</f>
        <v/>
      </c>
      <c r="N144" s="31">
        <f>案件入力!N144</f>
        <v/>
      </c>
      <c r="O144" s="31">
        <f>案件入力!O144</f>
        <v/>
      </c>
      <c r="P144" s="31">
        <f>案件入力!P144</f>
        <v/>
      </c>
    </row>
    <row r="145">
      <c r="A145" s="31">
        <f>案件入力!A145</f>
        <v/>
      </c>
      <c r="B145" s="32">
        <f>案件入力!B145</f>
        <v/>
      </c>
      <c r="C145" s="33">
        <f>案件入力!C145</f>
        <v/>
      </c>
      <c r="D145" s="31">
        <f>案件入力!D145</f>
        <v/>
      </c>
      <c r="E145" s="31">
        <f>案件入力!E145</f>
        <v/>
      </c>
      <c r="F145" s="31">
        <f>案件入力!F145</f>
        <v/>
      </c>
      <c r="G145" s="34">
        <f>案件入力!G145</f>
        <v/>
      </c>
      <c r="H145" s="34">
        <f>案件入力!H145</f>
        <v/>
      </c>
      <c r="I145" s="32">
        <f>案件入力!I145</f>
        <v/>
      </c>
      <c r="J145" s="34">
        <f>案件入力!J145</f>
        <v/>
      </c>
      <c r="K145" s="34">
        <f>案件入力!K145</f>
        <v/>
      </c>
      <c r="L145" s="32">
        <f>案件入力!L145</f>
        <v/>
      </c>
      <c r="M145" s="33">
        <f>案件入力!M145</f>
        <v/>
      </c>
      <c r="N145" s="31">
        <f>案件入力!N145</f>
        <v/>
      </c>
      <c r="O145" s="31">
        <f>案件入力!O145</f>
        <v/>
      </c>
      <c r="P145" s="31">
        <f>案件入力!P145</f>
        <v/>
      </c>
    </row>
    <row r="146">
      <c r="A146" s="31">
        <f>案件入力!A146</f>
        <v/>
      </c>
      <c r="B146" s="32">
        <f>案件入力!B146</f>
        <v/>
      </c>
      <c r="C146" s="33">
        <f>案件入力!C146</f>
        <v/>
      </c>
      <c r="D146" s="31">
        <f>案件入力!D146</f>
        <v/>
      </c>
      <c r="E146" s="31">
        <f>案件入力!E146</f>
        <v/>
      </c>
      <c r="F146" s="31">
        <f>案件入力!F146</f>
        <v/>
      </c>
      <c r="G146" s="34">
        <f>案件入力!G146</f>
        <v/>
      </c>
      <c r="H146" s="34">
        <f>案件入力!H146</f>
        <v/>
      </c>
      <c r="I146" s="32">
        <f>案件入力!I146</f>
        <v/>
      </c>
      <c r="J146" s="34">
        <f>案件入力!J146</f>
        <v/>
      </c>
      <c r="K146" s="34">
        <f>案件入力!K146</f>
        <v/>
      </c>
      <c r="L146" s="32">
        <f>案件入力!L146</f>
        <v/>
      </c>
      <c r="M146" s="33">
        <f>案件入力!M146</f>
        <v/>
      </c>
      <c r="N146" s="31">
        <f>案件入力!N146</f>
        <v/>
      </c>
      <c r="O146" s="31">
        <f>案件入力!O146</f>
        <v/>
      </c>
      <c r="P146" s="31">
        <f>案件入力!P146</f>
        <v/>
      </c>
    </row>
    <row r="147">
      <c r="A147" s="31">
        <f>案件入力!A147</f>
        <v/>
      </c>
      <c r="B147" s="32">
        <f>案件入力!B147</f>
        <v/>
      </c>
      <c r="C147" s="33">
        <f>案件入力!C147</f>
        <v/>
      </c>
      <c r="D147" s="31">
        <f>案件入力!D147</f>
        <v/>
      </c>
      <c r="E147" s="31">
        <f>案件入力!E147</f>
        <v/>
      </c>
      <c r="F147" s="31">
        <f>案件入力!F147</f>
        <v/>
      </c>
      <c r="G147" s="34">
        <f>案件入力!G147</f>
        <v/>
      </c>
      <c r="H147" s="34">
        <f>案件入力!H147</f>
        <v/>
      </c>
      <c r="I147" s="32">
        <f>案件入力!I147</f>
        <v/>
      </c>
      <c r="J147" s="34">
        <f>案件入力!J147</f>
        <v/>
      </c>
      <c r="K147" s="34">
        <f>案件入力!K147</f>
        <v/>
      </c>
      <c r="L147" s="32">
        <f>案件入力!L147</f>
        <v/>
      </c>
      <c r="M147" s="33">
        <f>案件入力!M147</f>
        <v/>
      </c>
      <c r="N147" s="31">
        <f>案件入力!N147</f>
        <v/>
      </c>
      <c r="O147" s="31">
        <f>案件入力!O147</f>
        <v/>
      </c>
      <c r="P147" s="31">
        <f>案件入力!P147</f>
        <v/>
      </c>
    </row>
    <row r="148">
      <c r="A148" s="31">
        <f>案件入力!A148</f>
        <v/>
      </c>
      <c r="B148" s="32">
        <f>案件入力!B148</f>
        <v/>
      </c>
      <c r="C148" s="33">
        <f>案件入力!C148</f>
        <v/>
      </c>
      <c r="D148" s="31">
        <f>案件入力!D148</f>
        <v/>
      </c>
      <c r="E148" s="31">
        <f>案件入力!E148</f>
        <v/>
      </c>
      <c r="F148" s="31">
        <f>案件入力!F148</f>
        <v/>
      </c>
      <c r="G148" s="34">
        <f>案件入力!G148</f>
        <v/>
      </c>
      <c r="H148" s="34">
        <f>案件入力!H148</f>
        <v/>
      </c>
      <c r="I148" s="32">
        <f>案件入力!I148</f>
        <v/>
      </c>
      <c r="J148" s="34">
        <f>案件入力!J148</f>
        <v/>
      </c>
      <c r="K148" s="34">
        <f>案件入力!K148</f>
        <v/>
      </c>
      <c r="L148" s="32">
        <f>案件入力!L148</f>
        <v/>
      </c>
      <c r="M148" s="33">
        <f>案件入力!M148</f>
        <v/>
      </c>
      <c r="N148" s="31">
        <f>案件入力!N148</f>
        <v/>
      </c>
      <c r="O148" s="31">
        <f>案件入力!O148</f>
        <v/>
      </c>
      <c r="P148" s="31">
        <f>案件入力!P148</f>
        <v/>
      </c>
    </row>
    <row r="149">
      <c r="A149" s="31">
        <f>案件入力!A149</f>
        <v/>
      </c>
      <c r="B149" s="32">
        <f>案件入力!B149</f>
        <v/>
      </c>
      <c r="C149" s="33">
        <f>案件入力!C149</f>
        <v/>
      </c>
      <c r="D149" s="31">
        <f>案件入力!D149</f>
        <v/>
      </c>
      <c r="E149" s="31">
        <f>案件入力!E149</f>
        <v/>
      </c>
      <c r="F149" s="31">
        <f>案件入力!F149</f>
        <v/>
      </c>
      <c r="G149" s="34">
        <f>案件入力!G149</f>
        <v/>
      </c>
      <c r="H149" s="34">
        <f>案件入力!H149</f>
        <v/>
      </c>
      <c r="I149" s="32">
        <f>案件入力!I149</f>
        <v/>
      </c>
      <c r="J149" s="34">
        <f>案件入力!J149</f>
        <v/>
      </c>
      <c r="K149" s="34">
        <f>案件入力!K149</f>
        <v/>
      </c>
      <c r="L149" s="32">
        <f>案件入力!L149</f>
        <v/>
      </c>
      <c r="M149" s="33">
        <f>案件入力!M149</f>
        <v/>
      </c>
      <c r="N149" s="31">
        <f>案件入力!N149</f>
        <v/>
      </c>
      <c r="O149" s="31">
        <f>案件入力!O149</f>
        <v/>
      </c>
      <c r="P149" s="31">
        <f>案件入力!P149</f>
        <v/>
      </c>
    </row>
    <row r="150">
      <c r="A150" s="31">
        <f>案件入力!A150</f>
        <v/>
      </c>
      <c r="B150" s="32">
        <f>案件入力!B150</f>
        <v/>
      </c>
      <c r="C150" s="33">
        <f>案件入力!C150</f>
        <v/>
      </c>
      <c r="D150" s="31">
        <f>案件入力!D150</f>
        <v/>
      </c>
      <c r="E150" s="31">
        <f>案件入力!E150</f>
        <v/>
      </c>
      <c r="F150" s="31">
        <f>案件入力!F150</f>
        <v/>
      </c>
      <c r="G150" s="34">
        <f>案件入力!G150</f>
        <v/>
      </c>
      <c r="H150" s="34">
        <f>案件入力!H150</f>
        <v/>
      </c>
      <c r="I150" s="32">
        <f>案件入力!I150</f>
        <v/>
      </c>
      <c r="J150" s="34">
        <f>案件入力!J150</f>
        <v/>
      </c>
      <c r="K150" s="34">
        <f>案件入力!K150</f>
        <v/>
      </c>
      <c r="L150" s="32">
        <f>案件入力!L150</f>
        <v/>
      </c>
      <c r="M150" s="33">
        <f>案件入力!M150</f>
        <v/>
      </c>
      <c r="N150" s="31">
        <f>案件入力!N150</f>
        <v/>
      </c>
      <c r="O150" s="31">
        <f>案件入力!O150</f>
        <v/>
      </c>
      <c r="P150" s="31">
        <f>案件入力!P150</f>
        <v/>
      </c>
    </row>
    <row r="151">
      <c r="A151" s="31">
        <f>案件入力!A151</f>
        <v/>
      </c>
      <c r="B151" s="32">
        <f>案件入力!B151</f>
        <v/>
      </c>
      <c r="C151" s="33">
        <f>案件入力!C151</f>
        <v/>
      </c>
      <c r="D151" s="31">
        <f>案件入力!D151</f>
        <v/>
      </c>
      <c r="E151" s="31">
        <f>案件入力!E151</f>
        <v/>
      </c>
      <c r="F151" s="31">
        <f>案件入力!F151</f>
        <v/>
      </c>
      <c r="G151" s="34">
        <f>案件入力!G151</f>
        <v/>
      </c>
      <c r="H151" s="34">
        <f>案件入力!H151</f>
        <v/>
      </c>
      <c r="I151" s="32">
        <f>案件入力!I151</f>
        <v/>
      </c>
      <c r="J151" s="34">
        <f>案件入力!J151</f>
        <v/>
      </c>
      <c r="K151" s="34">
        <f>案件入力!K151</f>
        <v/>
      </c>
      <c r="L151" s="32">
        <f>案件入力!L151</f>
        <v/>
      </c>
      <c r="M151" s="33">
        <f>案件入力!M151</f>
        <v/>
      </c>
      <c r="N151" s="31">
        <f>案件入力!N151</f>
        <v/>
      </c>
      <c r="O151" s="31">
        <f>案件入力!O151</f>
        <v/>
      </c>
      <c r="P151" s="31">
        <f>案件入力!P151</f>
        <v/>
      </c>
    </row>
    <row r="152">
      <c r="A152" s="31">
        <f>案件入力!A152</f>
        <v/>
      </c>
      <c r="B152" s="32">
        <f>案件入力!B152</f>
        <v/>
      </c>
      <c r="C152" s="33">
        <f>案件入力!C152</f>
        <v/>
      </c>
      <c r="D152" s="31">
        <f>案件入力!D152</f>
        <v/>
      </c>
      <c r="E152" s="31">
        <f>案件入力!E152</f>
        <v/>
      </c>
      <c r="F152" s="31">
        <f>案件入力!F152</f>
        <v/>
      </c>
      <c r="G152" s="34">
        <f>案件入力!G152</f>
        <v/>
      </c>
      <c r="H152" s="34">
        <f>案件入力!H152</f>
        <v/>
      </c>
      <c r="I152" s="32">
        <f>案件入力!I152</f>
        <v/>
      </c>
      <c r="J152" s="34">
        <f>案件入力!J152</f>
        <v/>
      </c>
      <c r="K152" s="34">
        <f>案件入力!K152</f>
        <v/>
      </c>
      <c r="L152" s="32">
        <f>案件入力!L152</f>
        <v/>
      </c>
      <c r="M152" s="33">
        <f>案件入力!M152</f>
        <v/>
      </c>
      <c r="N152" s="31">
        <f>案件入力!N152</f>
        <v/>
      </c>
      <c r="O152" s="31">
        <f>案件入力!O152</f>
        <v/>
      </c>
      <c r="P152" s="31">
        <f>案件入力!P152</f>
        <v/>
      </c>
    </row>
    <row r="153">
      <c r="A153" s="31">
        <f>案件入力!A153</f>
        <v/>
      </c>
      <c r="B153" s="32">
        <f>案件入力!B153</f>
        <v/>
      </c>
      <c r="C153" s="33">
        <f>案件入力!C153</f>
        <v/>
      </c>
      <c r="D153" s="31">
        <f>案件入力!D153</f>
        <v/>
      </c>
      <c r="E153" s="31">
        <f>案件入力!E153</f>
        <v/>
      </c>
      <c r="F153" s="31">
        <f>案件入力!F153</f>
        <v/>
      </c>
      <c r="G153" s="34">
        <f>案件入力!G153</f>
        <v/>
      </c>
      <c r="H153" s="34">
        <f>案件入力!H153</f>
        <v/>
      </c>
      <c r="I153" s="32">
        <f>案件入力!I153</f>
        <v/>
      </c>
      <c r="J153" s="34">
        <f>案件入力!J153</f>
        <v/>
      </c>
      <c r="K153" s="34">
        <f>案件入力!K153</f>
        <v/>
      </c>
      <c r="L153" s="32">
        <f>案件入力!L153</f>
        <v/>
      </c>
      <c r="M153" s="33">
        <f>案件入力!M153</f>
        <v/>
      </c>
      <c r="N153" s="31">
        <f>案件入力!N153</f>
        <v/>
      </c>
      <c r="O153" s="31">
        <f>案件入力!O153</f>
        <v/>
      </c>
      <c r="P153" s="31">
        <f>案件入力!P153</f>
        <v/>
      </c>
    </row>
    <row r="154">
      <c r="A154" s="31">
        <f>案件入力!A154</f>
        <v/>
      </c>
      <c r="B154" s="32">
        <f>案件入力!B154</f>
        <v/>
      </c>
      <c r="C154" s="33">
        <f>案件入力!C154</f>
        <v/>
      </c>
      <c r="D154" s="31">
        <f>案件入力!D154</f>
        <v/>
      </c>
      <c r="E154" s="31">
        <f>案件入力!E154</f>
        <v/>
      </c>
      <c r="F154" s="31">
        <f>案件入力!F154</f>
        <v/>
      </c>
      <c r="G154" s="34">
        <f>案件入力!G154</f>
        <v/>
      </c>
      <c r="H154" s="34">
        <f>案件入力!H154</f>
        <v/>
      </c>
      <c r="I154" s="32">
        <f>案件入力!I154</f>
        <v/>
      </c>
      <c r="J154" s="34">
        <f>案件入力!J154</f>
        <v/>
      </c>
      <c r="K154" s="34">
        <f>案件入力!K154</f>
        <v/>
      </c>
      <c r="L154" s="32">
        <f>案件入力!L154</f>
        <v/>
      </c>
      <c r="M154" s="33">
        <f>案件入力!M154</f>
        <v/>
      </c>
      <c r="N154" s="31">
        <f>案件入力!N154</f>
        <v/>
      </c>
      <c r="O154" s="31">
        <f>案件入力!O154</f>
        <v/>
      </c>
      <c r="P154" s="31">
        <f>案件入力!P154</f>
        <v/>
      </c>
    </row>
    <row r="155">
      <c r="A155" s="31">
        <f>案件入力!A155</f>
        <v/>
      </c>
      <c r="B155" s="32">
        <f>案件入力!B155</f>
        <v/>
      </c>
      <c r="C155" s="33">
        <f>案件入力!C155</f>
        <v/>
      </c>
      <c r="D155" s="31">
        <f>案件入力!D155</f>
        <v/>
      </c>
      <c r="E155" s="31">
        <f>案件入力!E155</f>
        <v/>
      </c>
      <c r="F155" s="31">
        <f>案件入力!F155</f>
        <v/>
      </c>
      <c r="G155" s="34">
        <f>案件入力!G155</f>
        <v/>
      </c>
      <c r="H155" s="34">
        <f>案件入力!H155</f>
        <v/>
      </c>
      <c r="I155" s="32">
        <f>案件入力!I155</f>
        <v/>
      </c>
      <c r="J155" s="34">
        <f>案件入力!J155</f>
        <v/>
      </c>
      <c r="K155" s="34">
        <f>案件入力!K155</f>
        <v/>
      </c>
      <c r="L155" s="32">
        <f>案件入力!L155</f>
        <v/>
      </c>
      <c r="M155" s="33">
        <f>案件入力!M155</f>
        <v/>
      </c>
      <c r="N155" s="31">
        <f>案件入力!N155</f>
        <v/>
      </c>
      <c r="O155" s="31">
        <f>案件入力!O155</f>
        <v/>
      </c>
      <c r="P155" s="31">
        <f>案件入力!P155</f>
        <v/>
      </c>
    </row>
    <row r="156">
      <c r="A156" s="31">
        <f>案件入力!A156</f>
        <v/>
      </c>
      <c r="B156" s="32">
        <f>案件入力!B156</f>
        <v/>
      </c>
      <c r="C156" s="33">
        <f>案件入力!C156</f>
        <v/>
      </c>
      <c r="D156" s="31">
        <f>案件入力!D156</f>
        <v/>
      </c>
      <c r="E156" s="31">
        <f>案件入力!E156</f>
        <v/>
      </c>
      <c r="F156" s="31">
        <f>案件入力!F156</f>
        <v/>
      </c>
      <c r="G156" s="34">
        <f>案件入力!G156</f>
        <v/>
      </c>
      <c r="H156" s="34">
        <f>案件入力!H156</f>
        <v/>
      </c>
      <c r="I156" s="32">
        <f>案件入力!I156</f>
        <v/>
      </c>
      <c r="J156" s="34">
        <f>案件入力!J156</f>
        <v/>
      </c>
      <c r="K156" s="34">
        <f>案件入力!K156</f>
        <v/>
      </c>
      <c r="L156" s="32">
        <f>案件入力!L156</f>
        <v/>
      </c>
      <c r="M156" s="33">
        <f>案件入力!M156</f>
        <v/>
      </c>
      <c r="N156" s="31">
        <f>案件入力!N156</f>
        <v/>
      </c>
      <c r="O156" s="31">
        <f>案件入力!O156</f>
        <v/>
      </c>
      <c r="P156" s="31">
        <f>案件入力!P156</f>
        <v/>
      </c>
    </row>
    <row r="157">
      <c r="A157" s="31">
        <f>案件入力!A157</f>
        <v/>
      </c>
      <c r="B157" s="32">
        <f>案件入力!B157</f>
        <v/>
      </c>
      <c r="C157" s="33">
        <f>案件入力!C157</f>
        <v/>
      </c>
      <c r="D157" s="31">
        <f>案件入力!D157</f>
        <v/>
      </c>
      <c r="E157" s="31">
        <f>案件入力!E157</f>
        <v/>
      </c>
      <c r="F157" s="31">
        <f>案件入力!F157</f>
        <v/>
      </c>
      <c r="G157" s="34">
        <f>案件入力!G157</f>
        <v/>
      </c>
      <c r="H157" s="34">
        <f>案件入力!H157</f>
        <v/>
      </c>
      <c r="I157" s="32">
        <f>案件入力!I157</f>
        <v/>
      </c>
      <c r="J157" s="34">
        <f>案件入力!J157</f>
        <v/>
      </c>
      <c r="K157" s="34">
        <f>案件入力!K157</f>
        <v/>
      </c>
      <c r="L157" s="32">
        <f>案件入力!L157</f>
        <v/>
      </c>
      <c r="M157" s="33">
        <f>案件入力!M157</f>
        <v/>
      </c>
      <c r="N157" s="31">
        <f>案件入力!N157</f>
        <v/>
      </c>
      <c r="O157" s="31">
        <f>案件入力!O157</f>
        <v/>
      </c>
      <c r="P157" s="31">
        <f>案件入力!P157</f>
        <v/>
      </c>
    </row>
    <row r="158">
      <c r="A158" s="31">
        <f>案件入力!A158</f>
        <v/>
      </c>
      <c r="B158" s="32">
        <f>案件入力!B158</f>
        <v/>
      </c>
      <c r="C158" s="33">
        <f>案件入力!C158</f>
        <v/>
      </c>
      <c r="D158" s="31">
        <f>案件入力!D158</f>
        <v/>
      </c>
      <c r="E158" s="31">
        <f>案件入力!E158</f>
        <v/>
      </c>
      <c r="F158" s="31">
        <f>案件入力!F158</f>
        <v/>
      </c>
      <c r="G158" s="34">
        <f>案件入力!G158</f>
        <v/>
      </c>
      <c r="H158" s="34">
        <f>案件入力!H158</f>
        <v/>
      </c>
      <c r="I158" s="32">
        <f>案件入力!I158</f>
        <v/>
      </c>
      <c r="J158" s="34">
        <f>案件入力!J158</f>
        <v/>
      </c>
      <c r="K158" s="34">
        <f>案件入力!K158</f>
        <v/>
      </c>
      <c r="L158" s="32">
        <f>案件入力!L158</f>
        <v/>
      </c>
      <c r="M158" s="33">
        <f>案件入力!M158</f>
        <v/>
      </c>
      <c r="N158" s="31">
        <f>案件入力!N158</f>
        <v/>
      </c>
      <c r="O158" s="31">
        <f>案件入力!O158</f>
        <v/>
      </c>
      <c r="P158" s="31">
        <f>案件入力!P158</f>
        <v/>
      </c>
    </row>
    <row r="159">
      <c r="A159" s="31">
        <f>案件入力!A159</f>
        <v/>
      </c>
      <c r="B159" s="32">
        <f>案件入力!B159</f>
        <v/>
      </c>
      <c r="C159" s="33">
        <f>案件入力!C159</f>
        <v/>
      </c>
      <c r="D159" s="31">
        <f>案件入力!D159</f>
        <v/>
      </c>
      <c r="E159" s="31">
        <f>案件入力!E159</f>
        <v/>
      </c>
      <c r="F159" s="31">
        <f>案件入力!F159</f>
        <v/>
      </c>
      <c r="G159" s="34">
        <f>案件入力!G159</f>
        <v/>
      </c>
      <c r="H159" s="34">
        <f>案件入力!H159</f>
        <v/>
      </c>
      <c r="I159" s="32">
        <f>案件入力!I159</f>
        <v/>
      </c>
      <c r="J159" s="34">
        <f>案件入力!J159</f>
        <v/>
      </c>
      <c r="K159" s="34">
        <f>案件入力!K159</f>
        <v/>
      </c>
      <c r="L159" s="32">
        <f>案件入力!L159</f>
        <v/>
      </c>
      <c r="M159" s="33">
        <f>案件入力!M159</f>
        <v/>
      </c>
      <c r="N159" s="31">
        <f>案件入力!N159</f>
        <v/>
      </c>
      <c r="O159" s="31">
        <f>案件入力!O159</f>
        <v/>
      </c>
      <c r="P159" s="31">
        <f>案件入力!P159</f>
        <v/>
      </c>
    </row>
    <row r="160">
      <c r="A160" s="31">
        <f>案件入力!A160</f>
        <v/>
      </c>
      <c r="B160" s="32">
        <f>案件入力!B160</f>
        <v/>
      </c>
      <c r="C160" s="33">
        <f>案件入力!C160</f>
        <v/>
      </c>
      <c r="D160" s="31">
        <f>案件入力!D160</f>
        <v/>
      </c>
      <c r="E160" s="31">
        <f>案件入力!E160</f>
        <v/>
      </c>
      <c r="F160" s="31">
        <f>案件入力!F160</f>
        <v/>
      </c>
      <c r="G160" s="34">
        <f>案件入力!G160</f>
        <v/>
      </c>
      <c r="H160" s="34">
        <f>案件入力!H160</f>
        <v/>
      </c>
      <c r="I160" s="32">
        <f>案件入力!I160</f>
        <v/>
      </c>
      <c r="J160" s="34">
        <f>案件入力!J160</f>
        <v/>
      </c>
      <c r="K160" s="34">
        <f>案件入力!K160</f>
        <v/>
      </c>
      <c r="L160" s="32">
        <f>案件入力!L160</f>
        <v/>
      </c>
      <c r="M160" s="33">
        <f>案件入力!M160</f>
        <v/>
      </c>
      <c r="N160" s="31">
        <f>案件入力!N160</f>
        <v/>
      </c>
      <c r="O160" s="31">
        <f>案件入力!O160</f>
        <v/>
      </c>
      <c r="P160" s="31">
        <f>案件入力!P160</f>
        <v/>
      </c>
    </row>
    <row r="161">
      <c r="A161" s="31">
        <f>案件入力!A161</f>
        <v/>
      </c>
      <c r="B161" s="32">
        <f>案件入力!B161</f>
        <v/>
      </c>
      <c r="C161" s="33">
        <f>案件入力!C161</f>
        <v/>
      </c>
      <c r="D161" s="31">
        <f>案件入力!D161</f>
        <v/>
      </c>
      <c r="E161" s="31">
        <f>案件入力!E161</f>
        <v/>
      </c>
      <c r="F161" s="31">
        <f>案件入力!F161</f>
        <v/>
      </c>
      <c r="G161" s="34">
        <f>案件入力!G161</f>
        <v/>
      </c>
      <c r="H161" s="34">
        <f>案件入力!H161</f>
        <v/>
      </c>
      <c r="I161" s="32">
        <f>案件入力!I161</f>
        <v/>
      </c>
      <c r="J161" s="34">
        <f>案件入力!J161</f>
        <v/>
      </c>
      <c r="K161" s="34">
        <f>案件入力!K161</f>
        <v/>
      </c>
      <c r="L161" s="32">
        <f>案件入力!L161</f>
        <v/>
      </c>
      <c r="M161" s="33">
        <f>案件入力!M161</f>
        <v/>
      </c>
      <c r="N161" s="31">
        <f>案件入力!N161</f>
        <v/>
      </c>
      <c r="O161" s="31">
        <f>案件入力!O161</f>
        <v/>
      </c>
      <c r="P161" s="31">
        <f>案件入力!P161</f>
        <v/>
      </c>
    </row>
    <row r="162">
      <c r="A162" s="31">
        <f>案件入力!A162</f>
        <v/>
      </c>
      <c r="B162" s="32">
        <f>案件入力!B162</f>
        <v/>
      </c>
      <c r="C162" s="33">
        <f>案件入力!C162</f>
        <v/>
      </c>
      <c r="D162" s="31">
        <f>案件入力!D162</f>
        <v/>
      </c>
      <c r="E162" s="31">
        <f>案件入力!E162</f>
        <v/>
      </c>
      <c r="F162" s="31">
        <f>案件入力!F162</f>
        <v/>
      </c>
      <c r="G162" s="34">
        <f>案件入力!G162</f>
        <v/>
      </c>
      <c r="H162" s="34">
        <f>案件入力!H162</f>
        <v/>
      </c>
      <c r="I162" s="32">
        <f>案件入力!I162</f>
        <v/>
      </c>
      <c r="J162" s="34">
        <f>案件入力!J162</f>
        <v/>
      </c>
      <c r="K162" s="34">
        <f>案件入力!K162</f>
        <v/>
      </c>
      <c r="L162" s="32">
        <f>案件入力!L162</f>
        <v/>
      </c>
      <c r="M162" s="33">
        <f>案件入力!M162</f>
        <v/>
      </c>
      <c r="N162" s="31">
        <f>案件入力!N162</f>
        <v/>
      </c>
      <c r="O162" s="31">
        <f>案件入力!O162</f>
        <v/>
      </c>
      <c r="P162" s="31">
        <f>案件入力!P162</f>
        <v/>
      </c>
    </row>
    <row r="163">
      <c r="A163" s="31">
        <f>案件入力!A163</f>
        <v/>
      </c>
      <c r="B163" s="32">
        <f>案件入力!B163</f>
        <v/>
      </c>
      <c r="C163" s="33">
        <f>案件入力!C163</f>
        <v/>
      </c>
      <c r="D163" s="31">
        <f>案件入力!D163</f>
        <v/>
      </c>
      <c r="E163" s="31">
        <f>案件入力!E163</f>
        <v/>
      </c>
      <c r="F163" s="31">
        <f>案件入力!F163</f>
        <v/>
      </c>
      <c r="G163" s="34">
        <f>案件入力!G163</f>
        <v/>
      </c>
      <c r="H163" s="34">
        <f>案件入力!H163</f>
        <v/>
      </c>
      <c r="I163" s="32">
        <f>案件入力!I163</f>
        <v/>
      </c>
      <c r="J163" s="34">
        <f>案件入力!J163</f>
        <v/>
      </c>
      <c r="K163" s="34">
        <f>案件入力!K163</f>
        <v/>
      </c>
      <c r="L163" s="32">
        <f>案件入力!L163</f>
        <v/>
      </c>
      <c r="M163" s="33">
        <f>案件入力!M163</f>
        <v/>
      </c>
      <c r="N163" s="31">
        <f>案件入力!N163</f>
        <v/>
      </c>
      <c r="O163" s="31">
        <f>案件入力!O163</f>
        <v/>
      </c>
      <c r="P163" s="31">
        <f>案件入力!P163</f>
        <v/>
      </c>
    </row>
    <row r="164">
      <c r="A164" s="31">
        <f>案件入力!A164</f>
        <v/>
      </c>
      <c r="B164" s="32">
        <f>案件入力!B164</f>
        <v/>
      </c>
      <c r="C164" s="33">
        <f>案件入力!C164</f>
        <v/>
      </c>
      <c r="D164" s="31">
        <f>案件入力!D164</f>
        <v/>
      </c>
      <c r="E164" s="31">
        <f>案件入力!E164</f>
        <v/>
      </c>
      <c r="F164" s="31">
        <f>案件入力!F164</f>
        <v/>
      </c>
      <c r="G164" s="34">
        <f>案件入力!G164</f>
        <v/>
      </c>
      <c r="H164" s="34">
        <f>案件入力!H164</f>
        <v/>
      </c>
      <c r="I164" s="32">
        <f>案件入力!I164</f>
        <v/>
      </c>
      <c r="J164" s="34">
        <f>案件入力!J164</f>
        <v/>
      </c>
      <c r="K164" s="34">
        <f>案件入力!K164</f>
        <v/>
      </c>
      <c r="L164" s="32">
        <f>案件入力!L164</f>
        <v/>
      </c>
      <c r="M164" s="33">
        <f>案件入力!M164</f>
        <v/>
      </c>
      <c r="N164" s="31">
        <f>案件入力!N164</f>
        <v/>
      </c>
      <c r="O164" s="31">
        <f>案件入力!O164</f>
        <v/>
      </c>
      <c r="P164" s="31">
        <f>案件入力!P164</f>
        <v/>
      </c>
    </row>
    <row r="165">
      <c r="A165" s="31">
        <f>案件入力!A165</f>
        <v/>
      </c>
      <c r="B165" s="32">
        <f>案件入力!B165</f>
        <v/>
      </c>
      <c r="C165" s="33">
        <f>案件入力!C165</f>
        <v/>
      </c>
      <c r="D165" s="31">
        <f>案件入力!D165</f>
        <v/>
      </c>
      <c r="E165" s="31">
        <f>案件入力!E165</f>
        <v/>
      </c>
      <c r="F165" s="31">
        <f>案件入力!F165</f>
        <v/>
      </c>
      <c r="G165" s="34">
        <f>案件入力!G165</f>
        <v/>
      </c>
      <c r="H165" s="34">
        <f>案件入力!H165</f>
        <v/>
      </c>
      <c r="I165" s="32">
        <f>案件入力!I165</f>
        <v/>
      </c>
      <c r="J165" s="34">
        <f>案件入力!J165</f>
        <v/>
      </c>
      <c r="K165" s="34">
        <f>案件入力!K165</f>
        <v/>
      </c>
      <c r="L165" s="32">
        <f>案件入力!L165</f>
        <v/>
      </c>
      <c r="M165" s="33">
        <f>案件入力!M165</f>
        <v/>
      </c>
      <c r="N165" s="31">
        <f>案件入力!N165</f>
        <v/>
      </c>
      <c r="O165" s="31">
        <f>案件入力!O165</f>
        <v/>
      </c>
      <c r="P165" s="31">
        <f>案件入力!P165</f>
        <v/>
      </c>
    </row>
    <row r="166">
      <c r="A166" s="31">
        <f>案件入力!A166</f>
        <v/>
      </c>
      <c r="B166" s="32">
        <f>案件入力!B166</f>
        <v/>
      </c>
      <c r="C166" s="33">
        <f>案件入力!C166</f>
        <v/>
      </c>
      <c r="D166" s="31">
        <f>案件入力!D166</f>
        <v/>
      </c>
      <c r="E166" s="31">
        <f>案件入力!E166</f>
        <v/>
      </c>
      <c r="F166" s="31">
        <f>案件入力!F166</f>
        <v/>
      </c>
      <c r="G166" s="34">
        <f>案件入力!G166</f>
        <v/>
      </c>
      <c r="H166" s="34">
        <f>案件入力!H166</f>
        <v/>
      </c>
      <c r="I166" s="32">
        <f>案件入力!I166</f>
        <v/>
      </c>
      <c r="J166" s="34">
        <f>案件入力!J166</f>
        <v/>
      </c>
      <c r="K166" s="34">
        <f>案件入力!K166</f>
        <v/>
      </c>
      <c r="L166" s="32">
        <f>案件入力!L166</f>
        <v/>
      </c>
      <c r="M166" s="33">
        <f>案件入力!M166</f>
        <v/>
      </c>
      <c r="N166" s="31">
        <f>案件入力!N166</f>
        <v/>
      </c>
      <c r="O166" s="31">
        <f>案件入力!O166</f>
        <v/>
      </c>
      <c r="P166" s="31">
        <f>案件入力!P166</f>
        <v/>
      </c>
    </row>
    <row r="167">
      <c r="A167" s="31">
        <f>案件入力!A167</f>
        <v/>
      </c>
      <c r="B167" s="32">
        <f>案件入力!B167</f>
        <v/>
      </c>
      <c r="C167" s="33">
        <f>案件入力!C167</f>
        <v/>
      </c>
      <c r="D167" s="31">
        <f>案件入力!D167</f>
        <v/>
      </c>
      <c r="E167" s="31">
        <f>案件入力!E167</f>
        <v/>
      </c>
      <c r="F167" s="31">
        <f>案件入力!F167</f>
        <v/>
      </c>
      <c r="G167" s="34">
        <f>案件入力!G167</f>
        <v/>
      </c>
      <c r="H167" s="34">
        <f>案件入力!H167</f>
        <v/>
      </c>
      <c r="I167" s="32">
        <f>案件入力!I167</f>
        <v/>
      </c>
      <c r="J167" s="34">
        <f>案件入力!J167</f>
        <v/>
      </c>
      <c r="K167" s="34">
        <f>案件入力!K167</f>
        <v/>
      </c>
      <c r="L167" s="32">
        <f>案件入力!L167</f>
        <v/>
      </c>
      <c r="M167" s="33">
        <f>案件入力!M167</f>
        <v/>
      </c>
      <c r="N167" s="31">
        <f>案件入力!N167</f>
        <v/>
      </c>
      <c r="O167" s="31">
        <f>案件入力!O167</f>
        <v/>
      </c>
      <c r="P167" s="31">
        <f>案件入力!P167</f>
        <v/>
      </c>
    </row>
    <row r="168">
      <c r="A168" s="31">
        <f>案件入力!A168</f>
        <v/>
      </c>
      <c r="B168" s="32">
        <f>案件入力!B168</f>
        <v/>
      </c>
      <c r="C168" s="33">
        <f>案件入力!C168</f>
        <v/>
      </c>
      <c r="D168" s="31">
        <f>案件入力!D168</f>
        <v/>
      </c>
      <c r="E168" s="31">
        <f>案件入力!E168</f>
        <v/>
      </c>
      <c r="F168" s="31">
        <f>案件入力!F168</f>
        <v/>
      </c>
      <c r="G168" s="34">
        <f>案件入力!G168</f>
        <v/>
      </c>
      <c r="H168" s="34">
        <f>案件入力!H168</f>
        <v/>
      </c>
      <c r="I168" s="32">
        <f>案件入力!I168</f>
        <v/>
      </c>
      <c r="J168" s="34">
        <f>案件入力!J168</f>
        <v/>
      </c>
      <c r="K168" s="34">
        <f>案件入力!K168</f>
        <v/>
      </c>
      <c r="L168" s="32">
        <f>案件入力!L168</f>
        <v/>
      </c>
      <c r="M168" s="33">
        <f>案件入力!M168</f>
        <v/>
      </c>
      <c r="N168" s="31">
        <f>案件入力!N168</f>
        <v/>
      </c>
      <c r="O168" s="31">
        <f>案件入力!O168</f>
        <v/>
      </c>
      <c r="P168" s="31">
        <f>案件入力!P168</f>
        <v/>
      </c>
    </row>
    <row r="169">
      <c r="A169" s="31">
        <f>案件入力!A169</f>
        <v/>
      </c>
      <c r="B169" s="32">
        <f>案件入力!B169</f>
        <v/>
      </c>
      <c r="C169" s="33">
        <f>案件入力!C169</f>
        <v/>
      </c>
      <c r="D169" s="31">
        <f>案件入力!D169</f>
        <v/>
      </c>
      <c r="E169" s="31">
        <f>案件入力!E169</f>
        <v/>
      </c>
      <c r="F169" s="31">
        <f>案件入力!F169</f>
        <v/>
      </c>
      <c r="G169" s="34">
        <f>案件入力!G169</f>
        <v/>
      </c>
      <c r="H169" s="34">
        <f>案件入力!H169</f>
        <v/>
      </c>
      <c r="I169" s="32">
        <f>案件入力!I169</f>
        <v/>
      </c>
      <c r="J169" s="34">
        <f>案件入力!J169</f>
        <v/>
      </c>
      <c r="K169" s="34">
        <f>案件入力!K169</f>
        <v/>
      </c>
      <c r="L169" s="32">
        <f>案件入力!L169</f>
        <v/>
      </c>
      <c r="M169" s="33">
        <f>案件入力!M169</f>
        <v/>
      </c>
      <c r="N169" s="31">
        <f>案件入力!N169</f>
        <v/>
      </c>
      <c r="O169" s="31">
        <f>案件入力!O169</f>
        <v/>
      </c>
      <c r="P169" s="31">
        <f>案件入力!P169</f>
        <v/>
      </c>
    </row>
    <row r="170">
      <c r="A170" s="31">
        <f>案件入力!A170</f>
        <v/>
      </c>
      <c r="B170" s="32">
        <f>案件入力!B170</f>
        <v/>
      </c>
      <c r="C170" s="33">
        <f>案件入力!C170</f>
        <v/>
      </c>
      <c r="D170" s="31">
        <f>案件入力!D170</f>
        <v/>
      </c>
      <c r="E170" s="31">
        <f>案件入力!E170</f>
        <v/>
      </c>
      <c r="F170" s="31">
        <f>案件入力!F170</f>
        <v/>
      </c>
      <c r="G170" s="34">
        <f>案件入力!G170</f>
        <v/>
      </c>
      <c r="H170" s="34">
        <f>案件入力!H170</f>
        <v/>
      </c>
      <c r="I170" s="32">
        <f>案件入力!I170</f>
        <v/>
      </c>
      <c r="J170" s="34">
        <f>案件入力!J170</f>
        <v/>
      </c>
      <c r="K170" s="34">
        <f>案件入力!K170</f>
        <v/>
      </c>
      <c r="L170" s="32">
        <f>案件入力!L170</f>
        <v/>
      </c>
      <c r="M170" s="33">
        <f>案件入力!M170</f>
        <v/>
      </c>
      <c r="N170" s="31">
        <f>案件入力!N170</f>
        <v/>
      </c>
      <c r="O170" s="31">
        <f>案件入力!O170</f>
        <v/>
      </c>
      <c r="P170" s="31">
        <f>案件入力!P170</f>
        <v/>
      </c>
    </row>
    <row r="171">
      <c r="A171" s="31">
        <f>案件入力!A171</f>
        <v/>
      </c>
      <c r="B171" s="32">
        <f>案件入力!B171</f>
        <v/>
      </c>
      <c r="C171" s="33">
        <f>案件入力!C171</f>
        <v/>
      </c>
      <c r="D171" s="31">
        <f>案件入力!D171</f>
        <v/>
      </c>
      <c r="E171" s="31">
        <f>案件入力!E171</f>
        <v/>
      </c>
      <c r="F171" s="31">
        <f>案件入力!F171</f>
        <v/>
      </c>
      <c r="G171" s="34">
        <f>案件入力!G171</f>
        <v/>
      </c>
      <c r="H171" s="34">
        <f>案件入力!H171</f>
        <v/>
      </c>
      <c r="I171" s="32">
        <f>案件入力!I171</f>
        <v/>
      </c>
      <c r="J171" s="34">
        <f>案件入力!J171</f>
        <v/>
      </c>
      <c r="K171" s="34">
        <f>案件入力!K171</f>
        <v/>
      </c>
      <c r="L171" s="32">
        <f>案件入力!L171</f>
        <v/>
      </c>
      <c r="M171" s="33">
        <f>案件入力!M171</f>
        <v/>
      </c>
      <c r="N171" s="31">
        <f>案件入力!N171</f>
        <v/>
      </c>
      <c r="O171" s="31">
        <f>案件入力!O171</f>
        <v/>
      </c>
      <c r="P171" s="31">
        <f>案件入力!P171</f>
        <v/>
      </c>
    </row>
    <row r="172">
      <c r="A172" s="31">
        <f>案件入力!A172</f>
        <v/>
      </c>
      <c r="B172" s="32">
        <f>案件入力!B172</f>
        <v/>
      </c>
      <c r="C172" s="33">
        <f>案件入力!C172</f>
        <v/>
      </c>
      <c r="D172" s="31">
        <f>案件入力!D172</f>
        <v/>
      </c>
      <c r="E172" s="31">
        <f>案件入力!E172</f>
        <v/>
      </c>
      <c r="F172" s="31">
        <f>案件入力!F172</f>
        <v/>
      </c>
      <c r="G172" s="34">
        <f>案件入力!G172</f>
        <v/>
      </c>
      <c r="H172" s="34">
        <f>案件入力!H172</f>
        <v/>
      </c>
      <c r="I172" s="32">
        <f>案件入力!I172</f>
        <v/>
      </c>
      <c r="J172" s="34">
        <f>案件入力!J172</f>
        <v/>
      </c>
      <c r="K172" s="34">
        <f>案件入力!K172</f>
        <v/>
      </c>
      <c r="L172" s="32">
        <f>案件入力!L172</f>
        <v/>
      </c>
      <c r="M172" s="33">
        <f>案件入力!M172</f>
        <v/>
      </c>
      <c r="N172" s="31">
        <f>案件入力!N172</f>
        <v/>
      </c>
      <c r="O172" s="31">
        <f>案件入力!O172</f>
        <v/>
      </c>
      <c r="P172" s="31">
        <f>案件入力!P172</f>
        <v/>
      </c>
    </row>
    <row r="173">
      <c r="A173" s="31">
        <f>案件入力!A173</f>
        <v/>
      </c>
      <c r="B173" s="32">
        <f>案件入力!B173</f>
        <v/>
      </c>
      <c r="C173" s="33">
        <f>案件入力!C173</f>
        <v/>
      </c>
      <c r="D173" s="31">
        <f>案件入力!D173</f>
        <v/>
      </c>
      <c r="E173" s="31">
        <f>案件入力!E173</f>
        <v/>
      </c>
      <c r="F173" s="31">
        <f>案件入力!F173</f>
        <v/>
      </c>
      <c r="G173" s="34">
        <f>案件入力!G173</f>
        <v/>
      </c>
      <c r="H173" s="34">
        <f>案件入力!H173</f>
        <v/>
      </c>
      <c r="I173" s="32">
        <f>案件入力!I173</f>
        <v/>
      </c>
      <c r="J173" s="34">
        <f>案件入力!J173</f>
        <v/>
      </c>
      <c r="K173" s="34">
        <f>案件入力!K173</f>
        <v/>
      </c>
      <c r="L173" s="32">
        <f>案件入力!L173</f>
        <v/>
      </c>
      <c r="M173" s="33">
        <f>案件入力!M173</f>
        <v/>
      </c>
      <c r="N173" s="31">
        <f>案件入力!N173</f>
        <v/>
      </c>
      <c r="O173" s="31">
        <f>案件入力!O173</f>
        <v/>
      </c>
      <c r="P173" s="31">
        <f>案件入力!P173</f>
        <v/>
      </c>
    </row>
    <row r="174">
      <c r="A174" s="31">
        <f>案件入力!A174</f>
        <v/>
      </c>
      <c r="B174" s="32">
        <f>案件入力!B174</f>
        <v/>
      </c>
      <c r="C174" s="33">
        <f>案件入力!C174</f>
        <v/>
      </c>
      <c r="D174" s="31">
        <f>案件入力!D174</f>
        <v/>
      </c>
      <c r="E174" s="31">
        <f>案件入力!E174</f>
        <v/>
      </c>
      <c r="F174" s="31">
        <f>案件入力!F174</f>
        <v/>
      </c>
      <c r="G174" s="34">
        <f>案件入力!G174</f>
        <v/>
      </c>
      <c r="H174" s="34">
        <f>案件入力!H174</f>
        <v/>
      </c>
      <c r="I174" s="32">
        <f>案件入力!I174</f>
        <v/>
      </c>
      <c r="J174" s="34">
        <f>案件入力!J174</f>
        <v/>
      </c>
      <c r="K174" s="34">
        <f>案件入力!K174</f>
        <v/>
      </c>
      <c r="L174" s="32">
        <f>案件入力!L174</f>
        <v/>
      </c>
      <c r="M174" s="33">
        <f>案件入力!M174</f>
        <v/>
      </c>
      <c r="N174" s="31">
        <f>案件入力!N174</f>
        <v/>
      </c>
      <c r="O174" s="31">
        <f>案件入力!O174</f>
        <v/>
      </c>
      <c r="P174" s="31">
        <f>案件入力!P174</f>
        <v/>
      </c>
    </row>
    <row r="175">
      <c r="A175" s="31">
        <f>案件入力!A175</f>
        <v/>
      </c>
      <c r="B175" s="32">
        <f>案件入力!B175</f>
        <v/>
      </c>
      <c r="C175" s="33">
        <f>案件入力!C175</f>
        <v/>
      </c>
      <c r="D175" s="31">
        <f>案件入力!D175</f>
        <v/>
      </c>
      <c r="E175" s="31">
        <f>案件入力!E175</f>
        <v/>
      </c>
      <c r="F175" s="31">
        <f>案件入力!F175</f>
        <v/>
      </c>
      <c r="G175" s="34">
        <f>案件入力!G175</f>
        <v/>
      </c>
      <c r="H175" s="34">
        <f>案件入力!H175</f>
        <v/>
      </c>
      <c r="I175" s="32">
        <f>案件入力!I175</f>
        <v/>
      </c>
      <c r="J175" s="34">
        <f>案件入力!J175</f>
        <v/>
      </c>
      <c r="K175" s="34">
        <f>案件入力!K175</f>
        <v/>
      </c>
      <c r="L175" s="32">
        <f>案件入力!L175</f>
        <v/>
      </c>
      <c r="M175" s="33">
        <f>案件入力!M175</f>
        <v/>
      </c>
      <c r="N175" s="31">
        <f>案件入力!N175</f>
        <v/>
      </c>
      <c r="O175" s="31">
        <f>案件入力!O175</f>
        <v/>
      </c>
      <c r="P175" s="31">
        <f>案件入力!P175</f>
        <v/>
      </c>
    </row>
    <row r="176">
      <c r="A176" s="31">
        <f>案件入力!A176</f>
        <v/>
      </c>
      <c r="B176" s="32">
        <f>案件入力!B176</f>
        <v/>
      </c>
      <c r="C176" s="33">
        <f>案件入力!C176</f>
        <v/>
      </c>
      <c r="D176" s="31">
        <f>案件入力!D176</f>
        <v/>
      </c>
      <c r="E176" s="31">
        <f>案件入力!E176</f>
        <v/>
      </c>
      <c r="F176" s="31">
        <f>案件入力!F176</f>
        <v/>
      </c>
      <c r="G176" s="34">
        <f>案件入力!G176</f>
        <v/>
      </c>
      <c r="H176" s="34">
        <f>案件入力!H176</f>
        <v/>
      </c>
      <c r="I176" s="32">
        <f>案件入力!I176</f>
        <v/>
      </c>
      <c r="J176" s="34">
        <f>案件入力!J176</f>
        <v/>
      </c>
      <c r="K176" s="34">
        <f>案件入力!K176</f>
        <v/>
      </c>
      <c r="L176" s="32">
        <f>案件入力!L176</f>
        <v/>
      </c>
      <c r="M176" s="33">
        <f>案件入力!M176</f>
        <v/>
      </c>
      <c r="N176" s="31">
        <f>案件入力!N176</f>
        <v/>
      </c>
      <c r="O176" s="31">
        <f>案件入力!O176</f>
        <v/>
      </c>
      <c r="P176" s="31">
        <f>案件入力!P176</f>
        <v/>
      </c>
    </row>
    <row r="177">
      <c r="A177" s="31">
        <f>案件入力!A177</f>
        <v/>
      </c>
      <c r="B177" s="32">
        <f>案件入力!B177</f>
        <v/>
      </c>
      <c r="C177" s="33">
        <f>案件入力!C177</f>
        <v/>
      </c>
      <c r="D177" s="31">
        <f>案件入力!D177</f>
        <v/>
      </c>
      <c r="E177" s="31">
        <f>案件入力!E177</f>
        <v/>
      </c>
      <c r="F177" s="31">
        <f>案件入力!F177</f>
        <v/>
      </c>
      <c r="G177" s="34">
        <f>案件入力!G177</f>
        <v/>
      </c>
      <c r="H177" s="34">
        <f>案件入力!H177</f>
        <v/>
      </c>
      <c r="I177" s="32">
        <f>案件入力!I177</f>
        <v/>
      </c>
      <c r="J177" s="34">
        <f>案件入力!J177</f>
        <v/>
      </c>
      <c r="K177" s="34">
        <f>案件入力!K177</f>
        <v/>
      </c>
      <c r="L177" s="32">
        <f>案件入力!L177</f>
        <v/>
      </c>
      <c r="M177" s="33">
        <f>案件入力!M177</f>
        <v/>
      </c>
      <c r="N177" s="31">
        <f>案件入力!N177</f>
        <v/>
      </c>
      <c r="O177" s="31">
        <f>案件入力!O177</f>
        <v/>
      </c>
      <c r="P177" s="31">
        <f>案件入力!P177</f>
        <v/>
      </c>
    </row>
    <row r="178">
      <c r="A178" s="31">
        <f>案件入力!A178</f>
        <v/>
      </c>
      <c r="B178" s="32">
        <f>案件入力!B178</f>
        <v/>
      </c>
      <c r="C178" s="33">
        <f>案件入力!C178</f>
        <v/>
      </c>
      <c r="D178" s="31">
        <f>案件入力!D178</f>
        <v/>
      </c>
      <c r="E178" s="31">
        <f>案件入力!E178</f>
        <v/>
      </c>
      <c r="F178" s="31">
        <f>案件入力!F178</f>
        <v/>
      </c>
      <c r="G178" s="34">
        <f>案件入力!G178</f>
        <v/>
      </c>
      <c r="H178" s="34">
        <f>案件入力!H178</f>
        <v/>
      </c>
      <c r="I178" s="32">
        <f>案件入力!I178</f>
        <v/>
      </c>
      <c r="J178" s="34">
        <f>案件入力!J178</f>
        <v/>
      </c>
      <c r="K178" s="34">
        <f>案件入力!K178</f>
        <v/>
      </c>
      <c r="L178" s="32">
        <f>案件入力!L178</f>
        <v/>
      </c>
      <c r="M178" s="33">
        <f>案件入力!M178</f>
        <v/>
      </c>
      <c r="N178" s="31">
        <f>案件入力!N178</f>
        <v/>
      </c>
      <c r="O178" s="31">
        <f>案件入力!O178</f>
        <v/>
      </c>
      <c r="P178" s="31">
        <f>案件入力!P178</f>
        <v/>
      </c>
    </row>
    <row r="179">
      <c r="A179" s="31">
        <f>案件入力!A179</f>
        <v/>
      </c>
      <c r="B179" s="32">
        <f>案件入力!B179</f>
        <v/>
      </c>
      <c r="C179" s="33">
        <f>案件入力!C179</f>
        <v/>
      </c>
      <c r="D179" s="31">
        <f>案件入力!D179</f>
        <v/>
      </c>
      <c r="E179" s="31">
        <f>案件入力!E179</f>
        <v/>
      </c>
      <c r="F179" s="31">
        <f>案件入力!F179</f>
        <v/>
      </c>
      <c r="G179" s="34">
        <f>案件入力!G179</f>
        <v/>
      </c>
      <c r="H179" s="34">
        <f>案件入力!H179</f>
        <v/>
      </c>
      <c r="I179" s="32">
        <f>案件入力!I179</f>
        <v/>
      </c>
      <c r="J179" s="34">
        <f>案件入力!J179</f>
        <v/>
      </c>
      <c r="K179" s="34">
        <f>案件入力!K179</f>
        <v/>
      </c>
      <c r="L179" s="32">
        <f>案件入力!L179</f>
        <v/>
      </c>
      <c r="M179" s="33">
        <f>案件入力!M179</f>
        <v/>
      </c>
      <c r="N179" s="31">
        <f>案件入力!N179</f>
        <v/>
      </c>
      <c r="O179" s="31">
        <f>案件入力!O179</f>
        <v/>
      </c>
      <c r="P179" s="31">
        <f>案件入力!P179</f>
        <v/>
      </c>
    </row>
    <row r="180">
      <c r="A180" s="31">
        <f>案件入力!A180</f>
        <v/>
      </c>
      <c r="B180" s="32">
        <f>案件入力!B180</f>
        <v/>
      </c>
      <c r="C180" s="33">
        <f>案件入力!C180</f>
        <v/>
      </c>
      <c r="D180" s="31">
        <f>案件入力!D180</f>
        <v/>
      </c>
      <c r="E180" s="31">
        <f>案件入力!E180</f>
        <v/>
      </c>
      <c r="F180" s="31">
        <f>案件入力!F180</f>
        <v/>
      </c>
      <c r="G180" s="34">
        <f>案件入力!G180</f>
        <v/>
      </c>
      <c r="H180" s="34">
        <f>案件入力!H180</f>
        <v/>
      </c>
      <c r="I180" s="32">
        <f>案件入力!I180</f>
        <v/>
      </c>
      <c r="J180" s="34">
        <f>案件入力!J180</f>
        <v/>
      </c>
      <c r="K180" s="34">
        <f>案件入力!K180</f>
        <v/>
      </c>
      <c r="L180" s="32">
        <f>案件入力!L180</f>
        <v/>
      </c>
      <c r="M180" s="33">
        <f>案件入力!M180</f>
        <v/>
      </c>
      <c r="N180" s="31">
        <f>案件入力!N180</f>
        <v/>
      </c>
      <c r="O180" s="31">
        <f>案件入力!O180</f>
        <v/>
      </c>
      <c r="P180" s="31">
        <f>案件入力!P180</f>
        <v/>
      </c>
    </row>
    <row r="181">
      <c r="A181" s="31">
        <f>案件入力!A181</f>
        <v/>
      </c>
      <c r="B181" s="32">
        <f>案件入力!B181</f>
        <v/>
      </c>
      <c r="C181" s="33">
        <f>案件入力!C181</f>
        <v/>
      </c>
      <c r="D181" s="31">
        <f>案件入力!D181</f>
        <v/>
      </c>
      <c r="E181" s="31">
        <f>案件入力!E181</f>
        <v/>
      </c>
      <c r="F181" s="31">
        <f>案件入力!F181</f>
        <v/>
      </c>
      <c r="G181" s="34">
        <f>案件入力!G181</f>
        <v/>
      </c>
      <c r="H181" s="34">
        <f>案件入力!H181</f>
        <v/>
      </c>
      <c r="I181" s="32">
        <f>案件入力!I181</f>
        <v/>
      </c>
      <c r="J181" s="34">
        <f>案件入力!J181</f>
        <v/>
      </c>
      <c r="K181" s="34">
        <f>案件入力!K181</f>
        <v/>
      </c>
      <c r="L181" s="32">
        <f>案件入力!L181</f>
        <v/>
      </c>
      <c r="M181" s="33">
        <f>案件入力!M181</f>
        <v/>
      </c>
      <c r="N181" s="31">
        <f>案件入力!N181</f>
        <v/>
      </c>
      <c r="O181" s="31">
        <f>案件入力!O181</f>
        <v/>
      </c>
      <c r="P181" s="31">
        <f>案件入力!P181</f>
        <v/>
      </c>
    </row>
    <row r="182">
      <c r="A182" s="31">
        <f>案件入力!A182</f>
        <v/>
      </c>
      <c r="B182" s="32">
        <f>案件入力!B182</f>
        <v/>
      </c>
      <c r="C182" s="33">
        <f>案件入力!C182</f>
        <v/>
      </c>
      <c r="D182" s="31">
        <f>案件入力!D182</f>
        <v/>
      </c>
      <c r="E182" s="31">
        <f>案件入力!E182</f>
        <v/>
      </c>
      <c r="F182" s="31">
        <f>案件入力!F182</f>
        <v/>
      </c>
      <c r="G182" s="34">
        <f>案件入力!G182</f>
        <v/>
      </c>
      <c r="H182" s="34">
        <f>案件入力!H182</f>
        <v/>
      </c>
      <c r="I182" s="32">
        <f>案件入力!I182</f>
        <v/>
      </c>
      <c r="J182" s="34">
        <f>案件入力!J182</f>
        <v/>
      </c>
      <c r="K182" s="34">
        <f>案件入力!K182</f>
        <v/>
      </c>
      <c r="L182" s="32">
        <f>案件入力!L182</f>
        <v/>
      </c>
      <c r="M182" s="33">
        <f>案件入力!M182</f>
        <v/>
      </c>
      <c r="N182" s="31">
        <f>案件入力!N182</f>
        <v/>
      </c>
      <c r="O182" s="31">
        <f>案件入力!O182</f>
        <v/>
      </c>
      <c r="P182" s="31">
        <f>案件入力!P182</f>
        <v/>
      </c>
    </row>
    <row r="183">
      <c r="A183" s="31">
        <f>案件入力!A183</f>
        <v/>
      </c>
      <c r="B183" s="32">
        <f>案件入力!B183</f>
        <v/>
      </c>
      <c r="C183" s="33">
        <f>案件入力!C183</f>
        <v/>
      </c>
      <c r="D183" s="31">
        <f>案件入力!D183</f>
        <v/>
      </c>
      <c r="E183" s="31">
        <f>案件入力!E183</f>
        <v/>
      </c>
      <c r="F183" s="31">
        <f>案件入力!F183</f>
        <v/>
      </c>
      <c r="G183" s="34">
        <f>案件入力!G183</f>
        <v/>
      </c>
      <c r="H183" s="34">
        <f>案件入力!H183</f>
        <v/>
      </c>
      <c r="I183" s="32">
        <f>案件入力!I183</f>
        <v/>
      </c>
      <c r="J183" s="34">
        <f>案件入力!J183</f>
        <v/>
      </c>
      <c r="K183" s="34">
        <f>案件入力!K183</f>
        <v/>
      </c>
      <c r="L183" s="32">
        <f>案件入力!L183</f>
        <v/>
      </c>
      <c r="M183" s="33">
        <f>案件入力!M183</f>
        <v/>
      </c>
      <c r="N183" s="31">
        <f>案件入力!N183</f>
        <v/>
      </c>
      <c r="O183" s="31">
        <f>案件入力!O183</f>
        <v/>
      </c>
      <c r="P183" s="31">
        <f>案件入力!P183</f>
        <v/>
      </c>
    </row>
    <row r="184">
      <c r="A184" s="31">
        <f>案件入力!A184</f>
        <v/>
      </c>
      <c r="B184" s="32">
        <f>案件入力!B184</f>
        <v/>
      </c>
      <c r="C184" s="33">
        <f>案件入力!C184</f>
        <v/>
      </c>
      <c r="D184" s="31">
        <f>案件入力!D184</f>
        <v/>
      </c>
      <c r="E184" s="31">
        <f>案件入力!E184</f>
        <v/>
      </c>
      <c r="F184" s="31">
        <f>案件入力!F184</f>
        <v/>
      </c>
      <c r="G184" s="34">
        <f>案件入力!G184</f>
        <v/>
      </c>
      <c r="H184" s="34">
        <f>案件入力!H184</f>
        <v/>
      </c>
      <c r="I184" s="32">
        <f>案件入力!I184</f>
        <v/>
      </c>
      <c r="J184" s="34">
        <f>案件入力!J184</f>
        <v/>
      </c>
      <c r="K184" s="34">
        <f>案件入力!K184</f>
        <v/>
      </c>
      <c r="L184" s="32">
        <f>案件入力!L184</f>
        <v/>
      </c>
      <c r="M184" s="33">
        <f>案件入力!M184</f>
        <v/>
      </c>
      <c r="N184" s="31">
        <f>案件入力!N184</f>
        <v/>
      </c>
      <c r="O184" s="31">
        <f>案件入力!O184</f>
        <v/>
      </c>
      <c r="P184" s="31">
        <f>案件入力!P184</f>
        <v/>
      </c>
    </row>
    <row r="185">
      <c r="A185" s="31">
        <f>案件入力!A185</f>
        <v/>
      </c>
      <c r="B185" s="32">
        <f>案件入力!B185</f>
        <v/>
      </c>
      <c r="C185" s="33">
        <f>案件入力!C185</f>
        <v/>
      </c>
      <c r="D185" s="31">
        <f>案件入力!D185</f>
        <v/>
      </c>
      <c r="E185" s="31">
        <f>案件入力!E185</f>
        <v/>
      </c>
      <c r="F185" s="31">
        <f>案件入力!F185</f>
        <v/>
      </c>
      <c r="G185" s="34">
        <f>案件入力!G185</f>
        <v/>
      </c>
      <c r="H185" s="34">
        <f>案件入力!H185</f>
        <v/>
      </c>
      <c r="I185" s="32">
        <f>案件入力!I185</f>
        <v/>
      </c>
      <c r="J185" s="34">
        <f>案件入力!J185</f>
        <v/>
      </c>
      <c r="K185" s="34">
        <f>案件入力!K185</f>
        <v/>
      </c>
      <c r="L185" s="32">
        <f>案件入力!L185</f>
        <v/>
      </c>
      <c r="M185" s="33">
        <f>案件入力!M185</f>
        <v/>
      </c>
      <c r="N185" s="31">
        <f>案件入力!N185</f>
        <v/>
      </c>
      <c r="O185" s="31">
        <f>案件入力!O185</f>
        <v/>
      </c>
      <c r="P185" s="31">
        <f>案件入力!P185</f>
        <v/>
      </c>
    </row>
    <row r="186">
      <c r="A186" s="31">
        <f>案件入力!A186</f>
        <v/>
      </c>
      <c r="B186" s="32">
        <f>案件入力!B186</f>
        <v/>
      </c>
      <c r="C186" s="33">
        <f>案件入力!C186</f>
        <v/>
      </c>
      <c r="D186" s="31">
        <f>案件入力!D186</f>
        <v/>
      </c>
      <c r="E186" s="31">
        <f>案件入力!E186</f>
        <v/>
      </c>
      <c r="F186" s="31">
        <f>案件入力!F186</f>
        <v/>
      </c>
      <c r="G186" s="34">
        <f>案件入力!G186</f>
        <v/>
      </c>
      <c r="H186" s="34">
        <f>案件入力!H186</f>
        <v/>
      </c>
      <c r="I186" s="32">
        <f>案件入力!I186</f>
        <v/>
      </c>
      <c r="J186" s="34">
        <f>案件入力!J186</f>
        <v/>
      </c>
      <c r="K186" s="34">
        <f>案件入力!K186</f>
        <v/>
      </c>
      <c r="L186" s="32">
        <f>案件入力!L186</f>
        <v/>
      </c>
      <c r="M186" s="33">
        <f>案件入力!M186</f>
        <v/>
      </c>
      <c r="N186" s="31">
        <f>案件入力!N186</f>
        <v/>
      </c>
      <c r="O186" s="31">
        <f>案件入力!O186</f>
        <v/>
      </c>
      <c r="P186" s="31">
        <f>案件入力!P186</f>
        <v/>
      </c>
    </row>
    <row r="187">
      <c r="A187" s="31">
        <f>案件入力!A187</f>
        <v/>
      </c>
      <c r="B187" s="32">
        <f>案件入力!B187</f>
        <v/>
      </c>
      <c r="C187" s="33">
        <f>案件入力!C187</f>
        <v/>
      </c>
      <c r="D187" s="31">
        <f>案件入力!D187</f>
        <v/>
      </c>
      <c r="E187" s="31">
        <f>案件入力!E187</f>
        <v/>
      </c>
      <c r="F187" s="31">
        <f>案件入力!F187</f>
        <v/>
      </c>
      <c r="G187" s="34">
        <f>案件入力!G187</f>
        <v/>
      </c>
      <c r="H187" s="34">
        <f>案件入力!H187</f>
        <v/>
      </c>
      <c r="I187" s="32">
        <f>案件入力!I187</f>
        <v/>
      </c>
      <c r="J187" s="34">
        <f>案件入力!J187</f>
        <v/>
      </c>
      <c r="K187" s="34">
        <f>案件入力!K187</f>
        <v/>
      </c>
      <c r="L187" s="32">
        <f>案件入力!L187</f>
        <v/>
      </c>
      <c r="M187" s="33">
        <f>案件入力!M187</f>
        <v/>
      </c>
      <c r="N187" s="31">
        <f>案件入力!N187</f>
        <v/>
      </c>
      <c r="O187" s="31">
        <f>案件入力!O187</f>
        <v/>
      </c>
      <c r="P187" s="31">
        <f>案件入力!P187</f>
        <v/>
      </c>
    </row>
    <row r="188">
      <c r="A188" s="31">
        <f>案件入力!A188</f>
        <v/>
      </c>
      <c r="B188" s="32">
        <f>案件入力!B188</f>
        <v/>
      </c>
      <c r="C188" s="33">
        <f>案件入力!C188</f>
        <v/>
      </c>
      <c r="D188" s="31">
        <f>案件入力!D188</f>
        <v/>
      </c>
      <c r="E188" s="31">
        <f>案件入力!E188</f>
        <v/>
      </c>
      <c r="F188" s="31">
        <f>案件入力!F188</f>
        <v/>
      </c>
      <c r="G188" s="34">
        <f>案件入力!G188</f>
        <v/>
      </c>
      <c r="H188" s="34">
        <f>案件入力!H188</f>
        <v/>
      </c>
      <c r="I188" s="32">
        <f>案件入力!I188</f>
        <v/>
      </c>
      <c r="J188" s="34">
        <f>案件入力!J188</f>
        <v/>
      </c>
      <c r="K188" s="34">
        <f>案件入力!K188</f>
        <v/>
      </c>
      <c r="L188" s="32">
        <f>案件入力!L188</f>
        <v/>
      </c>
      <c r="M188" s="33">
        <f>案件入力!M188</f>
        <v/>
      </c>
      <c r="N188" s="31">
        <f>案件入力!N188</f>
        <v/>
      </c>
      <c r="O188" s="31">
        <f>案件入力!O188</f>
        <v/>
      </c>
      <c r="P188" s="31">
        <f>案件入力!P188</f>
        <v/>
      </c>
    </row>
    <row r="189">
      <c r="A189" s="31">
        <f>案件入力!A189</f>
        <v/>
      </c>
      <c r="B189" s="32">
        <f>案件入力!B189</f>
        <v/>
      </c>
      <c r="C189" s="33">
        <f>案件入力!C189</f>
        <v/>
      </c>
      <c r="D189" s="31">
        <f>案件入力!D189</f>
        <v/>
      </c>
      <c r="E189" s="31">
        <f>案件入力!E189</f>
        <v/>
      </c>
      <c r="F189" s="31">
        <f>案件入力!F189</f>
        <v/>
      </c>
      <c r="G189" s="34">
        <f>案件入力!G189</f>
        <v/>
      </c>
      <c r="H189" s="34">
        <f>案件入力!H189</f>
        <v/>
      </c>
      <c r="I189" s="32">
        <f>案件入力!I189</f>
        <v/>
      </c>
      <c r="J189" s="34">
        <f>案件入力!J189</f>
        <v/>
      </c>
      <c r="K189" s="34">
        <f>案件入力!K189</f>
        <v/>
      </c>
      <c r="L189" s="32">
        <f>案件入力!L189</f>
        <v/>
      </c>
      <c r="M189" s="33">
        <f>案件入力!M189</f>
        <v/>
      </c>
      <c r="N189" s="31">
        <f>案件入力!N189</f>
        <v/>
      </c>
      <c r="O189" s="31">
        <f>案件入力!O189</f>
        <v/>
      </c>
      <c r="P189" s="31">
        <f>案件入力!P189</f>
        <v/>
      </c>
    </row>
    <row r="190">
      <c r="A190" s="31">
        <f>案件入力!A190</f>
        <v/>
      </c>
      <c r="B190" s="32">
        <f>案件入力!B190</f>
        <v/>
      </c>
      <c r="C190" s="33">
        <f>案件入力!C190</f>
        <v/>
      </c>
      <c r="D190" s="31">
        <f>案件入力!D190</f>
        <v/>
      </c>
      <c r="E190" s="31">
        <f>案件入力!E190</f>
        <v/>
      </c>
      <c r="F190" s="31">
        <f>案件入力!F190</f>
        <v/>
      </c>
      <c r="G190" s="34">
        <f>案件入力!G190</f>
        <v/>
      </c>
      <c r="H190" s="34">
        <f>案件入力!H190</f>
        <v/>
      </c>
      <c r="I190" s="32">
        <f>案件入力!I190</f>
        <v/>
      </c>
      <c r="J190" s="34">
        <f>案件入力!J190</f>
        <v/>
      </c>
      <c r="K190" s="34">
        <f>案件入力!K190</f>
        <v/>
      </c>
      <c r="L190" s="32">
        <f>案件入力!L190</f>
        <v/>
      </c>
      <c r="M190" s="33">
        <f>案件入力!M190</f>
        <v/>
      </c>
      <c r="N190" s="31">
        <f>案件入力!N190</f>
        <v/>
      </c>
      <c r="O190" s="31">
        <f>案件入力!O190</f>
        <v/>
      </c>
      <c r="P190" s="31">
        <f>案件入力!P190</f>
        <v/>
      </c>
    </row>
    <row r="191">
      <c r="A191" s="31">
        <f>案件入力!A191</f>
        <v/>
      </c>
      <c r="B191" s="32">
        <f>案件入力!B191</f>
        <v/>
      </c>
      <c r="C191" s="33">
        <f>案件入力!C191</f>
        <v/>
      </c>
      <c r="D191" s="31">
        <f>案件入力!D191</f>
        <v/>
      </c>
      <c r="E191" s="31">
        <f>案件入力!E191</f>
        <v/>
      </c>
      <c r="F191" s="31">
        <f>案件入力!F191</f>
        <v/>
      </c>
      <c r="G191" s="34">
        <f>案件入力!G191</f>
        <v/>
      </c>
      <c r="H191" s="34">
        <f>案件入力!H191</f>
        <v/>
      </c>
      <c r="I191" s="32">
        <f>案件入力!I191</f>
        <v/>
      </c>
      <c r="J191" s="34">
        <f>案件入力!J191</f>
        <v/>
      </c>
      <c r="K191" s="34">
        <f>案件入力!K191</f>
        <v/>
      </c>
      <c r="L191" s="32">
        <f>案件入力!L191</f>
        <v/>
      </c>
      <c r="M191" s="33">
        <f>案件入力!M191</f>
        <v/>
      </c>
      <c r="N191" s="31">
        <f>案件入力!N191</f>
        <v/>
      </c>
      <c r="O191" s="31">
        <f>案件入力!O191</f>
        <v/>
      </c>
      <c r="P191" s="31">
        <f>案件入力!P191</f>
        <v/>
      </c>
    </row>
    <row r="192">
      <c r="A192" s="31">
        <f>案件入力!A192</f>
        <v/>
      </c>
      <c r="B192" s="32">
        <f>案件入力!B192</f>
        <v/>
      </c>
      <c r="C192" s="33">
        <f>案件入力!C192</f>
        <v/>
      </c>
      <c r="D192" s="31">
        <f>案件入力!D192</f>
        <v/>
      </c>
      <c r="E192" s="31">
        <f>案件入力!E192</f>
        <v/>
      </c>
      <c r="F192" s="31">
        <f>案件入力!F192</f>
        <v/>
      </c>
      <c r="G192" s="34">
        <f>案件入力!G192</f>
        <v/>
      </c>
      <c r="H192" s="34">
        <f>案件入力!H192</f>
        <v/>
      </c>
      <c r="I192" s="32">
        <f>案件入力!I192</f>
        <v/>
      </c>
      <c r="J192" s="34">
        <f>案件入力!J192</f>
        <v/>
      </c>
      <c r="K192" s="34">
        <f>案件入力!K192</f>
        <v/>
      </c>
      <c r="L192" s="32">
        <f>案件入力!L192</f>
        <v/>
      </c>
      <c r="M192" s="33">
        <f>案件入力!M192</f>
        <v/>
      </c>
      <c r="N192" s="31">
        <f>案件入力!N192</f>
        <v/>
      </c>
      <c r="O192" s="31">
        <f>案件入力!O192</f>
        <v/>
      </c>
      <c r="P192" s="31">
        <f>案件入力!P192</f>
        <v/>
      </c>
    </row>
    <row r="193">
      <c r="A193" s="31">
        <f>案件入力!A193</f>
        <v/>
      </c>
      <c r="B193" s="32">
        <f>案件入力!B193</f>
        <v/>
      </c>
      <c r="C193" s="33">
        <f>案件入力!C193</f>
        <v/>
      </c>
      <c r="D193" s="31">
        <f>案件入力!D193</f>
        <v/>
      </c>
      <c r="E193" s="31">
        <f>案件入力!E193</f>
        <v/>
      </c>
      <c r="F193" s="31">
        <f>案件入力!F193</f>
        <v/>
      </c>
      <c r="G193" s="34">
        <f>案件入力!G193</f>
        <v/>
      </c>
      <c r="H193" s="34">
        <f>案件入力!H193</f>
        <v/>
      </c>
      <c r="I193" s="32">
        <f>案件入力!I193</f>
        <v/>
      </c>
      <c r="J193" s="34">
        <f>案件入力!J193</f>
        <v/>
      </c>
      <c r="K193" s="34">
        <f>案件入力!K193</f>
        <v/>
      </c>
      <c r="L193" s="32">
        <f>案件入力!L193</f>
        <v/>
      </c>
      <c r="M193" s="33">
        <f>案件入力!M193</f>
        <v/>
      </c>
      <c r="N193" s="31">
        <f>案件入力!N193</f>
        <v/>
      </c>
      <c r="O193" s="31">
        <f>案件入力!O193</f>
        <v/>
      </c>
      <c r="P193" s="31">
        <f>案件入力!P193</f>
        <v/>
      </c>
    </row>
    <row r="194">
      <c r="A194" s="31">
        <f>案件入力!A194</f>
        <v/>
      </c>
      <c r="B194" s="32">
        <f>案件入力!B194</f>
        <v/>
      </c>
      <c r="C194" s="33">
        <f>案件入力!C194</f>
        <v/>
      </c>
      <c r="D194" s="31">
        <f>案件入力!D194</f>
        <v/>
      </c>
      <c r="E194" s="31">
        <f>案件入力!E194</f>
        <v/>
      </c>
      <c r="F194" s="31">
        <f>案件入力!F194</f>
        <v/>
      </c>
      <c r="G194" s="34">
        <f>案件入力!G194</f>
        <v/>
      </c>
      <c r="H194" s="34">
        <f>案件入力!H194</f>
        <v/>
      </c>
      <c r="I194" s="32">
        <f>案件入力!I194</f>
        <v/>
      </c>
      <c r="J194" s="34">
        <f>案件入力!J194</f>
        <v/>
      </c>
      <c r="K194" s="34">
        <f>案件入力!K194</f>
        <v/>
      </c>
      <c r="L194" s="32">
        <f>案件入力!L194</f>
        <v/>
      </c>
      <c r="M194" s="33">
        <f>案件入力!M194</f>
        <v/>
      </c>
      <c r="N194" s="31">
        <f>案件入力!N194</f>
        <v/>
      </c>
      <c r="O194" s="31">
        <f>案件入力!O194</f>
        <v/>
      </c>
      <c r="P194" s="31">
        <f>案件入力!P194</f>
        <v/>
      </c>
    </row>
    <row r="195">
      <c r="A195" s="31">
        <f>案件入力!A195</f>
        <v/>
      </c>
      <c r="B195" s="32">
        <f>案件入力!B195</f>
        <v/>
      </c>
      <c r="C195" s="33">
        <f>案件入力!C195</f>
        <v/>
      </c>
      <c r="D195" s="31">
        <f>案件入力!D195</f>
        <v/>
      </c>
      <c r="E195" s="31">
        <f>案件入力!E195</f>
        <v/>
      </c>
      <c r="F195" s="31">
        <f>案件入力!F195</f>
        <v/>
      </c>
      <c r="G195" s="34">
        <f>案件入力!G195</f>
        <v/>
      </c>
      <c r="H195" s="34">
        <f>案件入力!H195</f>
        <v/>
      </c>
      <c r="I195" s="32">
        <f>案件入力!I195</f>
        <v/>
      </c>
      <c r="J195" s="34">
        <f>案件入力!J195</f>
        <v/>
      </c>
      <c r="K195" s="34">
        <f>案件入力!K195</f>
        <v/>
      </c>
      <c r="L195" s="32">
        <f>案件入力!L195</f>
        <v/>
      </c>
      <c r="M195" s="33">
        <f>案件入力!M195</f>
        <v/>
      </c>
      <c r="N195" s="31">
        <f>案件入力!N195</f>
        <v/>
      </c>
      <c r="O195" s="31">
        <f>案件入力!O195</f>
        <v/>
      </c>
      <c r="P195" s="31">
        <f>案件入力!P195</f>
        <v/>
      </c>
    </row>
    <row r="196">
      <c r="A196" s="31">
        <f>案件入力!A196</f>
        <v/>
      </c>
      <c r="B196" s="32">
        <f>案件入力!B196</f>
        <v/>
      </c>
      <c r="C196" s="33">
        <f>案件入力!C196</f>
        <v/>
      </c>
      <c r="D196" s="31">
        <f>案件入力!D196</f>
        <v/>
      </c>
      <c r="E196" s="31">
        <f>案件入力!E196</f>
        <v/>
      </c>
      <c r="F196" s="31">
        <f>案件入力!F196</f>
        <v/>
      </c>
      <c r="G196" s="34">
        <f>案件入力!G196</f>
        <v/>
      </c>
      <c r="H196" s="34">
        <f>案件入力!H196</f>
        <v/>
      </c>
      <c r="I196" s="32">
        <f>案件入力!I196</f>
        <v/>
      </c>
      <c r="J196" s="34">
        <f>案件入力!J196</f>
        <v/>
      </c>
      <c r="K196" s="34">
        <f>案件入力!K196</f>
        <v/>
      </c>
      <c r="L196" s="32">
        <f>案件入力!L196</f>
        <v/>
      </c>
      <c r="M196" s="33">
        <f>案件入力!M196</f>
        <v/>
      </c>
      <c r="N196" s="31">
        <f>案件入力!N196</f>
        <v/>
      </c>
      <c r="O196" s="31">
        <f>案件入力!O196</f>
        <v/>
      </c>
      <c r="P196" s="31">
        <f>案件入力!P196</f>
        <v/>
      </c>
    </row>
    <row r="197">
      <c r="A197" s="31">
        <f>案件入力!A197</f>
        <v/>
      </c>
      <c r="B197" s="32">
        <f>案件入力!B197</f>
        <v/>
      </c>
      <c r="C197" s="33">
        <f>案件入力!C197</f>
        <v/>
      </c>
      <c r="D197" s="31">
        <f>案件入力!D197</f>
        <v/>
      </c>
      <c r="E197" s="31">
        <f>案件入力!E197</f>
        <v/>
      </c>
      <c r="F197" s="31">
        <f>案件入力!F197</f>
        <v/>
      </c>
      <c r="G197" s="34">
        <f>案件入力!G197</f>
        <v/>
      </c>
      <c r="H197" s="34">
        <f>案件入力!H197</f>
        <v/>
      </c>
      <c r="I197" s="32">
        <f>案件入力!I197</f>
        <v/>
      </c>
      <c r="J197" s="34">
        <f>案件入力!J197</f>
        <v/>
      </c>
      <c r="K197" s="34">
        <f>案件入力!K197</f>
        <v/>
      </c>
      <c r="L197" s="32">
        <f>案件入力!L197</f>
        <v/>
      </c>
      <c r="M197" s="33">
        <f>案件入力!M197</f>
        <v/>
      </c>
      <c r="N197" s="31">
        <f>案件入力!N197</f>
        <v/>
      </c>
      <c r="O197" s="31">
        <f>案件入力!O197</f>
        <v/>
      </c>
      <c r="P197" s="31">
        <f>案件入力!P197</f>
        <v/>
      </c>
    </row>
    <row r="198">
      <c r="A198" s="31">
        <f>案件入力!A198</f>
        <v/>
      </c>
      <c r="B198" s="32">
        <f>案件入力!B198</f>
        <v/>
      </c>
      <c r="C198" s="33">
        <f>案件入力!C198</f>
        <v/>
      </c>
      <c r="D198" s="31">
        <f>案件入力!D198</f>
        <v/>
      </c>
      <c r="E198" s="31">
        <f>案件入力!E198</f>
        <v/>
      </c>
      <c r="F198" s="31">
        <f>案件入力!F198</f>
        <v/>
      </c>
      <c r="G198" s="34">
        <f>案件入力!G198</f>
        <v/>
      </c>
      <c r="H198" s="34">
        <f>案件入力!H198</f>
        <v/>
      </c>
      <c r="I198" s="32">
        <f>案件入力!I198</f>
        <v/>
      </c>
      <c r="J198" s="34">
        <f>案件入力!J198</f>
        <v/>
      </c>
      <c r="K198" s="34">
        <f>案件入力!K198</f>
        <v/>
      </c>
      <c r="L198" s="32">
        <f>案件入力!L198</f>
        <v/>
      </c>
      <c r="M198" s="33">
        <f>案件入力!M198</f>
        <v/>
      </c>
      <c r="N198" s="31">
        <f>案件入力!N198</f>
        <v/>
      </c>
      <c r="O198" s="31">
        <f>案件入力!O198</f>
        <v/>
      </c>
      <c r="P198" s="31">
        <f>案件入力!P198</f>
        <v/>
      </c>
    </row>
    <row r="199">
      <c r="A199" s="31">
        <f>案件入力!A199</f>
        <v/>
      </c>
      <c r="B199" s="32">
        <f>案件入力!B199</f>
        <v/>
      </c>
      <c r="C199" s="33">
        <f>案件入力!C199</f>
        <v/>
      </c>
      <c r="D199" s="31">
        <f>案件入力!D199</f>
        <v/>
      </c>
      <c r="E199" s="31">
        <f>案件入力!E199</f>
        <v/>
      </c>
      <c r="F199" s="31">
        <f>案件入力!F199</f>
        <v/>
      </c>
      <c r="G199" s="34">
        <f>案件入力!G199</f>
        <v/>
      </c>
      <c r="H199" s="34">
        <f>案件入力!H199</f>
        <v/>
      </c>
      <c r="I199" s="32">
        <f>案件入力!I199</f>
        <v/>
      </c>
      <c r="J199" s="34">
        <f>案件入力!J199</f>
        <v/>
      </c>
      <c r="K199" s="34">
        <f>案件入力!K199</f>
        <v/>
      </c>
      <c r="L199" s="32">
        <f>案件入力!L199</f>
        <v/>
      </c>
      <c r="M199" s="33">
        <f>案件入力!M199</f>
        <v/>
      </c>
      <c r="N199" s="31">
        <f>案件入力!N199</f>
        <v/>
      </c>
      <c r="O199" s="31">
        <f>案件入力!O199</f>
        <v/>
      </c>
      <c r="P199" s="31">
        <f>案件入力!P199</f>
        <v/>
      </c>
    </row>
    <row r="200">
      <c r="A200" s="31">
        <f>案件入力!A200</f>
        <v/>
      </c>
      <c r="B200" s="32">
        <f>案件入力!B200</f>
        <v/>
      </c>
      <c r="C200" s="33">
        <f>案件入力!C200</f>
        <v/>
      </c>
      <c r="D200" s="31">
        <f>案件入力!D200</f>
        <v/>
      </c>
      <c r="E200" s="31">
        <f>案件入力!E200</f>
        <v/>
      </c>
      <c r="F200" s="31">
        <f>案件入力!F200</f>
        <v/>
      </c>
      <c r="G200" s="34">
        <f>案件入力!G200</f>
        <v/>
      </c>
      <c r="H200" s="34">
        <f>案件入力!H200</f>
        <v/>
      </c>
      <c r="I200" s="32">
        <f>案件入力!I200</f>
        <v/>
      </c>
      <c r="J200" s="34">
        <f>案件入力!J200</f>
        <v/>
      </c>
      <c r="K200" s="34">
        <f>案件入力!K200</f>
        <v/>
      </c>
      <c r="L200" s="32">
        <f>案件入力!L200</f>
        <v/>
      </c>
      <c r="M200" s="33">
        <f>案件入力!M200</f>
        <v/>
      </c>
      <c r="N200" s="31">
        <f>案件入力!N200</f>
        <v/>
      </c>
      <c r="O200" s="31">
        <f>案件入力!O200</f>
        <v/>
      </c>
      <c r="P200" s="31">
        <f>案件入力!P200</f>
        <v/>
      </c>
    </row>
    <row r="201">
      <c r="A201" s="31">
        <f>案件入力!A201</f>
        <v/>
      </c>
      <c r="B201" s="32">
        <f>案件入力!B201</f>
        <v/>
      </c>
      <c r="C201" s="33">
        <f>案件入力!C201</f>
        <v/>
      </c>
      <c r="D201" s="31">
        <f>案件入力!D201</f>
        <v/>
      </c>
      <c r="E201" s="31">
        <f>案件入力!E201</f>
        <v/>
      </c>
      <c r="F201" s="31">
        <f>案件入力!F201</f>
        <v/>
      </c>
      <c r="G201" s="34">
        <f>案件入力!G201</f>
        <v/>
      </c>
      <c r="H201" s="34">
        <f>案件入力!H201</f>
        <v/>
      </c>
      <c r="I201" s="32">
        <f>案件入力!I201</f>
        <v/>
      </c>
      <c r="J201" s="34">
        <f>案件入力!J201</f>
        <v/>
      </c>
      <c r="K201" s="34">
        <f>案件入力!K201</f>
        <v/>
      </c>
      <c r="L201" s="32">
        <f>案件入力!L201</f>
        <v/>
      </c>
      <c r="M201" s="33">
        <f>案件入力!M201</f>
        <v/>
      </c>
      <c r="N201" s="31">
        <f>案件入力!N201</f>
        <v/>
      </c>
      <c r="O201" s="31">
        <f>案件入力!O201</f>
        <v/>
      </c>
      <c r="P201" s="31">
        <f>案件入力!P201</f>
        <v/>
      </c>
    </row>
    <row r="202">
      <c r="A202" s="31">
        <f>案件入力!A202</f>
        <v/>
      </c>
      <c r="B202" s="32">
        <f>案件入力!B202</f>
        <v/>
      </c>
      <c r="C202" s="33">
        <f>案件入力!C202</f>
        <v/>
      </c>
      <c r="D202" s="31">
        <f>案件入力!D202</f>
        <v/>
      </c>
      <c r="E202" s="31">
        <f>案件入力!E202</f>
        <v/>
      </c>
      <c r="F202" s="31">
        <f>案件入力!F202</f>
        <v/>
      </c>
      <c r="G202" s="34">
        <f>案件入力!G202</f>
        <v/>
      </c>
      <c r="H202" s="34">
        <f>案件入力!H202</f>
        <v/>
      </c>
      <c r="I202" s="32">
        <f>案件入力!I202</f>
        <v/>
      </c>
      <c r="J202" s="34">
        <f>案件入力!J202</f>
        <v/>
      </c>
      <c r="K202" s="34">
        <f>案件入力!K202</f>
        <v/>
      </c>
      <c r="L202" s="32">
        <f>案件入力!L202</f>
        <v/>
      </c>
      <c r="M202" s="33">
        <f>案件入力!M202</f>
        <v/>
      </c>
      <c r="N202" s="31">
        <f>案件入力!N202</f>
        <v/>
      </c>
      <c r="O202" s="31">
        <f>案件入力!O202</f>
        <v/>
      </c>
      <c r="P202" s="31">
        <f>案件入力!P202</f>
        <v/>
      </c>
    </row>
    <row r="203">
      <c r="A203" s="31">
        <f>案件入力!A203</f>
        <v/>
      </c>
      <c r="B203" s="32">
        <f>案件入力!B203</f>
        <v/>
      </c>
      <c r="C203" s="33">
        <f>案件入力!C203</f>
        <v/>
      </c>
      <c r="D203" s="31">
        <f>案件入力!D203</f>
        <v/>
      </c>
      <c r="E203" s="31">
        <f>案件入力!E203</f>
        <v/>
      </c>
      <c r="F203" s="31">
        <f>案件入力!F203</f>
        <v/>
      </c>
      <c r="G203" s="34">
        <f>案件入力!G203</f>
        <v/>
      </c>
      <c r="H203" s="34">
        <f>案件入力!H203</f>
        <v/>
      </c>
      <c r="I203" s="32">
        <f>案件入力!I203</f>
        <v/>
      </c>
      <c r="J203" s="34">
        <f>案件入力!J203</f>
        <v/>
      </c>
      <c r="K203" s="34">
        <f>案件入力!K203</f>
        <v/>
      </c>
      <c r="L203" s="32">
        <f>案件入力!L203</f>
        <v/>
      </c>
      <c r="M203" s="33">
        <f>案件入力!M203</f>
        <v/>
      </c>
      <c r="N203" s="31">
        <f>案件入力!N203</f>
        <v/>
      </c>
      <c r="O203" s="31">
        <f>案件入力!O203</f>
        <v/>
      </c>
      <c r="P203" s="31">
        <f>案件入力!P203</f>
        <v/>
      </c>
    </row>
    <row r="204">
      <c r="A204" s="31">
        <f>案件入力!A204</f>
        <v/>
      </c>
      <c r="B204" s="32">
        <f>案件入力!B204</f>
        <v/>
      </c>
      <c r="C204" s="33">
        <f>案件入力!C204</f>
        <v/>
      </c>
      <c r="D204" s="31">
        <f>案件入力!D204</f>
        <v/>
      </c>
      <c r="E204" s="31">
        <f>案件入力!E204</f>
        <v/>
      </c>
      <c r="F204" s="31">
        <f>案件入力!F204</f>
        <v/>
      </c>
      <c r="G204" s="34">
        <f>案件入力!G204</f>
        <v/>
      </c>
      <c r="H204" s="34">
        <f>案件入力!H204</f>
        <v/>
      </c>
      <c r="I204" s="32">
        <f>案件入力!I204</f>
        <v/>
      </c>
      <c r="J204" s="34">
        <f>案件入力!J204</f>
        <v/>
      </c>
      <c r="K204" s="34">
        <f>案件入力!K204</f>
        <v/>
      </c>
      <c r="L204" s="32">
        <f>案件入力!L204</f>
        <v/>
      </c>
      <c r="M204" s="33">
        <f>案件入力!M204</f>
        <v/>
      </c>
      <c r="N204" s="31">
        <f>案件入力!N204</f>
        <v/>
      </c>
      <c r="O204" s="31">
        <f>案件入力!O204</f>
        <v/>
      </c>
      <c r="P204" s="31">
        <f>案件入力!P204</f>
        <v/>
      </c>
    </row>
    <row r="205">
      <c r="A205" s="31">
        <f>案件入力!A205</f>
        <v/>
      </c>
      <c r="B205" s="32">
        <f>案件入力!B205</f>
        <v/>
      </c>
      <c r="C205" s="33">
        <f>案件入力!C205</f>
        <v/>
      </c>
      <c r="D205" s="31">
        <f>案件入力!D205</f>
        <v/>
      </c>
      <c r="E205" s="31">
        <f>案件入力!E205</f>
        <v/>
      </c>
      <c r="F205" s="31">
        <f>案件入力!F205</f>
        <v/>
      </c>
      <c r="G205" s="34">
        <f>案件入力!G205</f>
        <v/>
      </c>
      <c r="H205" s="34">
        <f>案件入力!H205</f>
        <v/>
      </c>
      <c r="I205" s="32">
        <f>案件入力!I205</f>
        <v/>
      </c>
      <c r="J205" s="34">
        <f>案件入力!J205</f>
        <v/>
      </c>
      <c r="K205" s="34">
        <f>案件入力!K205</f>
        <v/>
      </c>
      <c r="L205" s="32">
        <f>案件入力!L205</f>
        <v/>
      </c>
      <c r="M205" s="33">
        <f>案件入力!M205</f>
        <v/>
      </c>
      <c r="N205" s="31">
        <f>案件入力!N205</f>
        <v/>
      </c>
      <c r="O205" s="31">
        <f>案件入力!O205</f>
        <v/>
      </c>
      <c r="P205" s="31">
        <f>案件入力!P205</f>
        <v/>
      </c>
    </row>
    <row r="206">
      <c r="A206" s="31">
        <f>案件入力!A206</f>
        <v/>
      </c>
      <c r="B206" s="32">
        <f>案件入力!B206</f>
        <v/>
      </c>
      <c r="C206" s="33">
        <f>案件入力!C206</f>
        <v/>
      </c>
      <c r="D206" s="31">
        <f>案件入力!D206</f>
        <v/>
      </c>
      <c r="E206" s="31">
        <f>案件入力!E206</f>
        <v/>
      </c>
      <c r="F206" s="31">
        <f>案件入力!F206</f>
        <v/>
      </c>
      <c r="G206" s="34">
        <f>案件入力!G206</f>
        <v/>
      </c>
      <c r="H206" s="34">
        <f>案件入力!H206</f>
        <v/>
      </c>
      <c r="I206" s="32">
        <f>案件入力!I206</f>
        <v/>
      </c>
      <c r="J206" s="34">
        <f>案件入力!J206</f>
        <v/>
      </c>
      <c r="K206" s="34">
        <f>案件入力!K206</f>
        <v/>
      </c>
      <c r="L206" s="32">
        <f>案件入力!L206</f>
        <v/>
      </c>
      <c r="M206" s="33">
        <f>案件入力!M206</f>
        <v/>
      </c>
      <c r="N206" s="31">
        <f>案件入力!N206</f>
        <v/>
      </c>
      <c r="O206" s="31">
        <f>案件入力!O206</f>
        <v/>
      </c>
      <c r="P206" s="31">
        <f>案件入力!P206</f>
        <v/>
      </c>
    </row>
    <row r="207">
      <c r="A207" s="31">
        <f>案件入力!A207</f>
        <v/>
      </c>
      <c r="B207" s="32">
        <f>案件入力!B207</f>
        <v/>
      </c>
      <c r="C207" s="33">
        <f>案件入力!C207</f>
        <v/>
      </c>
      <c r="D207" s="31">
        <f>案件入力!D207</f>
        <v/>
      </c>
      <c r="E207" s="31">
        <f>案件入力!E207</f>
        <v/>
      </c>
      <c r="F207" s="31">
        <f>案件入力!F207</f>
        <v/>
      </c>
      <c r="G207" s="34">
        <f>案件入力!G207</f>
        <v/>
      </c>
      <c r="H207" s="34">
        <f>案件入力!H207</f>
        <v/>
      </c>
      <c r="I207" s="32">
        <f>案件入力!I207</f>
        <v/>
      </c>
      <c r="J207" s="34">
        <f>案件入力!J207</f>
        <v/>
      </c>
      <c r="K207" s="34">
        <f>案件入力!K207</f>
        <v/>
      </c>
      <c r="L207" s="32">
        <f>案件入力!L207</f>
        <v/>
      </c>
      <c r="M207" s="33">
        <f>案件入力!M207</f>
        <v/>
      </c>
      <c r="N207" s="31">
        <f>案件入力!N207</f>
        <v/>
      </c>
      <c r="O207" s="31">
        <f>案件入力!O207</f>
        <v/>
      </c>
      <c r="P207" s="31">
        <f>案件入力!P207</f>
        <v/>
      </c>
    </row>
    <row r="208">
      <c r="A208" s="31">
        <f>案件入力!A208</f>
        <v/>
      </c>
      <c r="B208" s="32">
        <f>案件入力!B208</f>
        <v/>
      </c>
      <c r="C208" s="33">
        <f>案件入力!C208</f>
        <v/>
      </c>
      <c r="D208" s="31">
        <f>案件入力!D208</f>
        <v/>
      </c>
      <c r="E208" s="31">
        <f>案件入力!E208</f>
        <v/>
      </c>
      <c r="F208" s="31">
        <f>案件入力!F208</f>
        <v/>
      </c>
      <c r="G208" s="34">
        <f>案件入力!G208</f>
        <v/>
      </c>
      <c r="H208" s="34">
        <f>案件入力!H208</f>
        <v/>
      </c>
      <c r="I208" s="32">
        <f>案件入力!I208</f>
        <v/>
      </c>
      <c r="J208" s="34">
        <f>案件入力!J208</f>
        <v/>
      </c>
      <c r="K208" s="34">
        <f>案件入力!K208</f>
        <v/>
      </c>
      <c r="L208" s="32">
        <f>案件入力!L208</f>
        <v/>
      </c>
      <c r="M208" s="33">
        <f>案件入力!M208</f>
        <v/>
      </c>
      <c r="N208" s="31">
        <f>案件入力!N208</f>
        <v/>
      </c>
      <c r="O208" s="31">
        <f>案件入力!O208</f>
        <v/>
      </c>
      <c r="P208" s="31">
        <f>案件入力!P208</f>
        <v/>
      </c>
    </row>
    <row r="209">
      <c r="A209" s="31">
        <f>案件入力!A209</f>
        <v/>
      </c>
      <c r="B209" s="32">
        <f>案件入力!B209</f>
        <v/>
      </c>
      <c r="C209" s="33">
        <f>案件入力!C209</f>
        <v/>
      </c>
      <c r="D209" s="31">
        <f>案件入力!D209</f>
        <v/>
      </c>
      <c r="E209" s="31">
        <f>案件入力!E209</f>
        <v/>
      </c>
      <c r="F209" s="31">
        <f>案件入力!F209</f>
        <v/>
      </c>
      <c r="G209" s="34">
        <f>案件入力!G209</f>
        <v/>
      </c>
      <c r="H209" s="34">
        <f>案件入力!H209</f>
        <v/>
      </c>
      <c r="I209" s="32">
        <f>案件入力!I209</f>
        <v/>
      </c>
      <c r="J209" s="34">
        <f>案件入力!J209</f>
        <v/>
      </c>
      <c r="K209" s="34">
        <f>案件入力!K209</f>
        <v/>
      </c>
      <c r="L209" s="32">
        <f>案件入力!L209</f>
        <v/>
      </c>
      <c r="M209" s="33">
        <f>案件入力!M209</f>
        <v/>
      </c>
      <c r="N209" s="31">
        <f>案件入力!N209</f>
        <v/>
      </c>
      <c r="O209" s="31">
        <f>案件入力!O209</f>
        <v/>
      </c>
      <c r="P209" s="31">
        <f>案件入力!P209</f>
        <v/>
      </c>
    </row>
    <row r="210">
      <c r="A210" s="31">
        <f>案件入力!A210</f>
        <v/>
      </c>
      <c r="B210" s="32">
        <f>案件入力!B210</f>
        <v/>
      </c>
      <c r="C210" s="33">
        <f>案件入力!C210</f>
        <v/>
      </c>
      <c r="D210" s="31">
        <f>案件入力!D210</f>
        <v/>
      </c>
      <c r="E210" s="31">
        <f>案件入力!E210</f>
        <v/>
      </c>
      <c r="F210" s="31">
        <f>案件入力!F210</f>
        <v/>
      </c>
      <c r="G210" s="34">
        <f>案件入力!G210</f>
        <v/>
      </c>
      <c r="H210" s="34">
        <f>案件入力!H210</f>
        <v/>
      </c>
      <c r="I210" s="32">
        <f>案件入力!I210</f>
        <v/>
      </c>
      <c r="J210" s="34">
        <f>案件入力!J210</f>
        <v/>
      </c>
      <c r="K210" s="34">
        <f>案件入力!K210</f>
        <v/>
      </c>
      <c r="L210" s="32">
        <f>案件入力!L210</f>
        <v/>
      </c>
      <c r="M210" s="33">
        <f>案件入力!M210</f>
        <v/>
      </c>
      <c r="N210" s="31">
        <f>案件入力!N210</f>
        <v/>
      </c>
      <c r="O210" s="31">
        <f>案件入力!O210</f>
        <v/>
      </c>
      <c r="P210" s="31">
        <f>案件入力!P210</f>
        <v/>
      </c>
    </row>
    <row r="211">
      <c r="A211" s="31">
        <f>案件入力!A211</f>
        <v/>
      </c>
      <c r="B211" s="32">
        <f>案件入力!B211</f>
        <v/>
      </c>
      <c r="C211" s="33">
        <f>案件入力!C211</f>
        <v/>
      </c>
      <c r="D211" s="31">
        <f>案件入力!D211</f>
        <v/>
      </c>
      <c r="E211" s="31">
        <f>案件入力!E211</f>
        <v/>
      </c>
      <c r="F211" s="31">
        <f>案件入力!F211</f>
        <v/>
      </c>
      <c r="G211" s="34">
        <f>案件入力!G211</f>
        <v/>
      </c>
      <c r="H211" s="34">
        <f>案件入力!H211</f>
        <v/>
      </c>
      <c r="I211" s="32">
        <f>案件入力!I211</f>
        <v/>
      </c>
      <c r="J211" s="34">
        <f>案件入力!J211</f>
        <v/>
      </c>
      <c r="K211" s="34">
        <f>案件入力!K211</f>
        <v/>
      </c>
      <c r="L211" s="32">
        <f>案件入力!L211</f>
        <v/>
      </c>
      <c r="M211" s="33">
        <f>案件入力!M211</f>
        <v/>
      </c>
      <c r="N211" s="31">
        <f>案件入力!N211</f>
        <v/>
      </c>
      <c r="O211" s="31">
        <f>案件入力!O211</f>
        <v/>
      </c>
      <c r="P211" s="31">
        <f>案件入力!P211</f>
        <v/>
      </c>
    </row>
    <row r="212">
      <c r="A212" s="31">
        <f>案件入力!A212</f>
        <v/>
      </c>
      <c r="B212" s="32">
        <f>案件入力!B212</f>
        <v/>
      </c>
      <c r="C212" s="33">
        <f>案件入力!C212</f>
        <v/>
      </c>
      <c r="D212" s="31">
        <f>案件入力!D212</f>
        <v/>
      </c>
      <c r="E212" s="31">
        <f>案件入力!E212</f>
        <v/>
      </c>
      <c r="F212" s="31">
        <f>案件入力!F212</f>
        <v/>
      </c>
      <c r="G212" s="34">
        <f>案件入力!G212</f>
        <v/>
      </c>
      <c r="H212" s="34">
        <f>案件入力!H212</f>
        <v/>
      </c>
      <c r="I212" s="32">
        <f>案件入力!I212</f>
        <v/>
      </c>
      <c r="J212" s="34">
        <f>案件入力!J212</f>
        <v/>
      </c>
      <c r="K212" s="34">
        <f>案件入力!K212</f>
        <v/>
      </c>
      <c r="L212" s="32">
        <f>案件入力!L212</f>
        <v/>
      </c>
      <c r="M212" s="33">
        <f>案件入力!M212</f>
        <v/>
      </c>
      <c r="N212" s="31">
        <f>案件入力!N212</f>
        <v/>
      </c>
      <c r="O212" s="31">
        <f>案件入力!O212</f>
        <v/>
      </c>
      <c r="P212" s="31">
        <f>案件入力!P212</f>
        <v/>
      </c>
    </row>
    <row r="213">
      <c r="A213" s="31">
        <f>案件入力!A213</f>
        <v/>
      </c>
      <c r="B213" s="32">
        <f>案件入力!B213</f>
        <v/>
      </c>
      <c r="C213" s="33">
        <f>案件入力!C213</f>
        <v/>
      </c>
      <c r="D213" s="31">
        <f>案件入力!D213</f>
        <v/>
      </c>
      <c r="E213" s="31">
        <f>案件入力!E213</f>
        <v/>
      </c>
      <c r="F213" s="31">
        <f>案件入力!F213</f>
        <v/>
      </c>
      <c r="G213" s="34">
        <f>案件入力!G213</f>
        <v/>
      </c>
      <c r="H213" s="34">
        <f>案件入力!H213</f>
        <v/>
      </c>
      <c r="I213" s="32">
        <f>案件入力!I213</f>
        <v/>
      </c>
      <c r="J213" s="34">
        <f>案件入力!J213</f>
        <v/>
      </c>
      <c r="K213" s="34">
        <f>案件入力!K213</f>
        <v/>
      </c>
      <c r="L213" s="32">
        <f>案件入力!L213</f>
        <v/>
      </c>
      <c r="M213" s="33">
        <f>案件入力!M213</f>
        <v/>
      </c>
      <c r="N213" s="31">
        <f>案件入力!N213</f>
        <v/>
      </c>
      <c r="O213" s="31">
        <f>案件入力!O213</f>
        <v/>
      </c>
      <c r="P213" s="31">
        <f>案件入力!P213</f>
        <v/>
      </c>
    </row>
    <row r="214">
      <c r="A214" s="31">
        <f>案件入力!A214</f>
        <v/>
      </c>
      <c r="B214" s="32">
        <f>案件入力!B214</f>
        <v/>
      </c>
      <c r="C214" s="33">
        <f>案件入力!C214</f>
        <v/>
      </c>
      <c r="D214" s="31">
        <f>案件入力!D214</f>
        <v/>
      </c>
      <c r="E214" s="31">
        <f>案件入力!E214</f>
        <v/>
      </c>
      <c r="F214" s="31">
        <f>案件入力!F214</f>
        <v/>
      </c>
      <c r="G214" s="34">
        <f>案件入力!G214</f>
        <v/>
      </c>
      <c r="H214" s="34">
        <f>案件入力!H214</f>
        <v/>
      </c>
      <c r="I214" s="32">
        <f>案件入力!I214</f>
        <v/>
      </c>
      <c r="J214" s="34">
        <f>案件入力!J214</f>
        <v/>
      </c>
      <c r="K214" s="34">
        <f>案件入力!K214</f>
        <v/>
      </c>
      <c r="L214" s="32">
        <f>案件入力!L214</f>
        <v/>
      </c>
      <c r="M214" s="33">
        <f>案件入力!M214</f>
        <v/>
      </c>
      <c r="N214" s="31">
        <f>案件入力!N214</f>
        <v/>
      </c>
      <c r="O214" s="31">
        <f>案件入力!O214</f>
        <v/>
      </c>
      <c r="P214" s="31">
        <f>案件入力!P214</f>
        <v/>
      </c>
    </row>
    <row r="215">
      <c r="A215" s="31">
        <f>案件入力!A215</f>
        <v/>
      </c>
      <c r="B215" s="32">
        <f>案件入力!B215</f>
        <v/>
      </c>
      <c r="C215" s="33">
        <f>案件入力!C215</f>
        <v/>
      </c>
      <c r="D215" s="31">
        <f>案件入力!D215</f>
        <v/>
      </c>
      <c r="E215" s="31">
        <f>案件入力!E215</f>
        <v/>
      </c>
      <c r="F215" s="31">
        <f>案件入力!F215</f>
        <v/>
      </c>
      <c r="G215" s="34">
        <f>案件入力!G215</f>
        <v/>
      </c>
      <c r="H215" s="34">
        <f>案件入力!H215</f>
        <v/>
      </c>
      <c r="I215" s="32">
        <f>案件入力!I215</f>
        <v/>
      </c>
      <c r="J215" s="34">
        <f>案件入力!J215</f>
        <v/>
      </c>
      <c r="K215" s="34">
        <f>案件入力!K215</f>
        <v/>
      </c>
      <c r="L215" s="32">
        <f>案件入力!L215</f>
        <v/>
      </c>
      <c r="M215" s="33">
        <f>案件入力!M215</f>
        <v/>
      </c>
      <c r="N215" s="31">
        <f>案件入力!N215</f>
        <v/>
      </c>
      <c r="O215" s="31">
        <f>案件入力!O215</f>
        <v/>
      </c>
      <c r="P215" s="31">
        <f>案件入力!P215</f>
        <v/>
      </c>
    </row>
    <row r="216">
      <c r="A216" s="31">
        <f>案件入力!A216</f>
        <v/>
      </c>
      <c r="B216" s="32">
        <f>案件入力!B216</f>
        <v/>
      </c>
      <c r="C216" s="33">
        <f>案件入力!C216</f>
        <v/>
      </c>
      <c r="D216" s="31">
        <f>案件入力!D216</f>
        <v/>
      </c>
      <c r="E216" s="31">
        <f>案件入力!E216</f>
        <v/>
      </c>
      <c r="F216" s="31">
        <f>案件入力!F216</f>
        <v/>
      </c>
      <c r="G216" s="34">
        <f>案件入力!G216</f>
        <v/>
      </c>
      <c r="H216" s="34">
        <f>案件入力!H216</f>
        <v/>
      </c>
      <c r="I216" s="32">
        <f>案件入力!I216</f>
        <v/>
      </c>
      <c r="J216" s="34">
        <f>案件入力!J216</f>
        <v/>
      </c>
      <c r="K216" s="34">
        <f>案件入力!K216</f>
        <v/>
      </c>
      <c r="L216" s="32">
        <f>案件入力!L216</f>
        <v/>
      </c>
      <c r="M216" s="33">
        <f>案件入力!M216</f>
        <v/>
      </c>
      <c r="N216" s="31">
        <f>案件入力!N216</f>
        <v/>
      </c>
      <c r="O216" s="31">
        <f>案件入力!O216</f>
        <v/>
      </c>
      <c r="P216" s="31">
        <f>案件入力!P216</f>
        <v/>
      </c>
    </row>
    <row r="217">
      <c r="A217" s="31">
        <f>案件入力!A217</f>
        <v/>
      </c>
      <c r="B217" s="32">
        <f>案件入力!B217</f>
        <v/>
      </c>
      <c r="C217" s="33">
        <f>案件入力!C217</f>
        <v/>
      </c>
      <c r="D217" s="31">
        <f>案件入力!D217</f>
        <v/>
      </c>
      <c r="E217" s="31">
        <f>案件入力!E217</f>
        <v/>
      </c>
      <c r="F217" s="31">
        <f>案件入力!F217</f>
        <v/>
      </c>
      <c r="G217" s="34">
        <f>案件入力!G217</f>
        <v/>
      </c>
      <c r="H217" s="34">
        <f>案件入力!H217</f>
        <v/>
      </c>
      <c r="I217" s="32">
        <f>案件入力!I217</f>
        <v/>
      </c>
      <c r="J217" s="34">
        <f>案件入力!J217</f>
        <v/>
      </c>
      <c r="K217" s="34">
        <f>案件入力!K217</f>
        <v/>
      </c>
      <c r="L217" s="32">
        <f>案件入力!L217</f>
        <v/>
      </c>
      <c r="M217" s="33">
        <f>案件入力!M217</f>
        <v/>
      </c>
      <c r="N217" s="31">
        <f>案件入力!N217</f>
        <v/>
      </c>
      <c r="O217" s="31">
        <f>案件入力!O217</f>
        <v/>
      </c>
      <c r="P217" s="31">
        <f>案件入力!P217</f>
        <v/>
      </c>
    </row>
    <row r="218">
      <c r="A218" s="31">
        <f>案件入力!A218</f>
        <v/>
      </c>
      <c r="B218" s="32">
        <f>案件入力!B218</f>
        <v/>
      </c>
      <c r="C218" s="33">
        <f>案件入力!C218</f>
        <v/>
      </c>
      <c r="D218" s="31">
        <f>案件入力!D218</f>
        <v/>
      </c>
      <c r="E218" s="31">
        <f>案件入力!E218</f>
        <v/>
      </c>
      <c r="F218" s="31">
        <f>案件入力!F218</f>
        <v/>
      </c>
      <c r="G218" s="34">
        <f>案件入力!G218</f>
        <v/>
      </c>
      <c r="H218" s="34">
        <f>案件入力!H218</f>
        <v/>
      </c>
      <c r="I218" s="32">
        <f>案件入力!I218</f>
        <v/>
      </c>
      <c r="J218" s="34">
        <f>案件入力!J218</f>
        <v/>
      </c>
      <c r="K218" s="34">
        <f>案件入力!K218</f>
        <v/>
      </c>
      <c r="L218" s="32">
        <f>案件入力!L218</f>
        <v/>
      </c>
      <c r="M218" s="33">
        <f>案件入力!M218</f>
        <v/>
      </c>
      <c r="N218" s="31">
        <f>案件入力!N218</f>
        <v/>
      </c>
      <c r="O218" s="31">
        <f>案件入力!O218</f>
        <v/>
      </c>
      <c r="P218" s="31">
        <f>案件入力!P218</f>
        <v/>
      </c>
    </row>
    <row r="219">
      <c r="A219" s="31">
        <f>案件入力!A219</f>
        <v/>
      </c>
      <c r="B219" s="32">
        <f>案件入力!B219</f>
        <v/>
      </c>
      <c r="C219" s="33">
        <f>案件入力!C219</f>
        <v/>
      </c>
      <c r="D219" s="31">
        <f>案件入力!D219</f>
        <v/>
      </c>
      <c r="E219" s="31">
        <f>案件入力!E219</f>
        <v/>
      </c>
      <c r="F219" s="31">
        <f>案件入力!F219</f>
        <v/>
      </c>
      <c r="G219" s="34">
        <f>案件入力!G219</f>
        <v/>
      </c>
      <c r="H219" s="34">
        <f>案件入力!H219</f>
        <v/>
      </c>
      <c r="I219" s="32">
        <f>案件入力!I219</f>
        <v/>
      </c>
      <c r="J219" s="34">
        <f>案件入力!J219</f>
        <v/>
      </c>
      <c r="K219" s="34">
        <f>案件入力!K219</f>
        <v/>
      </c>
      <c r="L219" s="32">
        <f>案件入力!L219</f>
        <v/>
      </c>
      <c r="M219" s="33">
        <f>案件入力!M219</f>
        <v/>
      </c>
      <c r="N219" s="31">
        <f>案件入力!N219</f>
        <v/>
      </c>
      <c r="O219" s="31">
        <f>案件入力!O219</f>
        <v/>
      </c>
      <c r="P219" s="31">
        <f>案件入力!P219</f>
        <v/>
      </c>
    </row>
    <row r="220">
      <c r="A220" s="31">
        <f>案件入力!A220</f>
        <v/>
      </c>
      <c r="B220" s="32">
        <f>案件入力!B220</f>
        <v/>
      </c>
      <c r="C220" s="33">
        <f>案件入力!C220</f>
        <v/>
      </c>
      <c r="D220" s="31">
        <f>案件入力!D220</f>
        <v/>
      </c>
      <c r="E220" s="31">
        <f>案件入力!E220</f>
        <v/>
      </c>
      <c r="F220" s="31">
        <f>案件入力!F220</f>
        <v/>
      </c>
      <c r="G220" s="34">
        <f>案件入力!G220</f>
        <v/>
      </c>
      <c r="H220" s="34">
        <f>案件入力!H220</f>
        <v/>
      </c>
      <c r="I220" s="32">
        <f>案件入力!I220</f>
        <v/>
      </c>
      <c r="J220" s="34">
        <f>案件入力!J220</f>
        <v/>
      </c>
      <c r="K220" s="34">
        <f>案件入力!K220</f>
        <v/>
      </c>
      <c r="L220" s="32">
        <f>案件入力!L220</f>
        <v/>
      </c>
      <c r="M220" s="33">
        <f>案件入力!M220</f>
        <v/>
      </c>
      <c r="N220" s="31">
        <f>案件入力!N220</f>
        <v/>
      </c>
      <c r="O220" s="31">
        <f>案件入力!O220</f>
        <v/>
      </c>
      <c r="P220" s="31">
        <f>案件入力!P220</f>
        <v/>
      </c>
    </row>
    <row r="221">
      <c r="A221" s="31">
        <f>案件入力!A221</f>
        <v/>
      </c>
      <c r="B221" s="32">
        <f>案件入力!B221</f>
        <v/>
      </c>
      <c r="C221" s="33">
        <f>案件入力!C221</f>
        <v/>
      </c>
      <c r="D221" s="31">
        <f>案件入力!D221</f>
        <v/>
      </c>
      <c r="E221" s="31">
        <f>案件入力!E221</f>
        <v/>
      </c>
      <c r="F221" s="31">
        <f>案件入力!F221</f>
        <v/>
      </c>
      <c r="G221" s="34">
        <f>案件入力!G221</f>
        <v/>
      </c>
      <c r="H221" s="34">
        <f>案件入力!H221</f>
        <v/>
      </c>
      <c r="I221" s="32">
        <f>案件入力!I221</f>
        <v/>
      </c>
      <c r="J221" s="34">
        <f>案件入力!J221</f>
        <v/>
      </c>
      <c r="K221" s="34">
        <f>案件入力!K221</f>
        <v/>
      </c>
      <c r="L221" s="32">
        <f>案件入力!L221</f>
        <v/>
      </c>
      <c r="M221" s="33">
        <f>案件入力!M221</f>
        <v/>
      </c>
      <c r="N221" s="31">
        <f>案件入力!N221</f>
        <v/>
      </c>
      <c r="O221" s="31">
        <f>案件入力!O221</f>
        <v/>
      </c>
      <c r="P221" s="31">
        <f>案件入力!P221</f>
        <v/>
      </c>
    </row>
    <row r="222">
      <c r="A222" s="31">
        <f>案件入力!A222</f>
        <v/>
      </c>
      <c r="B222" s="32">
        <f>案件入力!B222</f>
        <v/>
      </c>
      <c r="C222" s="33">
        <f>案件入力!C222</f>
        <v/>
      </c>
      <c r="D222" s="31">
        <f>案件入力!D222</f>
        <v/>
      </c>
      <c r="E222" s="31">
        <f>案件入力!E222</f>
        <v/>
      </c>
      <c r="F222" s="31">
        <f>案件入力!F222</f>
        <v/>
      </c>
      <c r="G222" s="34">
        <f>案件入力!G222</f>
        <v/>
      </c>
      <c r="H222" s="34">
        <f>案件入力!H222</f>
        <v/>
      </c>
      <c r="I222" s="32">
        <f>案件入力!I222</f>
        <v/>
      </c>
      <c r="J222" s="34">
        <f>案件入力!J222</f>
        <v/>
      </c>
      <c r="K222" s="34">
        <f>案件入力!K222</f>
        <v/>
      </c>
      <c r="L222" s="32">
        <f>案件入力!L222</f>
        <v/>
      </c>
      <c r="M222" s="33">
        <f>案件入力!M222</f>
        <v/>
      </c>
      <c r="N222" s="31">
        <f>案件入力!N222</f>
        <v/>
      </c>
      <c r="O222" s="31">
        <f>案件入力!O222</f>
        <v/>
      </c>
      <c r="P222" s="31">
        <f>案件入力!P222</f>
        <v/>
      </c>
    </row>
    <row r="223">
      <c r="A223" s="31">
        <f>案件入力!A223</f>
        <v/>
      </c>
      <c r="B223" s="32">
        <f>案件入力!B223</f>
        <v/>
      </c>
      <c r="C223" s="33">
        <f>案件入力!C223</f>
        <v/>
      </c>
      <c r="D223" s="31">
        <f>案件入力!D223</f>
        <v/>
      </c>
      <c r="E223" s="31">
        <f>案件入力!E223</f>
        <v/>
      </c>
      <c r="F223" s="31">
        <f>案件入力!F223</f>
        <v/>
      </c>
      <c r="G223" s="34">
        <f>案件入力!G223</f>
        <v/>
      </c>
      <c r="H223" s="34">
        <f>案件入力!H223</f>
        <v/>
      </c>
      <c r="I223" s="32">
        <f>案件入力!I223</f>
        <v/>
      </c>
      <c r="J223" s="34">
        <f>案件入力!J223</f>
        <v/>
      </c>
      <c r="K223" s="34">
        <f>案件入力!K223</f>
        <v/>
      </c>
      <c r="L223" s="32">
        <f>案件入力!L223</f>
        <v/>
      </c>
      <c r="M223" s="33">
        <f>案件入力!M223</f>
        <v/>
      </c>
      <c r="N223" s="31">
        <f>案件入力!N223</f>
        <v/>
      </c>
      <c r="O223" s="31">
        <f>案件入力!O223</f>
        <v/>
      </c>
      <c r="P223" s="31">
        <f>案件入力!P223</f>
        <v/>
      </c>
    </row>
    <row r="224">
      <c r="A224" s="31">
        <f>案件入力!A224</f>
        <v/>
      </c>
      <c r="B224" s="32">
        <f>案件入力!B224</f>
        <v/>
      </c>
      <c r="C224" s="33">
        <f>案件入力!C224</f>
        <v/>
      </c>
      <c r="D224" s="31">
        <f>案件入力!D224</f>
        <v/>
      </c>
      <c r="E224" s="31">
        <f>案件入力!E224</f>
        <v/>
      </c>
      <c r="F224" s="31">
        <f>案件入力!F224</f>
        <v/>
      </c>
      <c r="G224" s="34">
        <f>案件入力!G224</f>
        <v/>
      </c>
      <c r="H224" s="34">
        <f>案件入力!H224</f>
        <v/>
      </c>
      <c r="I224" s="32">
        <f>案件入力!I224</f>
        <v/>
      </c>
      <c r="J224" s="34">
        <f>案件入力!J224</f>
        <v/>
      </c>
      <c r="K224" s="34">
        <f>案件入力!K224</f>
        <v/>
      </c>
      <c r="L224" s="32">
        <f>案件入力!L224</f>
        <v/>
      </c>
      <c r="M224" s="33">
        <f>案件入力!M224</f>
        <v/>
      </c>
      <c r="N224" s="31">
        <f>案件入力!N224</f>
        <v/>
      </c>
      <c r="O224" s="31">
        <f>案件入力!O224</f>
        <v/>
      </c>
      <c r="P224" s="31">
        <f>案件入力!P224</f>
        <v/>
      </c>
    </row>
    <row r="225">
      <c r="A225" s="31">
        <f>案件入力!A225</f>
        <v/>
      </c>
      <c r="B225" s="32">
        <f>案件入力!B225</f>
        <v/>
      </c>
      <c r="C225" s="33">
        <f>案件入力!C225</f>
        <v/>
      </c>
      <c r="D225" s="31">
        <f>案件入力!D225</f>
        <v/>
      </c>
      <c r="E225" s="31">
        <f>案件入力!E225</f>
        <v/>
      </c>
      <c r="F225" s="31">
        <f>案件入力!F225</f>
        <v/>
      </c>
      <c r="G225" s="34">
        <f>案件入力!G225</f>
        <v/>
      </c>
      <c r="H225" s="34">
        <f>案件入力!H225</f>
        <v/>
      </c>
      <c r="I225" s="32">
        <f>案件入力!I225</f>
        <v/>
      </c>
      <c r="J225" s="34">
        <f>案件入力!J225</f>
        <v/>
      </c>
      <c r="K225" s="34">
        <f>案件入力!K225</f>
        <v/>
      </c>
      <c r="L225" s="32">
        <f>案件入力!L225</f>
        <v/>
      </c>
      <c r="M225" s="33">
        <f>案件入力!M225</f>
        <v/>
      </c>
      <c r="N225" s="31">
        <f>案件入力!N225</f>
        <v/>
      </c>
      <c r="O225" s="31">
        <f>案件入力!O225</f>
        <v/>
      </c>
      <c r="P225" s="31">
        <f>案件入力!P225</f>
        <v/>
      </c>
    </row>
    <row r="226">
      <c r="A226" s="31">
        <f>案件入力!A226</f>
        <v/>
      </c>
      <c r="B226" s="32">
        <f>案件入力!B226</f>
        <v/>
      </c>
      <c r="C226" s="33">
        <f>案件入力!C226</f>
        <v/>
      </c>
      <c r="D226" s="31">
        <f>案件入力!D226</f>
        <v/>
      </c>
      <c r="E226" s="31">
        <f>案件入力!E226</f>
        <v/>
      </c>
      <c r="F226" s="31">
        <f>案件入力!F226</f>
        <v/>
      </c>
      <c r="G226" s="34">
        <f>案件入力!G226</f>
        <v/>
      </c>
      <c r="H226" s="34">
        <f>案件入力!H226</f>
        <v/>
      </c>
      <c r="I226" s="32">
        <f>案件入力!I226</f>
        <v/>
      </c>
      <c r="J226" s="34">
        <f>案件入力!J226</f>
        <v/>
      </c>
      <c r="K226" s="34">
        <f>案件入力!K226</f>
        <v/>
      </c>
      <c r="L226" s="32">
        <f>案件入力!L226</f>
        <v/>
      </c>
      <c r="M226" s="33">
        <f>案件入力!M226</f>
        <v/>
      </c>
      <c r="N226" s="31">
        <f>案件入力!N226</f>
        <v/>
      </c>
      <c r="O226" s="31">
        <f>案件入力!O226</f>
        <v/>
      </c>
      <c r="P226" s="31">
        <f>案件入力!P226</f>
        <v/>
      </c>
    </row>
    <row r="227">
      <c r="A227" s="31">
        <f>案件入力!A227</f>
        <v/>
      </c>
      <c r="B227" s="32">
        <f>案件入力!B227</f>
        <v/>
      </c>
      <c r="C227" s="33">
        <f>案件入力!C227</f>
        <v/>
      </c>
      <c r="D227" s="31">
        <f>案件入力!D227</f>
        <v/>
      </c>
      <c r="E227" s="31">
        <f>案件入力!E227</f>
        <v/>
      </c>
      <c r="F227" s="31">
        <f>案件入力!F227</f>
        <v/>
      </c>
      <c r="G227" s="34">
        <f>案件入力!G227</f>
        <v/>
      </c>
      <c r="H227" s="34">
        <f>案件入力!H227</f>
        <v/>
      </c>
      <c r="I227" s="32">
        <f>案件入力!I227</f>
        <v/>
      </c>
      <c r="J227" s="34">
        <f>案件入力!J227</f>
        <v/>
      </c>
      <c r="K227" s="34">
        <f>案件入力!K227</f>
        <v/>
      </c>
      <c r="L227" s="32">
        <f>案件入力!L227</f>
        <v/>
      </c>
      <c r="M227" s="33">
        <f>案件入力!M227</f>
        <v/>
      </c>
      <c r="N227" s="31">
        <f>案件入力!N227</f>
        <v/>
      </c>
      <c r="O227" s="31">
        <f>案件入力!O227</f>
        <v/>
      </c>
      <c r="P227" s="31">
        <f>案件入力!P227</f>
        <v/>
      </c>
    </row>
    <row r="228">
      <c r="A228" s="31">
        <f>案件入力!A228</f>
        <v/>
      </c>
      <c r="B228" s="32">
        <f>案件入力!B228</f>
        <v/>
      </c>
      <c r="C228" s="33">
        <f>案件入力!C228</f>
        <v/>
      </c>
      <c r="D228" s="31">
        <f>案件入力!D228</f>
        <v/>
      </c>
      <c r="E228" s="31">
        <f>案件入力!E228</f>
        <v/>
      </c>
      <c r="F228" s="31">
        <f>案件入力!F228</f>
        <v/>
      </c>
      <c r="G228" s="34">
        <f>案件入力!G228</f>
        <v/>
      </c>
      <c r="H228" s="34">
        <f>案件入力!H228</f>
        <v/>
      </c>
      <c r="I228" s="32">
        <f>案件入力!I228</f>
        <v/>
      </c>
      <c r="J228" s="34">
        <f>案件入力!J228</f>
        <v/>
      </c>
      <c r="K228" s="34">
        <f>案件入力!K228</f>
        <v/>
      </c>
      <c r="L228" s="32">
        <f>案件入力!L228</f>
        <v/>
      </c>
      <c r="M228" s="33">
        <f>案件入力!M228</f>
        <v/>
      </c>
      <c r="N228" s="31">
        <f>案件入力!N228</f>
        <v/>
      </c>
      <c r="O228" s="31">
        <f>案件入力!O228</f>
        <v/>
      </c>
      <c r="P228" s="31">
        <f>案件入力!P228</f>
        <v/>
      </c>
    </row>
    <row r="229">
      <c r="A229" s="31">
        <f>案件入力!A229</f>
        <v/>
      </c>
      <c r="B229" s="32">
        <f>案件入力!B229</f>
        <v/>
      </c>
      <c r="C229" s="33">
        <f>案件入力!C229</f>
        <v/>
      </c>
      <c r="D229" s="31">
        <f>案件入力!D229</f>
        <v/>
      </c>
      <c r="E229" s="31">
        <f>案件入力!E229</f>
        <v/>
      </c>
      <c r="F229" s="31">
        <f>案件入力!F229</f>
        <v/>
      </c>
      <c r="G229" s="34">
        <f>案件入力!G229</f>
        <v/>
      </c>
      <c r="H229" s="34">
        <f>案件入力!H229</f>
        <v/>
      </c>
      <c r="I229" s="32">
        <f>案件入力!I229</f>
        <v/>
      </c>
      <c r="J229" s="34">
        <f>案件入力!J229</f>
        <v/>
      </c>
      <c r="K229" s="34">
        <f>案件入力!K229</f>
        <v/>
      </c>
      <c r="L229" s="32">
        <f>案件入力!L229</f>
        <v/>
      </c>
      <c r="M229" s="33">
        <f>案件入力!M229</f>
        <v/>
      </c>
      <c r="N229" s="31">
        <f>案件入力!N229</f>
        <v/>
      </c>
      <c r="O229" s="31">
        <f>案件入力!O229</f>
        <v/>
      </c>
      <c r="P229" s="31">
        <f>案件入力!P229</f>
        <v/>
      </c>
    </row>
    <row r="230">
      <c r="A230" s="31">
        <f>案件入力!A230</f>
        <v/>
      </c>
      <c r="B230" s="32">
        <f>案件入力!B230</f>
        <v/>
      </c>
      <c r="C230" s="33">
        <f>案件入力!C230</f>
        <v/>
      </c>
      <c r="D230" s="31">
        <f>案件入力!D230</f>
        <v/>
      </c>
      <c r="E230" s="31">
        <f>案件入力!E230</f>
        <v/>
      </c>
      <c r="F230" s="31">
        <f>案件入力!F230</f>
        <v/>
      </c>
      <c r="G230" s="34">
        <f>案件入力!G230</f>
        <v/>
      </c>
      <c r="H230" s="34">
        <f>案件入力!H230</f>
        <v/>
      </c>
      <c r="I230" s="32">
        <f>案件入力!I230</f>
        <v/>
      </c>
      <c r="J230" s="34">
        <f>案件入力!J230</f>
        <v/>
      </c>
      <c r="K230" s="34">
        <f>案件入力!K230</f>
        <v/>
      </c>
      <c r="L230" s="32">
        <f>案件入力!L230</f>
        <v/>
      </c>
      <c r="M230" s="33">
        <f>案件入力!M230</f>
        <v/>
      </c>
      <c r="N230" s="31">
        <f>案件入力!N230</f>
        <v/>
      </c>
      <c r="O230" s="31">
        <f>案件入力!O230</f>
        <v/>
      </c>
      <c r="P230" s="31">
        <f>案件入力!P230</f>
        <v/>
      </c>
    </row>
    <row r="231">
      <c r="A231" s="31">
        <f>案件入力!A231</f>
        <v/>
      </c>
      <c r="B231" s="32">
        <f>案件入力!B231</f>
        <v/>
      </c>
      <c r="C231" s="33">
        <f>案件入力!C231</f>
        <v/>
      </c>
      <c r="D231" s="31">
        <f>案件入力!D231</f>
        <v/>
      </c>
      <c r="E231" s="31">
        <f>案件入力!E231</f>
        <v/>
      </c>
      <c r="F231" s="31">
        <f>案件入力!F231</f>
        <v/>
      </c>
      <c r="G231" s="34">
        <f>案件入力!G231</f>
        <v/>
      </c>
      <c r="H231" s="34">
        <f>案件入力!H231</f>
        <v/>
      </c>
      <c r="I231" s="32">
        <f>案件入力!I231</f>
        <v/>
      </c>
      <c r="J231" s="34">
        <f>案件入力!J231</f>
        <v/>
      </c>
      <c r="K231" s="34">
        <f>案件入力!K231</f>
        <v/>
      </c>
      <c r="L231" s="32">
        <f>案件入力!L231</f>
        <v/>
      </c>
      <c r="M231" s="33">
        <f>案件入力!M231</f>
        <v/>
      </c>
      <c r="N231" s="31">
        <f>案件入力!N231</f>
        <v/>
      </c>
      <c r="O231" s="31">
        <f>案件入力!O231</f>
        <v/>
      </c>
      <c r="P231" s="31">
        <f>案件入力!P231</f>
        <v/>
      </c>
    </row>
    <row r="232">
      <c r="A232" s="31">
        <f>案件入力!A232</f>
        <v/>
      </c>
      <c r="B232" s="32">
        <f>案件入力!B232</f>
        <v/>
      </c>
      <c r="C232" s="33">
        <f>案件入力!C232</f>
        <v/>
      </c>
      <c r="D232" s="31">
        <f>案件入力!D232</f>
        <v/>
      </c>
      <c r="E232" s="31">
        <f>案件入力!E232</f>
        <v/>
      </c>
      <c r="F232" s="31">
        <f>案件入力!F232</f>
        <v/>
      </c>
      <c r="G232" s="34">
        <f>案件入力!G232</f>
        <v/>
      </c>
      <c r="H232" s="34">
        <f>案件入力!H232</f>
        <v/>
      </c>
      <c r="I232" s="32">
        <f>案件入力!I232</f>
        <v/>
      </c>
      <c r="J232" s="34">
        <f>案件入力!J232</f>
        <v/>
      </c>
      <c r="K232" s="34">
        <f>案件入力!K232</f>
        <v/>
      </c>
      <c r="L232" s="32">
        <f>案件入力!L232</f>
        <v/>
      </c>
      <c r="M232" s="33">
        <f>案件入力!M232</f>
        <v/>
      </c>
      <c r="N232" s="31">
        <f>案件入力!N232</f>
        <v/>
      </c>
      <c r="O232" s="31">
        <f>案件入力!O232</f>
        <v/>
      </c>
      <c r="P232" s="31">
        <f>案件入力!P232</f>
        <v/>
      </c>
    </row>
    <row r="233">
      <c r="A233" s="31">
        <f>案件入力!A233</f>
        <v/>
      </c>
      <c r="B233" s="32">
        <f>案件入力!B233</f>
        <v/>
      </c>
      <c r="C233" s="33">
        <f>案件入力!C233</f>
        <v/>
      </c>
      <c r="D233" s="31">
        <f>案件入力!D233</f>
        <v/>
      </c>
      <c r="E233" s="31">
        <f>案件入力!E233</f>
        <v/>
      </c>
      <c r="F233" s="31">
        <f>案件入力!F233</f>
        <v/>
      </c>
      <c r="G233" s="34">
        <f>案件入力!G233</f>
        <v/>
      </c>
      <c r="H233" s="34">
        <f>案件入力!H233</f>
        <v/>
      </c>
      <c r="I233" s="32">
        <f>案件入力!I233</f>
        <v/>
      </c>
      <c r="J233" s="34">
        <f>案件入力!J233</f>
        <v/>
      </c>
      <c r="K233" s="34">
        <f>案件入力!K233</f>
        <v/>
      </c>
      <c r="L233" s="32">
        <f>案件入力!L233</f>
        <v/>
      </c>
      <c r="M233" s="33">
        <f>案件入力!M233</f>
        <v/>
      </c>
      <c r="N233" s="31">
        <f>案件入力!N233</f>
        <v/>
      </c>
      <c r="O233" s="31">
        <f>案件入力!O233</f>
        <v/>
      </c>
      <c r="P233" s="31">
        <f>案件入力!P233</f>
        <v/>
      </c>
    </row>
    <row r="234">
      <c r="A234" s="31">
        <f>案件入力!A234</f>
        <v/>
      </c>
      <c r="B234" s="32">
        <f>案件入力!B234</f>
        <v/>
      </c>
      <c r="C234" s="33">
        <f>案件入力!C234</f>
        <v/>
      </c>
      <c r="D234" s="31">
        <f>案件入力!D234</f>
        <v/>
      </c>
      <c r="E234" s="31">
        <f>案件入力!E234</f>
        <v/>
      </c>
      <c r="F234" s="31">
        <f>案件入力!F234</f>
        <v/>
      </c>
      <c r="G234" s="34">
        <f>案件入力!G234</f>
        <v/>
      </c>
      <c r="H234" s="34">
        <f>案件入力!H234</f>
        <v/>
      </c>
      <c r="I234" s="32">
        <f>案件入力!I234</f>
        <v/>
      </c>
      <c r="J234" s="34">
        <f>案件入力!J234</f>
        <v/>
      </c>
      <c r="K234" s="34">
        <f>案件入力!K234</f>
        <v/>
      </c>
      <c r="L234" s="32">
        <f>案件入力!L234</f>
        <v/>
      </c>
      <c r="M234" s="33">
        <f>案件入力!M234</f>
        <v/>
      </c>
      <c r="N234" s="31">
        <f>案件入力!N234</f>
        <v/>
      </c>
      <c r="O234" s="31">
        <f>案件入力!O234</f>
        <v/>
      </c>
      <c r="P234" s="31">
        <f>案件入力!P234</f>
        <v/>
      </c>
    </row>
    <row r="235">
      <c r="A235" s="31">
        <f>案件入力!A235</f>
        <v/>
      </c>
      <c r="B235" s="32">
        <f>案件入力!B235</f>
        <v/>
      </c>
      <c r="C235" s="33">
        <f>案件入力!C235</f>
        <v/>
      </c>
      <c r="D235" s="31">
        <f>案件入力!D235</f>
        <v/>
      </c>
      <c r="E235" s="31">
        <f>案件入力!E235</f>
        <v/>
      </c>
      <c r="F235" s="31">
        <f>案件入力!F235</f>
        <v/>
      </c>
      <c r="G235" s="34">
        <f>案件入力!G235</f>
        <v/>
      </c>
      <c r="H235" s="34">
        <f>案件入力!H235</f>
        <v/>
      </c>
      <c r="I235" s="32">
        <f>案件入力!I235</f>
        <v/>
      </c>
      <c r="J235" s="34">
        <f>案件入力!J235</f>
        <v/>
      </c>
      <c r="K235" s="34">
        <f>案件入力!K235</f>
        <v/>
      </c>
      <c r="L235" s="32">
        <f>案件入力!L235</f>
        <v/>
      </c>
      <c r="M235" s="33">
        <f>案件入力!M235</f>
        <v/>
      </c>
      <c r="N235" s="31">
        <f>案件入力!N235</f>
        <v/>
      </c>
      <c r="O235" s="31">
        <f>案件入力!O235</f>
        <v/>
      </c>
      <c r="P235" s="31">
        <f>案件入力!P235</f>
        <v/>
      </c>
    </row>
    <row r="236">
      <c r="A236" s="31">
        <f>案件入力!A236</f>
        <v/>
      </c>
      <c r="B236" s="32">
        <f>案件入力!B236</f>
        <v/>
      </c>
      <c r="C236" s="33">
        <f>案件入力!C236</f>
        <v/>
      </c>
      <c r="D236" s="31">
        <f>案件入力!D236</f>
        <v/>
      </c>
      <c r="E236" s="31">
        <f>案件入力!E236</f>
        <v/>
      </c>
      <c r="F236" s="31">
        <f>案件入力!F236</f>
        <v/>
      </c>
      <c r="G236" s="34">
        <f>案件入力!G236</f>
        <v/>
      </c>
      <c r="H236" s="34">
        <f>案件入力!H236</f>
        <v/>
      </c>
      <c r="I236" s="32">
        <f>案件入力!I236</f>
        <v/>
      </c>
      <c r="J236" s="34">
        <f>案件入力!J236</f>
        <v/>
      </c>
      <c r="K236" s="34">
        <f>案件入力!K236</f>
        <v/>
      </c>
      <c r="L236" s="32">
        <f>案件入力!L236</f>
        <v/>
      </c>
      <c r="M236" s="33">
        <f>案件入力!M236</f>
        <v/>
      </c>
      <c r="N236" s="31">
        <f>案件入力!N236</f>
        <v/>
      </c>
      <c r="O236" s="31">
        <f>案件入力!O236</f>
        <v/>
      </c>
      <c r="P236" s="31">
        <f>案件入力!P236</f>
        <v/>
      </c>
    </row>
    <row r="237">
      <c r="A237" s="31">
        <f>案件入力!A237</f>
        <v/>
      </c>
      <c r="B237" s="32">
        <f>案件入力!B237</f>
        <v/>
      </c>
      <c r="C237" s="33">
        <f>案件入力!C237</f>
        <v/>
      </c>
      <c r="D237" s="31">
        <f>案件入力!D237</f>
        <v/>
      </c>
      <c r="E237" s="31">
        <f>案件入力!E237</f>
        <v/>
      </c>
      <c r="F237" s="31">
        <f>案件入力!F237</f>
        <v/>
      </c>
      <c r="G237" s="34">
        <f>案件入力!G237</f>
        <v/>
      </c>
      <c r="H237" s="34">
        <f>案件入力!H237</f>
        <v/>
      </c>
      <c r="I237" s="32">
        <f>案件入力!I237</f>
        <v/>
      </c>
      <c r="J237" s="34">
        <f>案件入力!J237</f>
        <v/>
      </c>
      <c r="K237" s="34">
        <f>案件入力!K237</f>
        <v/>
      </c>
      <c r="L237" s="32">
        <f>案件入力!L237</f>
        <v/>
      </c>
      <c r="M237" s="33">
        <f>案件入力!M237</f>
        <v/>
      </c>
      <c r="N237" s="31">
        <f>案件入力!N237</f>
        <v/>
      </c>
      <c r="O237" s="31">
        <f>案件入力!O237</f>
        <v/>
      </c>
      <c r="P237" s="31">
        <f>案件入力!P237</f>
        <v/>
      </c>
    </row>
    <row r="238">
      <c r="A238" s="31">
        <f>案件入力!A238</f>
        <v/>
      </c>
      <c r="B238" s="32">
        <f>案件入力!B238</f>
        <v/>
      </c>
      <c r="C238" s="33">
        <f>案件入力!C238</f>
        <v/>
      </c>
      <c r="D238" s="31">
        <f>案件入力!D238</f>
        <v/>
      </c>
      <c r="E238" s="31">
        <f>案件入力!E238</f>
        <v/>
      </c>
      <c r="F238" s="31">
        <f>案件入力!F238</f>
        <v/>
      </c>
      <c r="G238" s="34">
        <f>案件入力!G238</f>
        <v/>
      </c>
      <c r="H238" s="34">
        <f>案件入力!H238</f>
        <v/>
      </c>
      <c r="I238" s="32">
        <f>案件入力!I238</f>
        <v/>
      </c>
      <c r="J238" s="34">
        <f>案件入力!J238</f>
        <v/>
      </c>
      <c r="K238" s="34">
        <f>案件入力!K238</f>
        <v/>
      </c>
      <c r="L238" s="32">
        <f>案件入力!L238</f>
        <v/>
      </c>
      <c r="M238" s="33">
        <f>案件入力!M238</f>
        <v/>
      </c>
      <c r="N238" s="31">
        <f>案件入力!N238</f>
        <v/>
      </c>
      <c r="O238" s="31">
        <f>案件入力!O238</f>
        <v/>
      </c>
      <c r="P238" s="31">
        <f>案件入力!P238</f>
        <v/>
      </c>
    </row>
    <row r="239">
      <c r="A239" s="31">
        <f>案件入力!A239</f>
        <v/>
      </c>
      <c r="B239" s="32">
        <f>案件入力!B239</f>
        <v/>
      </c>
      <c r="C239" s="33">
        <f>案件入力!C239</f>
        <v/>
      </c>
      <c r="D239" s="31">
        <f>案件入力!D239</f>
        <v/>
      </c>
      <c r="E239" s="31">
        <f>案件入力!E239</f>
        <v/>
      </c>
      <c r="F239" s="31">
        <f>案件入力!F239</f>
        <v/>
      </c>
      <c r="G239" s="34">
        <f>案件入力!G239</f>
        <v/>
      </c>
      <c r="H239" s="34">
        <f>案件入力!H239</f>
        <v/>
      </c>
      <c r="I239" s="32">
        <f>案件入力!I239</f>
        <v/>
      </c>
      <c r="J239" s="34">
        <f>案件入力!J239</f>
        <v/>
      </c>
      <c r="K239" s="34">
        <f>案件入力!K239</f>
        <v/>
      </c>
      <c r="L239" s="32">
        <f>案件入力!L239</f>
        <v/>
      </c>
      <c r="M239" s="33">
        <f>案件入力!M239</f>
        <v/>
      </c>
      <c r="N239" s="31">
        <f>案件入力!N239</f>
        <v/>
      </c>
      <c r="O239" s="31">
        <f>案件入力!O239</f>
        <v/>
      </c>
      <c r="P239" s="31">
        <f>案件入力!P239</f>
        <v/>
      </c>
    </row>
    <row r="240">
      <c r="A240" s="31">
        <f>案件入力!A240</f>
        <v/>
      </c>
      <c r="B240" s="32">
        <f>案件入力!B240</f>
        <v/>
      </c>
      <c r="C240" s="33">
        <f>案件入力!C240</f>
        <v/>
      </c>
      <c r="D240" s="31">
        <f>案件入力!D240</f>
        <v/>
      </c>
      <c r="E240" s="31">
        <f>案件入力!E240</f>
        <v/>
      </c>
      <c r="F240" s="31">
        <f>案件入力!F240</f>
        <v/>
      </c>
      <c r="G240" s="34">
        <f>案件入力!G240</f>
        <v/>
      </c>
      <c r="H240" s="34">
        <f>案件入力!H240</f>
        <v/>
      </c>
      <c r="I240" s="32">
        <f>案件入力!I240</f>
        <v/>
      </c>
      <c r="J240" s="34">
        <f>案件入力!J240</f>
        <v/>
      </c>
      <c r="K240" s="34">
        <f>案件入力!K240</f>
        <v/>
      </c>
      <c r="L240" s="32">
        <f>案件入力!L240</f>
        <v/>
      </c>
      <c r="M240" s="33">
        <f>案件入力!M240</f>
        <v/>
      </c>
      <c r="N240" s="31">
        <f>案件入力!N240</f>
        <v/>
      </c>
      <c r="O240" s="31">
        <f>案件入力!O240</f>
        <v/>
      </c>
      <c r="P240" s="31">
        <f>案件入力!P240</f>
        <v/>
      </c>
    </row>
    <row r="241">
      <c r="A241" s="31">
        <f>案件入力!A241</f>
        <v/>
      </c>
      <c r="B241" s="32">
        <f>案件入力!B241</f>
        <v/>
      </c>
      <c r="C241" s="33">
        <f>案件入力!C241</f>
        <v/>
      </c>
      <c r="D241" s="31">
        <f>案件入力!D241</f>
        <v/>
      </c>
      <c r="E241" s="31">
        <f>案件入力!E241</f>
        <v/>
      </c>
      <c r="F241" s="31">
        <f>案件入力!F241</f>
        <v/>
      </c>
      <c r="G241" s="34">
        <f>案件入力!G241</f>
        <v/>
      </c>
      <c r="H241" s="34">
        <f>案件入力!H241</f>
        <v/>
      </c>
      <c r="I241" s="32">
        <f>案件入力!I241</f>
        <v/>
      </c>
      <c r="J241" s="34">
        <f>案件入力!J241</f>
        <v/>
      </c>
      <c r="K241" s="34">
        <f>案件入力!K241</f>
        <v/>
      </c>
      <c r="L241" s="32">
        <f>案件入力!L241</f>
        <v/>
      </c>
      <c r="M241" s="33">
        <f>案件入力!M241</f>
        <v/>
      </c>
      <c r="N241" s="31">
        <f>案件入力!N241</f>
        <v/>
      </c>
      <c r="O241" s="31">
        <f>案件入力!O241</f>
        <v/>
      </c>
      <c r="P241" s="31">
        <f>案件入力!P241</f>
        <v/>
      </c>
    </row>
    <row r="242">
      <c r="A242" s="31">
        <f>案件入力!A242</f>
        <v/>
      </c>
      <c r="B242" s="32">
        <f>案件入力!B242</f>
        <v/>
      </c>
      <c r="C242" s="33">
        <f>案件入力!C242</f>
        <v/>
      </c>
      <c r="D242" s="31">
        <f>案件入力!D242</f>
        <v/>
      </c>
      <c r="E242" s="31">
        <f>案件入力!E242</f>
        <v/>
      </c>
      <c r="F242" s="31">
        <f>案件入力!F242</f>
        <v/>
      </c>
      <c r="G242" s="34">
        <f>案件入力!G242</f>
        <v/>
      </c>
      <c r="H242" s="34">
        <f>案件入力!H242</f>
        <v/>
      </c>
      <c r="I242" s="32">
        <f>案件入力!I242</f>
        <v/>
      </c>
      <c r="J242" s="34">
        <f>案件入力!J242</f>
        <v/>
      </c>
      <c r="K242" s="34">
        <f>案件入力!K242</f>
        <v/>
      </c>
      <c r="L242" s="32">
        <f>案件入力!L242</f>
        <v/>
      </c>
      <c r="M242" s="33">
        <f>案件入力!M242</f>
        <v/>
      </c>
      <c r="N242" s="31">
        <f>案件入力!N242</f>
        <v/>
      </c>
      <c r="O242" s="31">
        <f>案件入力!O242</f>
        <v/>
      </c>
      <c r="P242" s="31">
        <f>案件入力!P242</f>
        <v/>
      </c>
    </row>
    <row r="243">
      <c r="A243" s="31">
        <f>案件入力!A243</f>
        <v/>
      </c>
      <c r="B243" s="32">
        <f>案件入力!B243</f>
        <v/>
      </c>
      <c r="C243" s="33">
        <f>案件入力!C243</f>
        <v/>
      </c>
      <c r="D243" s="31">
        <f>案件入力!D243</f>
        <v/>
      </c>
      <c r="E243" s="31">
        <f>案件入力!E243</f>
        <v/>
      </c>
      <c r="F243" s="31">
        <f>案件入力!F243</f>
        <v/>
      </c>
      <c r="G243" s="34">
        <f>案件入力!G243</f>
        <v/>
      </c>
      <c r="H243" s="34">
        <f>案件入力!H243</f>
        <v/>
      </c>
      <c r="I243" s="32">
        <f>案件入力!I243</f>
        <v/>
      </c>
      <c r="J243" s="34">
        <f>案件入力!J243</f>
        <v/>
      </c>
      <c r="K243" s="34">
        <f>案件入力!K243</f>
        <v/>
      </c>
      <c r="L243" s="32">
        <f>案件入力!L243</f>
        <v/>
      </c>
      <c r="M243" s="33">
        <f>案件入力!M243</f>
        <v/>
      </c>
      <c r="N243" s="31">
        <f>案件入力!N243</f>
        <v/>
      </c>
      <c r="O243" s="31">
        <f>案件入力!O243</f>
        <v/>
      </c>
      <c r="P243" s="31">
        <f>案件入力!P243</f>
        <v/>
      </c>
    </row>
    <row r="244">
      <c r="A244" s="31">
        <f>案件入力!A244</f>
        <v/>
      </c>
      <c r="B244" s="32">
        <f>案件入力!B244</f>
        <v/>
      </c>
      <c r="C244" s="33">
        <f>案件入力!C244</f>
        <v/>
      </c>
      <c r="D244" s="31">
        <f>案件入力!D244</f>
        <v/>
      </c>
      <c r="E244" s="31">
        <f>案件入力!E244</f>
        <v/>
      </c>
      <c r="F244" s="31">
        <f>案件入力!F244</f>
        <v/>
      </c>
      <c r="G244" s="34">
        <f>案件入力!G244</f>
        <v/>
      </c>
      <c r="H244" s="34">
        <f>案件入力!H244</f>
        <v/>
      </c>
      <c r="I244" s="32">
        <f>案件入力!I244</f>
        <v/>
      </c>
      <c r="J244" s="34">
        <f>案件入力!J244</f>
        <v/>
      </c>
      <c r="K244" s="34">
        <f>案件入力!K244</f>
        <v/>
      </c>
      <c r="L244" s="32">
        <f>案件入力!L244</f>
        <v/>
      </c>
      <c r="M244" s="33">
        <f>案件入力!M244</f>
        <v/>
      </c>
      <c r="N244" s="31">
        <f>案件入力!N244</f>
        <v/>
      </c>
      <c r="O244" s="31">
        <f>案件入力!O244</f>
        <v/>
      </c>
      <c r="P244" s="31">
        <f>案件入力!P244</f>
        <v/>
      </c>
    </row>
    <row r="245">
      <c r="A245" s="31">
        <f>案件入力!A245</f>
        <v/>
      </c>
      <c r="B245" s="32">
        <f>案件入力!B245</f>
        <v/>
      </c>
      <c r="C245" s="33">
        <f>案件入力!C245</f>
        <v/>
      </c>
      <c r="D245" s="31">
        <f>案件入力!D245</f>
        <v/>
      </c>
      <c r="E245" s="31">
        <f>案件入力!E245</f>
        <v/>
      </c>
      <c r="F245" s="31">
        <f>案件入力!F245</f>
        <v/>
      </c>
      <c r="G245" s="34">
        <f>案件入力!G245</f>
        <v/>
      </c>
      <c r="H245" s="34">
        <f>案件入力!H245</f>
        <v/>
      </c>
      <c r="I245" s="32">
        <f>案件入力!I245</f>
        <v/>
      </c>
      <c r="J245" s="34">
        <f>案件入力!J245</f>
        <v/>
      </c>
      <c r="K245" s="34">
        <f>案件入力!K245</f>
        <v/>
      </c>
      <c r="L245" s="32">
        <f>案件入力!L245</f>
        <v/>
      </c>
      <c r="M245" s="33">
        <f>案件入力!M245</f>
        <v/>
      </c>
      <c r="N245" s="31">
        <f>案件入力!N245</f>
        <v/>
      </c>
      <c r="O245" s="31">
        <f>案件入力!O245</f>
        <v/>
      </c>
      <c r="P245" s="31">
        <f>案件入力!P245</f>
        <v/>
      </c>
    </row>
    <row r="246">
      <c r="A246" s="31">
        <f>案件入力!A246</f>
        <v/>
      </c>
      <c r="B246" s="32">
        <f>案件入力!B246</f>
        <v/>
      </c>
      <c r="C246" s="33">
        <f>案件入力!C246</f>
        <v/>
      </c>
      <c r="D246" s="31">
        <f>案件入力!D246</f>
        <v/>
      </c>
      <c r="E246" s="31">
        <f>案件入力!E246</f>
        <v/>
      </c>
      <c r="F246" s="31">
        <f>案件入力!F246</f>
        <v/>
      </c>
      <c r="G246" s="34">
        <f>案件入力!G246</f>
        <v/>
      </c>
      <c r="H246" s="34">
        <f>案件入力!H246</f>
        <v/>
      </c>
      <c r="I246" s="32">
        <f>案件入力!I246</f>
        <v/>
      </c>
      <c r="J246" s="34">
        <f>案件入力!J246</f>
        <v/>
      </c>
      <c r="K246" s="34">
        <f>案件入力!K246</f>
        <v/>
      </c>
      <c r="L246" s="32">
        <f>案件入力!L246</f>
        <v/>
      </c>
      <c r="M246" s="33">
        <f>案件入力!M246</f>
        <v/>
      </c>
      <c r="N246" s="31">
        <f>案件入力!N246</f>
        <v/>
      </c>
      <c r="O246" s="31">
        <f>案件入力!O246</f>
        <v/>
      </c>
      <c r="P246" s="31">
        <f>案件入力!P246</f>
        <v/>
      </c>
    </row>
    <row r="247">
      <c r="A247" s="31">
        <f>案件入力!A247</f>
        <v/>
      </c>
      <c r="B247" s="32">
        <f>案件入力!B247</f>
        <v/>
      </c>
      <c r="C247" s="33">
        <f>案件入力!C247</f>
        <v/>
      </c>
      <c r="D247" s="31">
        <f>案件入力!D247</f>
        <v/>
      </c>
      <c r="E247" s="31">
        <f>案件入力!E247</f>
        <v/>
      </c>
      <c r="F247" s="31">
        <f>案件入力!F247</f>
        <v/>
      </c>
      <c r="G247" s="34">
        <f>案件入力!G247</f>
        <v/>
      </c>
      <c r="H247" s="34">
        <f>案件入力!H247</f>
        <v/>
      </c>
      <c r="I247" s="32">
        <f>案件入力!I247</f>
        <v/>
      </c>
      <c r="J247" s="34">
        <f>案件入力!J247</f>
        <v/>
      </c>
      <c r="K247" s="34">
        <f>案件入力!K247</f>
        <v/>
      </c>
      <c r="L247" s="32">
        <f>案件入力!L247</f>
        <v/>
      </c>
      <c r="M247" s="33">
        <f>案件入力!M247</f>
        <v/>
      </c>
      <c r="N247" s="31">
        <f>案件入力!N247</f>
        <v/>
      </c>
      <c r="O247" s="31">
        <f>案件入力!O247</f>
        <v/>
      </c>
      <c r="P247" s="31">
        <f>案件入力!P247</f>
        <v/>
      </c>
    </row>
    <row r="248">
      <c r="A248" s="31">
        <f>案件入力!A248</f>
        <v/>
      </c>
      <c r="B248" s="32">
        <f>案件入力!B248</f>
        <v/>
      </c>
      <c r="C248" s="33">
        <f>案件入力!C248</f>
        <v/>
      </c>
      <c r="D248" s="31">
        <f>案件入力!D248</f>
        <v/>
      </c>
      <c r="E248" s="31">
        <f>案件入力!E248</f>
        <v/>
      </c>
      <c r="F248" s="31">
        <f>案件入力!F248</f>
        <v/>
      </c>
      <c r="G248" s="34">
        <f>案件入力!G248</f>
        <v/>
      </c>
      <c r="H248" s="34">
        <f>案件入力!H248</f>
        <v/>
      </c>
      <c r="I248" s="32">
        <f>案件入力!I248</f>
        <v/>
      </c>
      <c r="J248" s="34">
        <f>案件入力!J248</f>
        <v/>
      </c>
      <c r="K248" s="34">
        <f>案件入力!K248</f>
        <v/>
      </c>
      <c r="L248" s="32">
        <f>案件入力!L248</f>
        <v/>
      </c>
      <c r="M248" s="33">
        <f>案件入力!M248</f>
        <v/>
      </c>
      <c r="N248" s="31">
        <f>案件入力!N248</f>
        <v/>
      </c>
      <c r="O248" s="31">
        <f>案件入力!O248</f>
        <v/>
      </c>
      <c r="P248" s="31">
        <f>案件入力!P248</f>
        <v/>
      </c>
    </row>
    <row r="249">
      <c r="A249" s="31">
        <f>案件入力!A249</f>
        <v/>
      </c>
      <c r="B249" s="32">
        <f>案件入力!B249</f>
        <v/>
      </c>
      <c r="C249" s="33">
        <f>案件入力!C249</f>
        <v/>
      </c>
      <c r="D249" s="31">
        <f>案件入力!D249</f>
        <v/>
      </c>
      <c r="E249" s="31">
        <f>案件入力!E249</f>
        <v/>
      </c>
      <c r="F249" s="31">
        <f>案件入力!F249</f>
        <v/>
      </c>
      <c r="G249" s="34">
        <f>案件入力!G249</f>
        <v/>
      </c>
      <c r="H249" s="34">
        <f>案件入力!H249</f>
        <v/>
      </c>
      <c r="I249" s="32">
        <f>案件入力!I249</f>
        <v/>
      </c>
      <c r="J249" s="34">
        <f>案件入力!J249</f>
        <v/>
      </c>
      <c r="K249" s="34">
        <f>案件入力!K249</f>
        <v/>
      </c>
      <c r="L249" s="32">
        <f>案件入力!L249</f>
        <v/>
      </c>
      <c r="M249" s="33">
        <f>案件入力!M249</f>
        <v/>
      </c>
      <c r="N249" s="31">
        <f>案件入力!N249</f>
        <v/>
      </c>
      <c r="O249" s="31">
        <f>案件入力!O249</f>
        <v/>
      </c>
      <c r="P249" s="31">
        <f>案件入力!P249</f>
        <v/>
      </c>
    </row>
    <row r="250">
      <c r="A250" s="31">
        <f>案件入力!A250</f>
        <v/>
      </c>
      <c r="B250" s="32">
        <f>案件入力!B250</f>
        <v/>
      </c>
      <c r="C250" s="33">
        <f>案件入力!C250</f>
        <v/>
      </c>
      <c r="D250" s="31">
        <f>案件入力!D250</f>
        <v/>
      </c>
      <c r="E250" s="31">
        <f>案件入力!E250</f>
        <v/>
      </c>
      <c r="F250" s="31">
        <f>案件入力!F250</f>
        <v/>
      </c>
      <c r="G250" s="34">
        <f>案件入力!G250</f>
        <v/>
      </c>
      <c r="H250" s="34">
        <f>案件入力!H250</f>
        <v/>
      </c>
      <c r="I250" s="32">
        <f>案件入力!I250</f>
        <v/>
      </c>
      <c r="J250" s="34">
        <f>案件入力!J250</f>
        <v/>
      </c>
      <c r="K250" s="34">
        <f>案件入力!K250</f>
        <v/>
      </c>
      <c r="L250" s="32">
        <f>案件入力!L250</f>
        <v/>
      </c>
      <c r="M250" s="33">
        <f>案件入力!M250</f>
        <v/>
      </c>
      <c r="N250" s="31">
        <f>案件入力!N250</f>
        <v/>
      </c>
      <c r="O250" s="31">
        <f>案件入力!O250</f>
        <v/>
      </c>
      <c r="P250" s="31">
        <f>案件入力!P250</f>
        <v/>
      </c>
    </row>
    <row r="251">
      <c r="A251" s="31">
        <f>案件入力!A251</f>
        <v/>
      </c>
      <c r="B251" s="32">
        <f>案件入力!B251</f>
        <v/>
      </c>
      <c r="C251" s="33">
        <f>案件入力!C251</f>
        <v/>
      </c>
      <c r="D251" s="31">
        <f>案件入力!D251</f>
        <v/>
      </c>
      <c r="E251" s="31">
        <f>案件入力!E251</f>
        <v/>
      </c>
      <c r="F251" s="31">
        <f>案件入力!F251</f>
        <v/>
      </c>
      <c r="G251" s="34">
        <f>案件入力!G251</f>
        <v/>
      </c>
      <c r="H251" s="34">
        <f>案件入力!H251</f>
        <v/>
      </c>
      <c r="I251" s="32">
        <f>案件入力!I251</f>
        <v/>
      </c>
      <c r="J251" s="34">
        <f>案件入力!J251</f>
        <v/>
      </c>
      <c r="K251" s="34">
        <f>案件入力!K251</f>
        <v/>
      </c>
      <c r="L251" s="32">
        <f>案件入力!L251</f>
        <v/>
      </c>
      <c r="M251" s="33">
        <f>案件入力!M251</f>
        <v/>
      </c>
      <c r="N251" s="31">
        <f>案件入力!N251</f>
        <v/>
      </c>
      <c r="O251" s="31">
        <f>案件入力!O251</f>
        <v/>
      </c>
      <c r="P251" s="31">
        <f>案件入力!P251</f>
        <v/>
      </c>
    </row>
    <row r="252">
      <c r="A252" s="31">
        <f>案件入力!A252</f>
        <v/>
      </c>
      <c r="B252" s="32">
        <f>案件入力!B252</f>
        <v/>
      </c>
      <c r="C252" s="33">
        <f>案件入力!C252</f>
        <v/>
      </c>
      <c r="D252" s="31">
        <f>案件入力!D252</f>
        <v/>
      </c>
      <c r="E252" s="31">
        <f>案件入力!E252</f>
        <v/>
      </c>
      <c r="F252" s="31">
        <f>案件入力!F252</f>
        <v/>
      </c>
      <c r="G252" s="34">
        <f>案件入力!G252</f>
        <v/>
      </c>
      <c r="H252" s="34">
        <f>案件入力!H252</f>
        <v/>
      </c>
      <c r="I252" s="32">
        <f>案件入力!I252</f>
        <v/>
      </c>
      <c r="J252" s="34">
        <f>案件入力!J252</f>
        <v/>
      </c>
      <c r="K252" s="34">
        <f>案件入力!K252</f>
        <v/>
      </c>
      <c r="L252" s="32">
        <f>案件入力!L252</f>
        <v/>
      </c>
      <c r="M252" s="33">
        <f>案件入力!M252</f>
        <v/>
      </c>
      <c r="N252" s="31">
        <f>案件入力!N252</f>
        <v/>
      </c>
      <c r="O252" s="31">
        <f>案件入力!O252</f>
        <v/>
      </c>
      <c r="P252" s="31">
        <f>案件入力!P252</f>
        <v/>
      </c>
    </row>
    <row r="253">
      <c r="A253" s="31">
        <f>案件入力!A253</f>
        <v/>
      </c>
      <c r="B253" s="32">
        <f>案件入力!B253</f>
        <v/>
      </c>
      <c r="C253" s="33">
        <f>案件入力!C253</f>
        <v/>
      </c>
      <c r="D253" s="31">
        <f>案件入力!D253</f>
        <v/>
      </c>
      <c r="E253" s="31">
        <f>案件入力!E253</f>
        <v/>
      </c>
      <c r="F253" s="31">
        <f>案件入力!F253</f>
        <v/>
      </c>
      <c r="G253" s="34">
        <f>案件入力!G253</f>
        <v/>
      </c>
      <c r="H253" s="34">
        <f>案件入力!H253</f>
        <v/>
      </c>
      <c r="I253" s="32">
        <f>案件入力!I253</f>
        <v/>
      </c>
      <c r="J253" s="34">
        <f>案件入力!J253</f>
        <v/>
      </c>
      <c r="K253" s="34">
        <f>案件入力!K253</f>
        <v/>
      </c>
      <c r="L253" s="32">
        <f>案件入力!L253</f>
        <v/>
      </c>
      <c r="M253" s="33">
        <f>案件入力!M253</f>
        <v/>
      </c>
      <c r="N253" s="31">
        <f>案件入力!N253</f>
        <v/>
      </c>
      <c r="O253" s="31">
        <f>案件入力!O253</f>
        <v/>
      </c>
      <c r="P253" s="31">
        <f>案件入力!P253</f>
        <v/>
      </c>
    </row>
    <row r="254">
      <c r="A254" s="31">
        <f>案件入力!A254</f>
        <v/>
      </c>
      <c r="B254" s="32">
        <f>案件入力!B254</f>
        <v/>
      </c>
      <c r="C254" s="33">
        <f>案件入力!C254</f>
        <v/>
      </c>
      <c r="D254" s="31">
        <f>案件入力!D254</f>
        <v/>
      </c>
      <c r="E254" s="31">
        <f>案件入力!E254</f>
        <v/>
      </c>
      <c r="F254" s="31">
        <f>案件入力!F254</f>
        <v/>
      </c>
      <c r="G254" s="34">
        <f>案件入力!G254</f>
        <v/>
      </c>
      <c r="H254" s="34">
        <f>案件入力!H254</f>
        <v/>
      </c>
      <c r="I254" s="32">
        <f>案件入力!I254</f>
        <v/>
      </c>
      <c r="J254" s="34">
        <f>案件入力!J254</f>
        <v/>
      </c>
      <c r="K254" s="34">
        <f>案件入力!K254</f>
        <v/>
      </c>
      <c r="L254" s="32">
        <f>案件入力!L254</f>
        <v/>
      </c>
      <c r="M254" s="33">
        <f>案件入力!M254</f>
        <v/>
      </c>
      <c r="N254" s="31">
        <f>案件入力!N254</f>
        <v/>
      </c>
      <c r="O254" s="31">
        <f>案件入力!O254</f>
        <v/>
      </c>
      <c r="P254" s="31">
        <f>案件入力!P254</f>
        <v/>
      </c>
    </row>
    <row r="255">
      <c r="A255" s="31">
        <f>案件入力!A255</f>
        <v/>
      </c>
      <c r="B255" s="32">
        <f>案件入力!B255</f>
        <v/>
      </c>
      <c r="C255" s="33">
        <f>案件入力!C255</f>
        <v/>
      </c>
      <c r="D255" s="31">
        <f>案件入力!D255</f>
        <v/>
      </c>
      <c r="E255" s="31">
        <f>案件入力!E255</f>
        <v/>
      </c>
      <c r="F255" s="31">
        <f>案件入力!F255</f>
        <v/>
      </c>
      <c r="G255" s="34">
        <f>案件入力!G255</f>
        <v/>
      </c>
      <c r="H255" s="34">
        <f>案件入力!H255</f>
        <v/>
      </c>
      <c r="I255" s="32">
        <f>案件入力!I255</f>
        <v/>
      </c>
      <c r="J255" s="34">
        <f>案件入力!J255</f>
        <v/>
      </c>
      <c r="K255" s="34">
        <f>案件入力!K255</f>
        <v/>
      </c>
      <c r="L255" s="32">
        <f>案件入力!L255</f>
        <v/>
      </c>
      <c r="M255" s="33">
        <f>案件入力!M255</f>
        <v/>
      </c>
      <c r="N255" s="31">
        <f>案件入力!N255</f>
        <v/>
      </c>
      <c r="O255" s="31">
        <f>案件入力!O255</f>
        <v/>
      </c>
      <c r="P255" s="31">
        <f>案件入力!P255</f>
        <v/>
      </c>
    </row>
    <row r="256">
      <c r="A256" s="31">
        <f>案件入力!A256</f>
        <v/>
      </c>
      <c r="B256" s="32">
        <f>案件入力!B256</f>
        <v/>
      </c>
      <c r="C256" s="33">
        <f>案件入力!C256</f>
        <v/>
      </c>
      <c r="D256" s="31">
        <f>案件入力!D256</f>
        <v/>
      </c>
      <c r="E256" s="31">
        <f>案件入力!E256</f>
        <v/>
      </c>
      <c r="F256" s="31">
        <f>案件入力!F256</f>
        <v/>
      </c>
      <c r="G256" s="34">
        <f>案件入力!G256</f>
        <v/>
      </c>
      <c r="H256" s="34">
        <f>案件入力!H256</f>
        <v/>
      </c>
      <c r="I256" s="32">
        <f>案件入力!I256</f>
        <v/>
      </c>
      <c r="J256" s="34">
        <f>案件入力!J256</f>
        <v/>
      </c>
      <c r="K256" s="34">
        <f>案件入力!K256</f>
        <v/>
      </c>
      <c r="L256" s="32">
        <f>案件入力!L256</f>
        <v/>
      </c>
      <c r="M256" s="33">
        <f>案件入力!M256</f>
        <v/>
      </c>
      <c r="N256" s="31">
        <f>案件入力!N256</f>
        <v/>
      </c>
      <c r="O256" s="31">
        <f>案件入力!O256</f>
        <v/>
      </c>
      <c r="P256" s="31">
        <f>案件入力!P256</f>
        <v/>
      </c>
    </row>
    <row r="257">
      <c r="A257" s="31">
        <f>案件入力!A257</f>
        <v/>
      </c>
      <c r="B257" s="32">
        <f>案件入力!B257</f>
        <v/>
      </c>
      <c r="C257" s="33">
        <f>案件入力!C257</f>
        <v/>
      </c>
      <c r="D257" s="31">
        <f>案件入力!D257</f>
        <v/>
      </c>
      <c r="E257" s="31">
        <f>案件入力!E257</f>
        <v/>
      </c>
      <c r="F257" s="31">
        <f>案件入力!F257</f>
        <v/>
      </c>
      <c r="G257" s="34">
        <f>案件入力!G257</f>
        <v/>
      </c>
      <c r="H257" s="34">
        <f>案件入力!H257</f>
        <v/>
      </c>
      <c r="I257" s="32">
        <f>案件入力!I257</f>
        <v/>
      </c>
      <c r="J257" s="34">
        <f>案件入力!J257</f>
        <v/>
      </c>
      <c r="K257" s="34">
        <f>案件入力!K257</f>
        <v/>
      </c>
      <c r="L257" s="32">
        <f>案件入力!L257</f>
        <v/>
      </c>
      <c r="M257" s="33">
        <f>案件入力!M257</f>
        <v/>
      </c>
      <c r="N257" s="31">
        <f>案件入力!N257</f>
        <v/>
      </c>
      <c r="O257" s="31">
        <f>案件入力!O257</f>
        <v/>
      </c>
      <c r="P257" s="31">
        <f>案件入力!P257</f>
        <v/>
      </c>
    </row>
    <row r="258">
      <c r="A258" s="31">
        <f>案件入力!A258</f>
        <v/>
      </c>
      <c r="B258" s="32">
        <f>案件入力!B258</f>
        <v/>
      </c>
      <c r="C258" s="33">
        <f>案件入力!C258</f>
        <v/>
      </c>
      <c r="D258" s="31">
        <f>案件入力!D258</f>
        <v/>
      </c>
      <c r="E258" s="31">
        <f>案件入力!E258</f>
        <v/>
      </c>
      <c r="F258" s="31">
        <f>案件入力!F258</f>
        <v/>
      </c>
      <c r="G258" s="34">
        <f>案件入力!G258</f>
        <v/>
      </c>
      <c r="H258" s="34">
        <f>案件入力!H258</f>
        <v/>
      </c>
      <c r="I258" s="32">
        <f>案件入力!I258</f>
        <v/>
      </c>
      <c r="J258" s="34">
        <f>案件入力!J258</f>
        <v/>
      </c>
      <c r="K258" s="34">
        <f>案件入力!K258</f>
        <v/>
      </c>
      <c r="L258" s="32">
        <f>案件入力!L258</f>
        <v/>
      </c>
      <c r="M258" s="33">
        <f>案件入力!M258</f>
        <v/>
      </c>
      <c r="N258" s="31">
        <f>案件入力!N258</f>
        <v/>
      </c>
      <c r="O258" s="31">
        <f>案件入力!O258</f>
        <v/>
      </c>
      <c r="P258" s="31">
        <f>案件入力!P258</f>
        <v/>
      </c>
    </row>
    <row r="259">
      <c r="A259" s="31">
        <f>案件入力!A259</f>
        <v/>
      </c>
      <c r="B259" s="32">
        <f>案件入力!B259</f>
        <v/>
      </c>
      <c r="C259" s="33">
        <f>案件入力!C259</f>
        <v/>
      </c>
      <c r="D259" s="31">
        <f>案件入力!D259</f>
        <v/>
      </c>
      <c r="E259" s="31">
        <f>案件入力!E259</f>
        <v/>
      </c>
      <c r="F259" s="31">
        <f>案件入力!F259</f>
        <v/>
      </c>
      <c r="G259" s="34">
        <f>案件入力!G259</f>
        <v/>
      </c>
      <c r="H259" s="34">
        <f>案件入力!H259</f>
        <v/>
      </c>
      <c r="I259" s="32">
        <f>案件入力!I259</f>
        <v/>
      </c>
      <c r="J259" s="34">
        <f>案件入力!J259</f>
        <v/>
      </c>
      <c r="K259" s="34">
        <f>案件入力!K259</f>
        <v/>
      </c>
      <c r="L259" s="32">
        <f>案件入力!L259</f>
        <v/>
      </c>
      <c r="M259" s="33">
        <f>案件入力!M259</f>
        <v/>
      </c>
      <c r="N259" s="31">
        <f>案件入力!N259</f>
        <v/>
      </c>
      <c r="O259" s="31">
        <f>案件入力!O259</f>
        <v/>
      </c>
      <c r="P259" s="31">
        <f>案件入力!P259</f>
        <v/>
      </c>
    </row>
    <row r="260">
      <c r="A260" s="31">
        <f>案件入力!A260</f>
        <v/>
      </c>
      <c r="B260" s="32">
        <f>案件入力!B260</f>
        <v/>
      </c>
      <c r="C260" s="33">
        <f>案件入力!C260</f>
        <v/>
      </c>
      <c r="D260" s="31">
        <f>案件入力!D260</f>
        <v/>
      </c>
      <c r="E260" s="31">
        <f>案件入力!E260</f>
        <v/>
      </c>
      <c r="F260" s="31">
        <f>案件入力!F260</f>
        <v/>
      </c>
      <c r="G260" s="34">
        <f>案件入力!G260</f>
        <v/>
      </c>
      <c r="H260" s="34">
        <f>案件入力!H260</f>
        <v/>
      </c>
      <c r="I260" s="32">
        <f>案件入力!I260</f>
        <v/>
      </c>
      <c r="J260" s="34">
        <f>案件入力!J260</f>
        <v/>
      </c>
      <c r="K260" s="34">
        <f>案件入力!K260</f>
        <v/>
      </c>
      <c r="L260" s="32">
        <f>案件入力!L260</f>
        <v/>
      </c>
      <c r="M260" s="33">
        <f>案件入力!M260</f>
        <v/>
      </c>
      <c r="N260" s="31">
        <f>案件入力!N260</f>
        <v/>
      </c>
      <c r="O260" s="31">
        <f>案件入力!O260</f>
        <v/>
      </c>
      <c r="P260" s="31">
        <f>案件入力!P260</f>
        <v/>
      </c>
    </row>
    <row r="261">
      <c r="A261" s="31">
        <f>案件入力!A261</f>
        <v/>
      </c>
      <c r="B261" s="32">
        <f>案件入力!B261</f>
        <v/>
      </c>
      <c r="C261" s="33">
        <f>案件入力!C261</f>
        <v/>
      </c>
      <c r="D261" s="31">
        <f>案件入力!D261</f>
        <v/>
      </c>
      <c r="E261" s="31">
        <f>案件入力!E261</f>
        <v/>
      </c>
      <c r="F261" s="31">
        <f>案件入力!F261</f>
        <v/>
      </c>
      <c r="G261" s="34">
        <f>案件入力!G261</f>
        <v/>
      </c>
      <c r="H261" s="34">
        <f>案件入力!H261</f>
        <v/>
      </c>
      <c r="I261" s="32">
        <f>案件入力!I261</f>
        <v/>
      </c>
      <c r="J261" s="34">
        <f>案件入力!J261</f>
        <v/>
      </c>
      <c r="K261" s="34">
        <f>案件入力!K261</f>
        <v/>
      </c>
      <c r="L261" s="32">
        <f>案件入力!L261</f>
        <v/>
      </c>
      <c r="M261" s="33">
        <f>案件入力!M261</f>
        <v/>
      </c>
      <c r="N261" s="31">
        <f>案件入力!N261</f>
        <v/>
      </c>
      <c r="O261" s="31">
        <f>案件入力!O261</f>
        <v/>
      </c>
      <c r="P261" s="31">
        <f>案件入力!P261</f>
        <v/>
      </c>
    </row>
    <row r="262">
      <c r="A262" s="31">
        <f>案件入力!A262</f>
        <v/>
      </c>
      <c r="B262" s="32">
        <f>案件入力!B262</f>
        <v/>
      </c>
      <c r="C262" s="33">
        <f>案件入力!C262</f>
        <v/>
      </c>
      <c r="D262" s="31">
        <f>案件入力!D262</f>
        <v/>
      </c>
      <c r="E262" s="31">
        <f>案件入力!E262</f>
        <v/>
      </c>
      <c r="F262" s="31">
        <f>案件入力!F262</f>
        <v/>
      </c>
      <c r="G262" s="34">
        <f>案件入力!G262</f>
        <v/>
      </c>
      <c r="H262" s="34">
        <f>案件入力!H262</f>
        <v/>
      </c>
      <c r="I262" s="32">
        <f>案件入力!I262</f>
        <v/>
      </c>
      <c r="J262" s="34">
        <f>案件入力!J262</f>
        <v/>
      </c>
      <c r="K262" s="34">
        <f>案件入力!K262</f>
        <v/>
      </c>
      <c r="L262" s="32">
        <f>案件入力!L262</f>
        <v/>
      </c>
      <c r="M262" s="33">
        <f>案件入力!M262</f>
        <v/>
      </c>
      <c r="N262" s="31">
        <f>案件入力!N262</f>
        <v/>
      </c>
      <c r="O262" s="31">
        <f>案件入力!O262</f>
        <v/>
      </c>
      <c r="P262" s="31">
        <f>案件入力!P262</f>
        <v/>
      </c>
    </row>
    <row r="263">
      <c r="A263" s="31">
        <f>案件入力!A263</f>
        <v/>
      </c>
      <c r="B263" s="32">
        <f>案件入力!B263</f>
        <v/>
      </c>
      <c r="C263" s="33">
        <f>案件入力!C263</f>
        <v/>
      </c>
      <c r="D263" s="31">
        <f>案件入力!D263</f>
        <v/>
      </c>
      <c r="E263" s="31">
        <f>案件入力!E263</f>
        <v/>
      </c>
      <c r="F263" s="31">
        <f>案件入力!F263</f>
        <v/>
      </c>
      <c r="G263" s="34">
        <f>案件入力!G263</f>
        <v/>
      </c>
      <c r="H263" s="34">
        <f>案件入力!H263</f>
        <v/>
      </c>
      <c r="I263" s="32">
        <f>案件入力!I263</f>
        <v/>
      </c>
      <c r="J263" s="34">
        <f>案件入力!J263</f>
        <v/>
      </c>
      <c r="K263" s="34">
        <f>案件入力!K263</f>
        <v/>
      </c>
      <c r="L263" s="32">
        <f>案件入力!L263</f>
        <v/>
      </c>
      <c r="M263" s="33">
        <f>案件入力!M263</f>
        <v/>
      </c>
      <c r="N263" s="31">
        <f>案件入力!N263</f>
        <v/>
      </c>
      <c r="O263" s="31">
        <f>案件入力!O263</f>
        <v/>
      </c>
      <c r="P263" s="31">
        <f>案件入力!P263</f>
        <v/>
      </c>
    </row>
    <row r="264">
      <c r="A264" s="31">
        <f>案件入力!A264</f>
        <v/>
      </c>
      <c r="B264" s="32">
        <f>案件入力!B264</f>
        <v/>
      </c>
      <c r="C264" s="33">
        <f>案件入力!C264</f>
        <v/>
      </c>
      <c r="D264" s="31">
        <f>案件入力!D264</f>
        <v/>
      </c>
      <c r="E264" s="31">
        <f>案件入力!E264</f>
        <v/>
      </c>
      <c r="F264" s="31">
        <f>案件入力!F264</f>
        <v/>
      </c>
      <c r="G264" s="34">
        <f>案件入力!G264</f>
        <v/>
      </c>
      <c r="H264" s="34">
        <f>案件入力!H264</f>
        <v/>
      </c>
      <c r="I264" s="32">
        <f>案件入力!I264</f>
        <v/>
      </c>
      <c r="J264" s="34">
        <f>案件入力!J264</f>
        <v/>
      </c>
      <c r="K264" s="34">
        <f>案件入力!K264</f>
        <v/>
      </c>
      <c r="L264" s="32">
        <f>案件入力!L264</f>
        <v/>
      </c>
      <c r="M264" s="33">
        <f>案件入力!M264</f>
        <v/>
      </c>
      <c r="N264" s="31">
        <f>案件入力!N264</f>
        <v/>
      </c>
      <c r="O264" s="31">
        <f>案件入力!O264</f>
        <v/>
      </c>
      <c r="P264" s="31">
        <f>案件入力!P264</f>
        <v/>
      </c>
    </row>
    <row r="265">
      <c r="A265" s="31">
        <f>案件入力!A265</f>
        <v/>
      </c>
      <c r="B265" s="32">
        <f>案件入力!B265</f>
        <v/>
      </c>
      <c r="C265" s="33">
        <f>案件入力!C265</f>
        <v/>
      </c>
      <c r="D265" s="31">
        <f>案件入力!D265</f>
        <v/>
      </c>
      <c r="E265" s="31">
        <f>案件入力!E265</f>
        <v/>
      </c>
      <c r="F265" s="31">
        <f>案件入力!F265</f>
        <v/>
      </c>
      <c r="G265" s="34">
        <f>案件入力!G265</f>
        <v/>
      </c>
      <c r="H265" s="34">
        <f>案件入力!H265</f>
        <v/>
      </c>
      <c r="I265" s="32">
        <f>案件入力!I265</f>
        <v/>
      </c>
      <c r="J265" s="34">
        <f>案件入力!J265</f>
        <v/>
      </c>
      <c r="K265" s="34">
        <f>案件入力!K265</f>
        <v/>
      </c>
      <c r="L265" s="32">
        <f>案件入力!L265</f>
        <v/>
      </c>
      <c r="M265" s="33">
        <f>案件入力!M265</f>
        <v/>
      </c>
      <c r="N265" s="31">
        <f>案件入力!N265</f>
        <v/>
      </c>
      <c r="O265" s="31">
        <f>案件入力!O265</f>
        <v/>
      </c>
      <c r="P265" s="31">
        <f>案件入力!P265</f>
        <v/>
      </c>
    </row>
    <row r="266">
      <c r="A266" s="31">
        <f>案件入力!A266</f>
        <v/>
      </c>
      <c r="B266" s="32">
        <f>案件入力!B266</f>
        <v/>
      </c>
      <c r="C266" s="33">
        <f>案件入力!C266</f>
        <v/>
      </c>
      <c r="D266" s="31">
        <f>案件入力!D266</f>
        <v/>
      </c>
      <c r="E266" s="31">
        <f>案件入力!E266</f>
        <v/>
      </c>
      <c r="F266" s="31">
        <f>案件入力!F266</f>
        <v/>
      </c>
      <c r="G266" s="34">
        <f>案件入力!G266</f>
        <v/>
      </c>
      <c r="H266" s="34">
        <f>案件入力!H266</f>
        <v/>
      </c>
      <c r="I266" s="32">
        <f>案件入力!I266</f>
        <v/>
      </c>
      <c r="J266" s="34">
        <f>案件入力!J266</f>
        <v/>
      </c>
      <c r="K266" s="34">
        <f>案件入力!K266</f>
        <v/>
      </c>
      <c r="L266" s="32">
        <f>案件入力!L266</f>
        <v/>
      </c>
      <c r="M266" s="33">
        <f>案件入力!M266</f>
        <v/>
      </c>
      <c r="N266" s="31">
        <f>案件入力!N266</f>
        <v/>
      </c>
      <c r="O266" s="31">
        <f>案件入力!O266</f>
        <v/>
      </c>
      <c r="P266" s="31">
        <f>案件入力!P266</f>
        <v/>
      </c>
    </row>
    <row r="267">
      <c r="A267" s="31">
        <f>案件入力!A267</f>
        <v/>
      </c>
      <c r="B267" s="32">
        <f>案件入力!B267</f>
        <v/>
      </c>
      <c r="C267" s="33">
        <f>案件入力!C267</f>
        <v/>
      </c>
      <c r="D267" s="31">
        <f>案件入力!D267</f>
        <v/>
      </c>
      <c r="E267" s="31">
        <f>案件入力!E267</f>
        <v/>
      </c>
      <c r="F267" s="31">
        <f>案件入力!F267</f>
        <v/>
      </c>
      <c r="G267" s="34">
        <f>案件入力!G267</f>
        <v/>
      </c>
      <c r="H267" s="34">
        <f>案件入力!H267</f>
        <v/>
      </c>
      <c r="I267" s="32">
        <f>案件入力!I267</f>
        <v/>
      </c>
      <c r="J267" s="34">
        <f>案件入力!J267</f>
        <v/>
      </c>
      <c r="K267" s="34">
        <f>案件入力!K267</f>
        <v/>
      </c>
      <c r="L267" s="32">
        <f>案件入力!L267</f>
        <v/>
      </c>
      <c r="M267" s="33">
        <f>案件入力!M267</f>
        <v/>
      </c>
      <c r="N267" s="31">
        <f>案件入力!N267</f>
        <v/>
      </c>
      <c r="O267" s="31">
        <f>案件入力!O267</f>
        <v/>
      </c>
      <c r="P267" s="31">
        <f>案件入力!P267</f>
        <v/>
      </c>
    </row>
    <row r="268">
      <c r="A268" s="31">
        <f>案件入力!A268</f>
        <v/>
      </c>
      <c r="B268" s="32">
        <f>案件入力!B268</f>
        <v/>
      </c>
      <c r="C268" s="33">
        <f>案件入力!C268</f>
        <v/>
      </c>
      <c r="D268" s="31">
        <f>案件入力!D268</f>
        <v/>
      </c>
      <c r="E268" s="31">
        <f>案件入力!E268</f>
        <v/>
      </c>
      <c r="F268" s="31">
        <f>案件入力!F268</f>
        <v/>
      </c>
      <c r="G268" s="34">
        <f>案件入力!G268</f>
        <v/>
      </c>
      <c r="H268" s="34">
        <f>案件入力!H268</f>
        <v/>
      </c>
      <c r="I268" s="32">
        <f>案件入力!I268</f>
        <v/>
      </c>
      <c r="J268" s="34">
        <f>案件入力!J268</f>
        <v/>
      </c>
      <c r="K268" s="34">
        <f>案件入力!K268</f>
        <v/>
      </c>
      <c r="L268" s="32">
        <f>案件入力!L268</f>
        <v/>
      </c>
      <c r="M268" s="33">
        <f>案件入力!M268</f>
        <v/>
      </c>
      <c r="N268" s="31">
        <f>案件入力!N268</f>
        <v/>
      </c>
      <c r="O268" s="31">
        <f>案件入力!O268</f>
        <v/>
      </c>
      <c r="P268" s="31">
        <f>案件入力!P268</f>
        <v/>
      </c>
    </row>
    <row r="269">
      <c r="A269" s="31">
        <f>案件入力!A269</f>
        <v/>
      </c>
      <c r="B269" s="32">
        <f>案件入力!B269</f>
        <v/>
      </c>
      <c r="C269" s="33">
        <f>案件入力!C269</f>
        <v/>
      </c>
      <c r="D269" s="31">
        <f>案件入力!D269</f>
        <v/>
      </c>
      <c r="E269" s="31">
        <f>案件入力!E269</f>
        <v/>
      </c>
      <c r="F269" s="31">
        <f>案件入力!F269</f>
        <v/>
      </c>
      <c r="G269" s="34">
        <f>案件入力!G269</f>
        <v/>
      </c>
      <c r="H269" s="34">
        <f>案件入力!H269</f>
        <v/>
      </c>
      <c r="I269" s="32">
        <f>案件入力!I269</f>
        <v/>
      </c>
      <c r="J269" s="34">
        <f>案件入力!J269</f>
        <v/>
      </c>
      <c r="K269" s="34">
        <f>案件入力!K269</f>
        <v/>
      </c>
      <c r="L269" s="32">
        <f>案件入力!L269</f>
        <v/>
      </c>
      <c r="M269" s="33">
        <f>案件入力!M269</f>
        <v/>
      </c>
      <c r="N269" s="31">
        <f>案件入力!N269</f>
        <v/>
      </c>
      <c r="O269" s="31">
        <f>案件入力!O269</f>
        <v/>
      </c>
      <c r="P269" s="31">
        <f>案件入力!P269</f>
        <v/>
      </c>
    </row>
    <row r="270">
      <c r="A270" s="31">
        <f>案件入力!A270</f>
        <v/>
      </c>
      <c r="B270" s="32">
        <f>案件入力!B270</f>
        <v/>
      </c>
      <c r="C270" s="33">
        <f>案件入力!C270</f>
        <v/>
      </c>
      <c r="D270" s="31">
        <f>案件入力!D270</f>
        <v/>
      </c>
      <c r="E270" s="31">
        <f>案件入力!E270</f>
        <v/>
      </c>
      <c r="F270" s="31">
        <f>案件入力!F270</f>
        <v/>
      </c>
      <c r="G270" s="34">
        <f>案件入力!G270</f>
        <v/>
      </c>
      <c r="H270" s="34">
        <f>案件入力!H270</f>
        <v/>
      </c>
      <c r="I270" s="32">
        <f>案件入力!I270</f>
        <v/>
      </c>
      <c r="J270" s="34">
        <f>案件入力!J270</f>
        <v/>
      </c>
      <c r="K270" s="34">
        <f>案件入力!K270</f>
        <v/>
      </c>
      <c r="L270" s="32">
        <f>案件入力!L270</f>
        <v/>
      </c>
      <c r="M270" s="33">
        <f>案件入力!M270</f>
        <v/>
      </c>
      <c r="N270" s="31">
        <f>案件入力!N270</f>
        <v/>
      </c>
      <c r="O270" s="31">
        <f>案件入力!O270</f>
        <v/>
      </c>
      <c r="P270" s="31">
        <f>案件入力!P270</f>
        <v/>
      </c>
    </row>
    <row r="271">
      <c r="A271" s="31">
        <f>案件入力!A271</f>
        <v/>
      </c>
      <c r="B271" s="32">
        <f>案件入力!B271</f>
        <v/>
      </c>
      <c r="C271" s="33">
        <f>案件入力!C271</f>
        <v/>
      </c>
      <c r="D271" s="31">
        <f>案件入力!D271</f>
        <v/>
      </c>
      <c r="E271" s="31">
        <f>案件入力!E271</f>
        <v/>
      </c>
      <c r="F271" s="31">
        <f>案件入力!F271</f>
        <v/>
      </c>
      <c r="G271" s="34">
        <f>案件入力!G271</f>
        <v/>
      </c>
      <c r="H271" s="34">
        <f>案件入力!H271</f>
        <v/>
      </c>
      <c r="I271" s="32">
        <f>案件入力!I271</f>
        <v/>
      </c>
      <c r="J271" s="34">
        <f>案件入力!J271</f>
        <v/>
      </c>
      <c r="K271" s="34">
        <f>案件入力!K271</f>
        <v/>
      </c>
      <c r="L271" s="32">
        <f>案件入力!L271</f>
        <v/>
      </c>
      <c r="M271" s="33">
        <f>案件入力!M271</f>
        <v/>
      </c>
      <c r="N271" s="31">
        <f>案件入力!N271</f>
        <v/>
      </c>
      <c r="O271" s="31">
        <f>案件入力!O271</f>
        <v/>
      </c>
      <c r="P271" s="31">
        <f>案件入力!P271</f>
        <v/>
      </c>
    </row>
    <row r="272">
      <c r="A272" s="31">
        <f>案件入力!A272</f>
        <v/>
      </c>
      <c r="B272" s="32">
        <f>案件入力!B272</f>
        <v/>
      </c>
      <c r="C272" s="33">
        <f>案件入力!C272</f>
        <v/>
      </c>
      <c r="D272" s="31">
        <f>案件入力!D272</f>
        <v/>
      </c>
      <c r="E272" s="31">
        <f>案件入力!E272</f>
        <v/>
      </c>
      <c r="F272" s="31">
        <f>案件入力!F272</f>
        <v/>
      </c>
      <c r="G272" s="34">
        <f>案件入力!G272</f>
        <v/>
      </c>
      <c r="H272" s="34">
        <f>案件入力!H272</f>
        <v/>
      </c>
      <c r="I272" s="32">
        <f>案件入力!I272</f>
        <v/>
      </c>
      <c r="J272" s="34">
        <f>案件入力!J272</f>
        <v/>
      </c>
      <c r="K272" s="34">
        <f>案件入力!K272</f>
        <v/>
      </c>
      <c r="L272" s="32">
        <f>案件入力!L272</f>
        <v/>
      </c>
      <c r="M272" s="33">
        <f>案件入力!M272</f>
        <v/>
      </c>
      <c r="N272" s="31">
        <f>案件入力!N272</f>
        <v/>
      </c>
      <c r="O272" s="31">
        <f>案件入力!O272</f>
        <v/>
      </c>
      <c r="P272" s="31">
        <f>案件入力!P272</f>
        <v/>
      </c>
    </row>
    <row r="273">
      <c r="A273" s="31">
        <f>案件入力!A273</f>
        <v/>
      </c>
      <c r="B273" s="32">
        <f>案件入力!B273</f>
        <v/>
      </c>
      <c r="C273" s="33">
        <f>案件入力!C273</f>
        <v/>
      </c>
      <c r="D273" s="31">
        <f>案件入力!D273</f>
        <v/>
      </c>
      <c r="E273" s="31">
        <f>案件入力!E273</f>
        <v/>
      </c>
      <c r="F273" s="31">
        <f>案件入力!F273</f>
        <v/>
      </c>
      <c r="G273" s="34">
        <f>案件入力!G273</f>
        <v/>
      </c>
      <c r="H273" s="34">
        <f>案件入力!H273</f>
        <v/>
      </c>
      <c r="I273" s="32">
        <f>案件入力!I273</f>
        <v/>
      </c>
      <c r="J273" s="34">
        <f>案件入力!J273</f>
        <v/>
      </c>
      <c r="K273" s="34">
        <f>案件入力!K273</f>
        <v/>
      </c>
      <c r="L273" s="32">
        <f>案件入力!L273</f>
        <v/>
      </c>
      <c r="M273" s="33">
        <f>案件入力!M273</f>
        <v/>
      </c>
      <c r="N273" s="31">
        <f>案件入力!N273</f>
        <v/>
      </c>
      <c r="O273" s="31">
        <f>案件入力!O273</f>
        <v/>
      </c>
      <c r="P273" s="31">
        <f>案件入力!P273</f>
        <v/>
      </c>
    </row>
    <row r="274">
      <c r="A274" s="31">
        <f>案件入力!A274</f>
        <v/>
      </c>
      <c r="B274" s="32">
        <f>案件入力!B274</f>
        <v/>
      </c>
      <c r="C274" s="33">
        <f>案件入力!C274</f>
        <v/>
      </c>
      <c r="D274" s="31">
        <f>案件入力!D274</f>
        <v/>
      </c>
      <c r="E274" s="31">
        <f>案件入力!E274</f>
        <v/>
      </c>
      <c r="F274" s="31">
        <f>案件入力!F274</f>
        <v/>
      </c>
      <c r="G274" s="34">
        <f>案件入力!G274</f>
        <v/>
      </c>
      <c r="H274" s="34">
        <f>案件入力!H274</f>
        <v/>
      </c>
      <c r="I274" s="32">
        <f>案件入力!I274</f>
        <v/>
      </c>
      <c r="J274" s="34">
        <f>案件入力!J274</f>
        <v/>
      </c>
      <c r="K274" s="34">
        <f>案件入力!K274</f>
        <v/>
      </c>
      <c r="L274" s="32">
        <f>案件入力!L274</f>
        <v/>
      </c>
      <c r="M274" s="33">
        <f>案件入力!M274</f>
        <v/>
      </c>
      <c r="N274" s="31">
        <f>案件入力!N274</f>
        <v/>
      </c>
      <c r="O274" s="31">
        <f>案件入力!O274</f>
        <v/>
      </c>
      <c r="P274" s="31">
        <f>案件入力!P274</f>
        <v/>
      </c>
    </row>
    <row r="275">
      <c r="A275" s="31">
        <f>案件入力!A275</f>
        <v/>
      </c>
      <c r="B275" s="32">
        <f>案件入力!B275</f>
        <v/>
      </c>
      <c r="C275" s="33">
        <f>案件入力!C275</f>
        <v/>
      </c>
      <c r="D275" s="31">
        <f>案件入力!D275</f>
        <v/>
      </c>
      <c r="E275" s="31">
        <f>案件入力!E275</f>
        <v/>
      </c>
      <c r="F275" s="31">
        <f>案件入力!F275</f>
        <v/>
      </c>
      <c r="G275" s="34">
        <f>案件入力!G275</f>
        <v/>
      </c>
      <c r="H275" s="34">
        <f>案件入力!H275</f>
        <v/>
      </c>
      <c r="I275" s="32">
        <f>案件入力!I275</f>
        <v/>
      </c>
      <c r="J275" s="34">
        <f>案件入力!J275</f>
        <v/>
      </c>
      <c r="K275" s="34">
        <f>案件入力!K275</f>
        <v/>
      </c>
      <c r="L275" s="32">
        <f>案件入力!L275</f>
        <v/>
      </c>
      <c r="M275" s="33">
        <f>案件入力!M275</f>
        <v/>
      </c>
      <c r="N275" s="31">
        <f>案件入力!N275</f>
        <v/>
      </c>
      <c r="O275" s="31">
        <f>案件入力!O275</f>
        <v/>
      </c>
      <c r="P275" s="31">
        <f>案件入力!P275</f>
        <v/>
      </c>
    </row>
    <row r="276">
      <c r="A276" s="31">
        <f>案件入力!A276</f>
        <v/>
      </c>
      <c r="B276" s="32">
        <f>案件入力!B276</f>
        <v/>
      </c>
      <c r="C276" s="33">
        <f>案件入力!C276</f>
        <v/>
      </c>
      <c r="D276" s="31">
        <f>案件入力!D276</f>
        <v/>
      </c>
      <c r="E276" s="31">
        <f>案件入力!E276</f>
        <v/>
      </c>
      <c r="F276" s="31">
        <f>案件入力!F276</f>
        <v/>
      </c>
      <c r="G276" s="34">
        <f>案件入力!G276</f>
        <v/>
      </c>
      <c r="H276" s="34">
        <f>案件入力!H276</f>
        <v/>
      </c>
      <c r="I276" s="32">
        <f>案件入力!I276</f>
        <v/>
      </c>
      <c r="J276" s="34">
        <f>案件入力!J276</f>
        <v/>
      </c>
      <c r="K276" s="34">
        <f>案件入力!K276</f>
        <v/>
      </c>
      <c r="L276" s="32">
        <f>案件入力!L276</f>
        <v/>
      </c>
      <c r="M276" s="33">
        <f>案件入力!M276</f>
        <v/>
      </c>
      <c r="N276" s="31">
        <f>案件入力!N276</f>
        <v/>
      </c>
      <c r="O276" s="31">
        <f>案件入力!O276</f>
        <v/>
      </c>
      <c r="P276" s="31">
        <f>案件入力!P276</f>
        <v/>
      </c>
    </row>
    <row r="277">
      <c r="A277" s="31">
        <f>案件入力!A277</f>
        <v/>
      </c>
      <c r="B277" s="32">
        <f>案件入力!B277</f>
        <v/>
      </c>
      <c r="C277" s="33">
        <f>案件入力!C277</f>
        <v/>
      </c>
      <c r="D277" s="31">
        <f>案件入力!D277</f>
        <v/>
      </c>
      <c r="E277" s="31">
        <f>案件入力!E277</f>
        <v/>
      </c>
      <c r="F277" s="31">
        <f>案件入力!F277</f>
        <v/>
      </c>
      <c r="G277" s="34">
        <f>案件入力!G277</f>
        <v/>
      </c>
      <c r="H277" s="34">
        <f>案件入力!H277</f>
        <v/>
      </c>
      <c r="I277" s="32">
        <f>案件入力!I277</f>
        <v/>
      </c>
      <c r="J277" s="34">
        <f>案件入力!J277</f>
        <v/>
      </c>
      <c r="K277" s="34">
        <f>案件入力!K277</f>
        <v/>
      </c>
      <c r="L277" s="32">
        <f>案件入力!L277</f>
        <v/>
      </c>
      <c r="M277" s="33">
        <f>案件入力!M277</f>
        <v/>
      </c>
      <c r="N277" s="31">
        <f>案件入力!N277</f>
        <v/>
      </c>
      <c r="O277" s="31">
        <f>案件入力!O277</f>
        <v/>
      </c>
      <c r="P277" s="31">
        <f>案件入力!P277</f>
        <v/>
      </c>
    </row>
    <row r="278">
      <c r="A278" s="31">
        <f>案件入力!A278</f>
        <v/>
      </c>
      <c r="B278" s="32">
        <f>案件入力!B278</f>
        <v/>
      </c>
      <c r="C278" s="33">
        <f>案件入力!C278</f>
        <v/>
      </c>
      <c r="D278" s="31">
        <f>案件入力!D278</f>
        <v/>
      </c>
      <c r="E278" s="31">
        <f>案件入力!E278</f>
        <v/>
      </c>
      <c r="F278" s="31">
        <f>案件入力!F278</f>
        <v/>
      </c>
      <c r="G278" s="34">
        <f>案件入力!G278</f>
        <v/>
      </c>
      <c r="H278" s="34">
        <f>案件入力!H278</f>
        <v/>
      </c>
      <c r="I278" s="32">
        <f>案件入力!I278</f>
        <v/>
      </c>
      <c r="J278" s="34">
        <f>案件入力!J278</f>
        <v/>
      </c>
      <c r="K278" s="34">
        <f>案件入力!K278</f>
        <v/>
      </c>
      <c r="L278" s="32">
        <f>案件入力!L278</f>
        <v/>
      </c>
      <c r="M278" s="33">
        <f>案件入力!M278</f>
        <v/>
      </c>
      <c r="N278" s="31">
        <f>案件入力!N278</f>
        <v/>
      </c>
      <c r="O278" s="31">
        <f>案件入力!O278</f>
        <v/>
      </c>
      <c r="P278" s="31">
        <f>案件入力!P278</f>
        <v/>
      </c>
    </row>
    <row r="279">
      <c r="A279" s="31">
        <f>案件入力!A279</f>
        <v/>
      </c>
      <c r="B279" s="32">
        <f>案件入力!B279</f>
        <v/>
      </c>
      <c r="C279" s="33">
        <f>案件入力!C279</f>
        <v/>
      </c>
      <c r="D279" s="31">
        <f>案件入力!D279</f>
        <v/>
      </c>
      <c r="E279" s="31">
        <f>案件入力!E279</f>
        <v/>
      </c>
      <c r="F279" s="31">
        <f>案件入力!F279</f>
        <v/>
      </c>
      <c r="G279" s="34">
        <f>案件入力!G279</f>
        <v/>
      </c>
      <c r="H279" s="34">
        <f>案件入力!H279</f>
        <v/>
      </c>
      <c r="I279" s="32">
        <f>案件入力!I279</f>
        <v/>
      </c>
      <c r="J279" s="34">
        <f>案件入力!J279</f>
        <v/>
      </c>
      <c r="K279" s="34">
        <f>案件入力!K279</f>
        <v/>
      </c>
      <c r="L279" s="32">
        <f>案件入力!L279</f>
        <v/>
      </c>
      <c r="M279" s="33">
        <f>案件入力!M279</f>
        <v/>
      </c>
      <c r="N279" s="31">
        <f>案件入力!N279</f>
        <v/>
      </c>
      <c r="O279" s="31">
        <f>案件入力!O279</f>
        <v/>
      </c>
      <c r="P279" s="31">
        <f>案件入力!P279</f>
        <v/>
      </c>
    </row>
    <row r="280">
      <c r="A280" s="31">
        <f>案件入力!A280</f>
        <v/>
      </c>
      <c r="B280" s="32">
        <f>案件入力!B280</f>
        <v/>
      </c>
      <c r="C280" s="33">
        <f>案件入力!C280</f>
        <v/>
      </c>
      <c r="D280" s="31">
        <f>案件入力!D280</f>
        <v/>
      </c>
      <c r="E280" s="31">
        <f>案件入力!E280</f>
        <v/>
      </c>
      <c r="F280" s="31">
        <f>案件入力!F280</f>
        <v/>
      </c>
      <c r="G280" s="34">
        <f>案件入力!G280</f>
        <v/>
      </c>
      <c r="H280" s="34">
        <f>案件入力!H280</f>
        <v/>
      </c>
      <c r="I280" s="32">
        <f>案件入力!I280</f>
        <v/>
      </c>
      <c r="J280" s="34">
        <f>案件入力!J280</f>
        <v/>
      </c>
      <c r="K280" s="34">
        <f>案件入力!K280</f>
        <v/>
      </c>
      <c r="L280" s="32">
        <f>案件入力!L280</f>
        <v/>
      </c>
      <c r="M280" s="33">
        <f>案件入力!M280</f>
        <v/>
      </c>
      <c r="N280" s="31">
        <f>案件入力!N280</f>
        <v/>
      </c>
      <c r="O280" s="31">
        <f>案件入力!O280</f>
        <v/>
      </c>
      <c r="P280" s="31">
        <f>案件入力!P280</f>
        <v/>
      </c>
    </row>
    <row r="281">
      <c r="A281" s="31">
        <f>案件入力!A281</f>
        <v/>
      </c>
      <c r="B281" s="32">
        <f>案件入力!B281</f>
        <v/>
      </c>
      <c r="C281" s="33">
        <f>案件入力!C281</f>
        <v/>
      </c>
      <c r="D281" s="31">
        <f>案件入力!D281</f>
        <v/>
      </c>
      <c r="E281" s="31">
        <f>案件入力!E281</f>
        <v/>
      </c>
      <c r="F281" s="31">
        <f>案件入力!F281</f>
        <v/>
      </c>
      <c r="G281" s="34">
        <f>案件入力!G281</f>
        <v/>
      </c>
      <c r="H281" s="34">
        <f>案件入力!H281</f>
        <v/>
      </c>
      <c r="I281" s="32">
        <f>案件入力!I281</f>
        <v/>
      </c>
      <c r="J281" s="34">
        <f>案件入力!J281</f>
        <v/>
      </c>
      <c r="K281" s="34">
        <f>案件入力!K281</f>
        <v/>
      </c>
      <c r="L281" s="32">
        <f>案件入力!L281</f>
        <v/>
      </c>
      <c r="M281" s="33">
        <f>案件入力!M281</f>
        <v/>
      </c>
      <c r="N281" s="31">
        <f>案件入力!N281</f>
        <v/>
      </c>
      <c r="O281" s="31">
        <f>案件入力!O281</f>
        <v/>
      </c>
      <c r="P281" s="31">
        <f>案件入力!P281</f>
        <v/>
      </c>
    </row>
    <row r="282">
      <c r="A282" s="31">
        <f>案件入力!A282</f>
        <v/>
      </c>
      <c r="B282" s="32">
        <f>案件入力!B282</f>
        <v/>
      </c>
      <c r="C282" s="33">
        <f>案件入力!C282</f>
        <v/>
      </c>
      <c r="D282" s="31">
        <f>案件入力!D282</f>
        <v/>
      </c>
      <c r="E282" s="31">
        <f>案件入力!E282</f>
        <v/>
      </c>
      <c r="F282" s="31">
        <f>案件入力!F282</f>
        <v/>
      </c>
      <c r="G282" s="34">
        <f>案件入力!G282</f>
        <v/>
      </c>
      <c r="H282" s="34">
        <f>案件入力!H282</f>
        <v/>
      </c>
      <c r="I282" s="32">
        <f>案件入力!I282</f>
        <v/>
      </c>
      <c r="J282" s="34">
        <f>案件入力!J282</f>
        <v/>
      </c>
      <c r="K282" s="34">
        <f>案件入力!K282</f>
        <v/>
      </c>
      <c r="L282" s="32">
        <f>案件入力!L282</f>
        <v/>
      </c>
      <c r="M282" s="33">
        <f>案件入力!M282</f>
        <v/>
      </c>
      <c r="N282" s="31">
        <f>案件入力!N282</f>
        <v/>
      </c>
      <c r="O282" s="31">
        <f>案件入力!O282</f>
        <v/>
      </c>
      <c r="P282" s="31">
        <f>案件入力!P282</f>
        <v/>
      </c>
    </row>
    <row r="283">
      <c r="A283" s="31">
        <f>案件入力!A283</f>
        <v/>
      </c>
      <c r="B283" s="32">
        <f>案件入力!B283</f>
        <v/>
      </c>
      <c r="C283" s="33">
        <f>案件入力!C283</f>
        <v/>
      </c>
      <c r="D283" s="31">
        <f>案件入力!D283</f>
        <v/>
      </c>
      <c r="E283" s="31">
        <f>案件入力!E283</f>
        <v/>
      </c>
      <c r="F283" s="31">
        <f>案件入力!F283</f>
        <v/>
      </c>
      <c r="G283" s="34">
        <f>案件入力!G283</f>
        <v/>
      </c>
      <c r="H283" s="34">
        <f>案件入力!H283</f>
        <v/>
      </c>
      <c r="I283" s="32">
        <f>案件入力!I283</f>
        <v/>
      </c>
      <c r="J283" s="34">
        <f>案件入力!J283</f>
        <v/>
      </c>
      <c r="K283" s="34">
        <f>案件入力!K283</f>
        <v/>
      </c>
      <c r="L283" s="32">
        <f>案件入力!L283</f>
        <v/>
      </c>
      <c r="M283" s="33">
        <f>案件入力!M283</f>
        <v/>
      </c>
      <c r="N283" s="31">
        <f>案件入力!N283</f>
        <v/>
      </c>
      <c r="O283" s="31">
        <f>案件入力!O283</f>
        <v/>
      </c>
      <c r="P283" s="31">
        <f>案件入力!P283</f>
        <v/>
      </c>
    </row>
    <row r="284">
      <c r="A284" s="31">
        <f>案件入力!A284</f>
        <v/>
      </c>
      <c r="B284" s="32">
        <f>案件入力!B284</f>
        <v/>
      </c>
      <c r="C284" s="33">
        <f>案件入力!C284</f>
        <v/>
      </c>
      <c r="D284" s="31">
        <f>案件入力!D284</f>
        <v/>
      </c>
      <c r="E284" s="31">
        <f>案件入力!E284</f>
        <v/>
      </c>
      <c r="F284" s="31">
        <f>案件入力!F284</f>
        <v/>
      </c>
      <c r="G284" s="34">
        <f>案件入力!G284</f>
        <v/>
      </c>
      <c r="H284" s="34">
        <f>案件入力!H284</f>
        <v/>
      </c>
      <c r="I284" s="32">
        <f>案件入力!I284</f>
        <v/>
      </c>
      <c r="J284" s="34">
        <f>案件入力!J284</f>
        <v/>
      </c>
      <c r="K284" s="34">
        <f>案件入力!K284</f>
        <v/>
      </c>
      <c r="L284" s="32">
        <f>案件入力!L284</f>
        <v/>
      </c>
      <c r="M284" s="33">
        <f>案件入力!M284</f>
        <v/>
      </c>
      <c r="N284" s="31">
        <f>案件入力!N284</f>
        <v/>
      </c>
      <c r="O284" s="31">
        <f>案件入力!O284</f>
        <v/>
      </c>
      <c r="P284" s="31">
        <f>案件入力!P284</f>
        <v/>
      </c>
    </row>
    <row r="285">
      <c r="A285" s="31">
        <f>案件入力!A285</f>
        <v/>
      </c>
      <c r="B285" s="32">
        <f>案件入力!B285</f>
        <v/>
      </c>
      <c r="C285" s="33">
        <f>案件入力!C285</f>
        <v/>
      </c>
      <c r="D285" s="31">
        <f>案件入力!D285</f>
        <v/>
      </c>
      <c r="E285" s="31">
        <f>案件入力!E285</f>
        <v/>
      </c>
      <c r="F285" s="31">
        <f>案件入力!F285</f>
        <v/>
      </c>
      <c r="G285" s="34">
        <f>案件入力!G285</f>
        <v/>
      </c>
      <c r="H285" s="34">
        <f>案件入力!H285</f>
        <v/>
      </c>
      <c r="I285" s="32">
        <f>案件入力!I285</f>
        <v/>
      </c>
      <c r="J285" s="34">
        <f>案件入力!J285</f>
        <v/>
      </c>
      <c r="K285" s="34">
        <f>案件入力!K285</f>
        <v/>
      </c>
      <c r="L285" s="32">
        <f>案件入力!L285</f>
        <v/>
      </c>
      <c r="M285" s="33">
        <f>案件入力!M285</f>
        <v/>
      </c>
      <c r="N285" s="31">
        <f>案件入力!N285</f>
        <v/>
      </c>
      <c r="O285" s="31">
        <f>案件入力!O285</f>
        <v/>
      </c>
      <c r="P285" s="31">
        <f>案件入力!P285</f>
        <v/>
      </c>
    </row>
    <row r="286">
      <c r="A286" s="31">
        <f>案件入力!A286</f>
        <v/>
      </c>
      <c r="B286" s="32">
        <f>案件入力!B286</f>
        <v/>
      </c>
      <c r="C286" s="33">
        <f>案件入力!C286</f>
        <v/>
      </c>
      <c r="D286" s="31">
        <f>案件入力!D286</f>
        <v/>
      </c>
      <c r="E286" s="31">
        <f>案件入力!E286</f>
        <v/>
      </c>
      <c r="F286" s="31">
        <f>案件入力!F286</f>
        <v/>
      </c>
      <c r="G286" s="34">
        <f>案件入力!G286</f>
        <v/>
      </c>
      <c r="H286" s="34">
        <f>案件入力!H286</f>
        <v/>
      </c>
      <c r="I286" s="32">
        <f>案件入力!I286</f>
        <v/>
      </c>
      <c r="J286" s="34">
        <f>案件入力!J286</f>
        <v/>
      </c>
      <c r="K286" s="34">
        <f>案件入力!K286</f>
        <v/>
      </c>
      <c r="L286" s="32">
        <f>案件入力!L286</f>
        <v/>
      </c>
      <c r="M286" s="33">
        <f>案件入力!M286</f>
        <v/>
      </c>
      <c r="N286" s="31">
        <f>案件入力!N286</f>
        <v/>
      </c>
      <c r="O286" s="31">
        <f>案件入力!O286</f>
        <v/>
      </c>
      <c r="P286" s="31">
        <f>案件入力!P286</f>
        <v/>
      </c>
    </row>
    <row r="287">
      <c r="A287" s="31">
        <f>案件入力!A287</f>
        <v/>
      </c>
      <c r="B287" s="32">
        <f>案件入力!B287</f>
        <v/>
      </c>
      <c r="C287" s="33">
        <f>案件入力!C287</f>
        <v/>
      </c>
      <c r="D287" s="31">
        <f>案件入力!D287</f>
        <v/>
      </c>
      <c r="E287" s="31">
        <f>案件入力!E287</f>
        <v/>
      </c>
      <c r="F287" s="31">
        <f>案件入力!F287</f>
        <v/>
      </c>
      <c r="G287" s="34">
        <f>案件入力!G287</f>
        <v/>
      </c>
      <c r="H287" s="34">
        <f>案件入力!H287</f>
        <v/>
      </c>
      <c r="I287" s="32">
        <f>案件入力!I287</f>
        <v/>
      </c>
      <c r="J287" s="34">
        <f>案件入力!J287</f>
        <v/>
      </c>
      <c r="K287" s="34">
        <f>案件入力!K287</f>
        <v/>
      </c>
      <c r="L287" s="32">
        <f>案件入力!L287</f>
        <v/>
      </c>
      <c r="M287" s="33">
        <f>案件入力!M287</f>
        <v/>
      </c>
      <c r="N287" s="31">
        <f>案件入力!N287</f>
        <v/>
      </c>
      <c r="O287" s="31">
        <f>案件入力!O287</f>
        <v/>
      </c>
      <c r="P287" s="31">
        <f>案件入力!P287</f>
        <v/>
      </c>
    </row>
    <row r="288">
      <c r="A288" s="31">
        <f>案件入力!A288</f>
        <v/>
      </c>
      <c r="B288" s="32">
        <f>案件入力!B288</f>
        <v/>
      </c>
      <c r="C288" s="33">
        <f>案件入力!C288</f>
        <v/>
      </c>
      <c r="D288" s="31">
        <f>案件入力!D288</f>
        <v/>
      </c>
      <c r="E288" s="31">
        <f>案件入力!E288</f>
        <v/>
      </c>
      <c r="F288" s="31">
        <f>案件入力!F288</f>
        <v/>
      </c>
      <c r="G288" s="34">
        <f>案件入力!G288</f>
        <v/>
      </c>
      <c r="H288" s="34">
        <f>案件入力!H288</f>
        <v/>
      </c>
      <c r="I288" s="32">
        <f>案件入力!I288</f>
        <v/>
      </c>
      <c r="J288" s="34">
        <f>案件入力!J288</f>
        <v/>
      </c>
      <c r="K288" s="34">
        <f>案件入力!K288</f>
        <v/>
      </c>
      <c r="L288" s="32">
        <f>案件入力!L288</f>
        <v/>
      </c>
      <c r="M288" s="33">
        <f>案件入力!M288</f>
        <v/>
      </c>
      <c r="N288" s="31">
        <f>案件入力!N288</f>
        <v/>
      </c>
      <c r="O288" s="31">
        <f>案件入力!O288</f>
        <v/>
      </c>
      <c r="P288" s="31">
        <f>案件入力!P288</f>
        <v/>
      </c>
    </row>
    <row r="289">
      <c r="A289" s="31">
        <f>案件入力!A289</f>
        <v/>
      </c>
      <c r="B289" s="32">
        <f>案件入力!B289</f>
        <v/>
      </c>
      <c r="C289" s="33">
        <f>案件入力!C289</f>
        <v/>
      </c>
      <c r="D289" s="31">
        <f>案件入力!D289</f>
        <v/>
      </c>
      <c r="E289" s="31">
        <f>案件入力!E289</f>
        <v/>
      </c>
      <c r="F289" s="31">
        <f>案件入力!F289</f>
        <v/>
      </c>
      <c r="G289" s="34">
        <f>案件入力!G289</f>
        <v/>
      </c>
      <c r="H289" s="34">
        <f>案件入力!H289</f>
        <v/>
      </c>
      <c r="I289" s="32">
        <f>案件入力!I289</f>
        <v/>
      </c>
      <c r="J289" s="34">
        <f>案件入力!J289</f>
        <v/>
      </c>
      <c r="K289" s="34">
        <f>案件入力!K289</f>
        <v/>
      </c>
      <c r="L289" s="32">
        <f>案件入力!L289</f>
        <v/>
      </c>
      <c r="M289" s="33">
        <f>案件入力!M289</f>
        <v/>
      </c>
      <c r="N289" s="31">
        <f>案件入力!N289</f>
        <v/>
      </c>
      <c r="O289" s="31">
        <f>案件入力!O289</f>
        <v/>
      </c>
      <c r="P289" s="31">
        <f>案件入力!P289</f>
        <v/>
      </c>
    </row>
    <row r="290">
      <c r="A290" s="31">
        <f>案件入力!A290</f>
        <v/>
      </c>
      <c r="B290" s="32">
        <f>案件入力!B290</f>
        <v/>
      </c>
      <c r="C290" s="33">
        <f>案件入力!C290</f>
        <v/>
      </c>
      <c r="D290" s="31">
        <f>案件入力!D290</f>
        <v/>
      </c>
      <c r="E290" s="31">
        <f>案件入力!E290</f>
        <v/>
      </c>
      <c r="F290" s="31">
        <f>案件入力!F290</f>
        <v/>
      </c>
      <c r="G290" s="34">
        <f>案件入力!G290</f>
        <v/>
      </c>
      <c r="H290" s="34">
        <f>案件入力!H290</f>
        <v/>
      </c>
      <c r="I290" s="32">
        <f>案件入力!I290</f>
        <v/>
      </c>
      <c r="J290" s="34">
        <f>案件入力!J290</f>
        <v/>
      </c>
      <c r="K290" s="34">
        <f>案件入力!K290</f>
        <v/>
      </c>
      <c r="L290" s="32">
        <f>案件入力!L290</f>
        <v/>
      </c>
      <c r="M290" s="33">
        <f>案件入力!M290</f>
        <v/>
      </c>
      <c r="N290" s="31">
        <f>案件入力!N290</f>
        <v/>
      </c>
      <c r="O290" s="31">
        <f>案件入力!O290</f>
        <v/>
      </c>
      <c r="P290" s="31">
        <f>案件入力!P290</f>
        <v/>
      </c>
    </row>
    <row r="291">
      <c r="A291" s="31">
        <f>案件入力!A291</f>
        <v/>
      </c>
      <c r="B291" s="32">
        <f>案件入力!B291</f>
        <v/>
      </c>
      <c r="C291" s="33">
        <f>案件入力!C291</f>
        <v/>
      </c>
      <c r="D291" s="31">
        <f>案件入力!D291</f>
        <v/>
      </c>
      <c r="E291" s="31">
        <f>案件入力!E291</f>
        <v/>
      </c>
      <c r="F291" s="31">
        <f>案件入力!F291</f>
        <v/>
      </c>
      <c r="G291" s="34">
        <f>案件入力!G291</f>
        <v/>
      </c>
      <c r="H291" s="34">
        <f>案件入力!H291</f>
        <v/>
      </c>
      <c r="I291" s="32">
        <f>案件入力!I291</f>
        <v/>
      </c>
      <c r="J291" s="34">
        <f>案件入力!J291</f>
        <v/>
      </c>
      <c r="K291" s="34">
        <f>案件入力!K291</f>
        <v/>
      </c>
      <c r="L291" s="32">
        <f>案件入力!L291</f>
        <v/>
      </c>
      <c r="M291" s="33">
        <f>案件入力!M291</f>
        <v/>
      </c>
      <c r="N291" s="31">
        <f>案件入力!N291</f>
        <v/>
      </c>
      <c r="O291" s="31">
        <f>案件入力!O291</f>
        <v/>
      </c>
      <c r="P291" s="31">
        <f>案件入力!P291</f>
        <v/>
      </c>
    </row>
    <row r="292">
      <c r="A292" s="31">
        <f>案件入力!A292</f>
        <v/>
      </c>
      <c r="B292" s="32">
        <f>案件入力!B292</f>
        <v/>
      </c>
      <c r="C292" s="33">
        <f>案件入力!C292</f>
        <v/>
      </c>
      <c r="D292" s="31">
        <f>案件入力!D292</f>
        <v/>
      </c>
      <c r="E292" s="31">
        <f>案件入力!E292</f>
        <v/>
      </c>
      <c r="F292" s="31">
        <f>案件入力!F292</f>
        <v/>
      </c>
      <c r="G292" s="34">
        <f>案件入力!G292</f>
        <v/>
      </c>
      <c r="H292" s="34">
        <f>案件入力!H292</f>
        <v/>
      </c>
      <c r="I292" s="32">
        <f>案件入力!I292</f>
        <v/>
      </c>
      <c r="J292" s="34">
        <f>案件入力!J292</f>
        <v/>
      </c>
      <c r="K292" s="34">
        <f>案件入力!K292</f>
        <v/>
      </c>
      <c r="L292" s="32">
        <f>案件入力!L292</f>
        <v/>
      </c>
      <c r="M292" s="33">
        <f>案件入力!M292</f>
        <v/>
      </c>
      <c r="N292" s="31">
        <f>案件入力!N292</f>
        <v/>
      </c>
      <c r="O292" s="31">
        <f>案件入力!O292</f>
        <v/>
      </c>
      <c r="P292" s="31">
        <f>案件入力!P292</f>
        <v/>
      </c>
    </row>
    <row r="293">
      <c r="A293" s="31">
        <f>案件入力!A293</f>
        <v/>
      </c>
      <c r="B293" s="32">
        <f>案件入力!B293</f>
        <v/>
      </c>
      <c r="C293" s="33">
        <f>案件入力!C293</f>
        <v/>
      </c>
      <c r="D293" s="31">
        <f>案件入力!D293</f>
        <v/>
      </c>
      <c r="E293" s="31">
        <f>案件入力!E293</f>
        <v/>
      </c>
      <c r="F293" s="31">
        <f>案件入力!F293</f>
        <v/>
      </c>
      <c r="G293" s="34">
        <f>案件入力!G293</f>
        <v/>
      </c>
      <c r="H293" s="34">
        <f>案件入力!H293</f>
        <v/>
      </c>
      <c r="I293" s="32">
        <f>案件入力!I293</f>
        <v/>
      </c>
      <c r="J293" s="34">
        <f>案件入力!J293</f>
        <v/>
      </c>
      <c r="K293" s="34">
        <f>案件入力!K293</f>
        <v/>
      </c>
      <c r="L293" s="32">
        <f>案件入力!L293</f>
        <v/>
      </c>
      <c r="M293" s="33">
        <f>案件入力!M293</f>
        <v/>
      </c>
      <c r="N293" s="31">
        <f>案件入力!N293</f>
        <v/>
      </c>
      <c r="O293" s="31">
        <f>案件入力!O293</f>
        <v/>
      </c>
      <c r="P293" s="31">
        <f>案件入力!P293</f>
        <v/>
      </c>
    </row>
    <row r="294">
      <c r="A294" s="31">
        <f>案件入力!A294</f>
        <v/>
      </c>
      <c r="B294" s="32">
        <f>案件入力!B294</f>
        <v/>
      </c>
      <c r="C294" s="33">
        <f>案件入力!C294</f>
        <v/>
      </c>
      <c r="D294" s="31">
        <f>案件入力!D294</f>
        <v/>
      </c>
      <c r="E294" s="31">
        <f>案件入力!E294</f>
        <v/>
      </c>
      <c r="F294" s="31">
        <f>案件入力!F294</f>
        <v/>
      </c>
      <c r="G294" s="34">
        <f>案件入力!G294</f>
        <v/>
      </c>
      <c r="H294" s="34">
        <f>案件入力!H294</f>
        <v/>
      </c>
      <c r="I294" s="32">
        <f>案件入力!I294</f>
        <v/>
      </c>
      <c r="J294" s="34">
        <f>案件入力!J294</f>
        <v/>
      </c>
      <c r="K294" s="34">
        <f>案件入力!K294</f>
        <v/>
      </c>
      <c r="L294" s="32">
        <f>案件入力!L294</f>
        <v/>
      </c>
      <c r="M294" s="33">
        <f>案件入力!M294</f>
        <v/>
      </c>
      <c r="N294" s="31">
        <f>案件入力!N294</f>
        <v/>
      </c>
      <c r="O294" s="31">
        <f>案件入力!O294</f>
        <v/>
      </c>
      <c r="P294" s="31">
        <f>案件入力!P294</f>
        <v/>
      </c>
    </row>
    <row r="295">
      <c r="A295" s="31">
        <f>案件入力!A295</f>
        <v/>
      </c>
      <c r="B295" s="32">
        <f>案件入力!B295</f>
        <v/>
      </c>
      <c r="C295" s="33">
        <f>案件入力!C295</f>
        <v/>
      </c>
      <c r="D295" s="31">
        <f>案件入力!D295</f>
        <v/>
      </c>
      <c r="E295" s="31">
        <f>案件入力!E295</f>
        <v/>
      </c>
      <c r="F295" s="31">
        <f>案件入力!F295</f>
        <v/>
      </c>
      <c r="G295" s="34">
        <f>案件入力!G295</f>
        <v/>
      </c>
      <c r="H295" s="34">
        <f>案件入力!H295</f>
        <v/>
      </c>
      <c r="I295" s="32">
        <f>案件入力!I295</f>
        <v/>
      </c>
      <c r="J295" s="34">
        <f>案件入力!J295</f>
        <v/>
      </c>
      <c r="K295" s="34">
        <f>案件入力!K295</f>
        <v/>
      </c>
      <c r="L295" s="32">
        <f>案件入力!L295</f>
        <v/>
      </c>
      <c r="M295" s="33">
        <f>案件入力!M295</f>
        <v/>
      </c>
      <c r="N295" s="31">
        <f>案件入力!N295</f>
        <v/>
      </c>
      <c r="O295" s="31">
        <f>案件入力!O295</f>
        <v/>
      </c>
      <c r="P295" s="31">
        <f>案件入力!P295</f>
        <v/>
      </c>
    </row>
    <row r="296">
      <c r="A296" s="31">
        <f>案件入力!A296</f>
        <v/>
      </c>
      <c r="B296" s="32">
        <f>案件入力!B296</f>
        <v/>
      </c>
      <c r="C296" s="33">
        <f>案件入力!C296</f>
        <v/>
      </c>
      <c r="D296" s="31">
        <f>案件入力!D296</f>
        <v/>
      </c>
      <c r="E296" s="31">
        <f>案件入力!E296</f>
        <v/>
      </c>
      <c r="F296" s="31">
        <f>案件入力!F296</f>
        <v/>
      </c>
      <c r="G296" s="34">
        <f>案件入力!G296</f>
        <v/>
      </c>
      <c r="H296" s="34">
        <f>案件入力!H296</f>
        <v/>
      </c>
      <c r="I296" s="32">
        <f>案件入力!I296</f>
        <v/>
      </c>
      <c r="J296" s="34">
        <f>案件入力!J296</f>
        <v/>
      </c>
      <c r="K296" s="34">
        <f>案件入力!K296</f>
        <v/>
      </c>
      <c r="L296" s="32">
        <f>案件入力!L296</f>
        <v/>
      </c>
      <c r="M296" s="33">
        <f>案件入力!M296</f>
        <v/>
      </c>
      <c r="N296" s="31">
        <f>案件入力!N296</f>
        <v/>
      </c>
      <c r="O296" s="31">
        <f>案件入力!O296</f>
        <v/>
      </c>
      <c r="P296" s="31">
        <f>案件入力!P296</f>
        <v/>
      </c>
    </row>
    <row r="297">
      <c r="A297" s="31">
        <f>案件入力!A297</f>
        <v/>
      </c>
      <c r="B297" s="32">
        <f>案件入力!B297</f>
        <v/>
      </c>
      <c r="C297" s="33">
        <f>案件入力!C297</f>
        <v/>
      </c>
      <c r="D297" s="31">
        <f>案件入力!D297</f>
        <v/>
      </c>
      <c r="E297" s="31">
        <f>案件入力!E297</f>
        <v/>
      </c>
      <c r="F297" s="31">
        <f>案件入力!F297</f>
        <v/>
      </c>
      <c r="G297" s="34">
        <f>案件入力!G297</f>
        <v/>
      </c>
      <c r="H297" s="34">
        <f>案件入力!H297</f>
        <v/>
      </c>
      <c r="I297" s="32">
        <f>案件入力!I297</f>
        <v/>
      </c>
      <c r="J297" s="34">
        <f>案件入力!J297</f>
        <v/>
      </c>
      <c r="K297" s="34">
        <f>案件入力!K297</f>
        <v/>
      </c>
      <c r="L297" s="32">
        <f>案件入力!L297</f>
        <v/>
      </c>
      <c r="M297" s="33">
        <f>案件入力!M297</f>
        <v/>
      </c>
      <c r="N297" s="31">
        <f>案件入力!N297</f>
        <v/>
      </c>
      <c r="O297" s="31">
        <f>案件入力!O297</f>
        <v/>
      </c>
      <c r="P297" s="31">
        <f>案件入力!P297</f>
        <v/>
      </c>
    </row>
    <row r="298">
      <c r="A298" s="31">
        <f>案件入力!A298</f>
        <v/>
      </c>
      <c r="B298" s="32">
        <f>案件入力!B298</f>
        <v/>
      </c>
      <c r="C298" s="33">
        <f>案件入力!C298</f>
        <v/>
      </c>
      <c r="D298" s="31">
        <f>案件入力!D298</f>
        <v/>
      </c>
      <c r="E298" s="31">
        <f>案件入力!E298</f>
        <v/>
      </c>
      <c r="F298" s="31">
        <f>案件入力!F298</f>
        <v/>
      </c>
      <c r="G298" s="34">
        <f>案件入力!G298</f>
        <v/>
      </c>
      <c r="H298" s="34">
        <f>案件入力!H298</f>
        <v/>
      </c>
      <c r="I298" s="32">
        <f>案件入力!I298</f>
        <v/>
      </c>
      <c r="J298" s="34">
        <f>案件入力!J298</f>
        <v/>
      </c>
      <c r="K298" s="34">
        <f>案件入力!K298</f>
        <v/>
      </c>
      <c r="L298" s="32">
        <f>案件入力!L298</f>
        <v/>
      </c>
      <c r="M298" s="33">
        <f>案件入力!M298</f>
        <v/>
      </c>
      <c r="N298" s="31">
        <f>案件入力!N298</f>
        <v/>
      </c>
      <c r="O298" s="31">
        <f>案件入力!O298</f>
        <v/>
      </c>
      <c r="P298" s="31">
        <f>案件入力!P298</f>
        <v/>
      </c>
    </row>
    <row r="299">
      <c r="A299" s="31">
        <f>案件入力!A299</f>
        <v/>
      </c>
      <c r="B299" s="32">
        <f>案件入力!B299</f>
        <v/>
      </c>
      <c r="C299" s="33">
        <f>案件入力!C299</f>
        <v/>
      </c>
      <c r="D299" s="31">
        <f>案件入力!D299</f>
        <v/>
      </c>
      <c r="E299" s="31">
        <f>案件入力!E299</f>
        <v/>
      </c>
      <c r="F299" s="31">
        <f>案件入力!F299</f>
        <v/>
      </c>
      <c r="G299" s="34">
        <f>案件入力!G299</f>
        <v/>
      </c>
      <c r="H299" s="34">
        <f>案件入力!H299</f>
        <v/>
      </c>
      <c r="I299" s="32">
        <f>案件入力!I299</f>
        <v/>
      </c>
      <c r="J299" s="34">
        <f>案件入力!J299</f>
        <v/>
      </c>
      <c r="K299" s="34">
        <f>案件入力!K299</f>
        <v/>
      </c>
      <c r="L299" s="32">
        <f>案件入力!L299</f>
        <v/>
      </c>
      <c r="M299" s="33">
        <f>案件入力!M299</f>
        <v/>
      </c>
      <c r="N299" s="31">
        <f>案件入力!N299</f>
        <v/>
      </c>
      <c r="O299" s="31">
        <f>案件入力!O299</f>
        <v/>
      </c>
      <c r="P299" s="31">
        <f>案件入力!P299</f>
        <v/>
      </c>
    </row>
    <row r="300">
      <c r="A300" s="31">
        <f>案件入力!A300</f>
        <v/>
      </c>
      <c r="B300" s="32">
        <f>案件入力!B300</f>
        <v/>
      </c>
      <c r="C300" s="33">
        <f>案件入力!C300</f>
        <v/>
      </c>
      <c r="D300" s="31">
        <f>案件入力!D300</f>
        <v/>
      </c>
      <c r="E300" s="31">
        <f>案件入力!E300</f>
        <v/>
      </c>
      <c r="F300" s="31">
        <f>案件入力!F300</f>
        <v/>
      </c>
      <c r="G300" s="34">
        <f>案件入力!G300</f>
        <v/>
      </c>
      <c r="H300" s="34">
        <f>案件入力!H300</f>
        <v/>
      </c>
      <c r="I300" s="32">
        <f>案件入力!I300</f>
        <v/>
      </c>
      <c r="J300" s="34">
        <f>案件入力!J300</f>
        <v/>
      </c>
      <c r="K300" s="34">
        <f>案件入力!K300</f>
        <v/>
      </c>
      <c r="L300" s="32">
        <f>案件入力!L300</f>
        <v/>
      </c>
      <c r="M300" s="33">
        <f>案件入力!M300</f>
        <v/>
      </c>
      <c r="N300" s="31">
        <f>案件入力!N300</f>
        <v/>
      </c>
      <c r="O300" s="31">
        <f>案件入力!O300</f>
        <v/>
      </c>
      <c r="P300" s="31">
        <f>案件入力!P300</f>
        <v/>
      </c>
    </row>
    <row r="301">
      <c r="A301" s="31">
        <f>案件入力!A301</f>
        <v/>
      </c>
      <c r="B301" s="32">
        <f>案件入力!B301</f>
        <v/>
      </c>
      <c r="C301" s="33">
        <f>案件入力!C301</f>
        <v/>
      </c>
      <c r="D301" s="31">
        <f>案件入力!D301</f>
        <v/>
      </c>
      <c r="E301" s="31">
        <f>案件入力!E301</f>
        <v/>
      </c>
      <c r="F301" s="31">
        <f>案件入力!F301</f>
        <v/>
      </c>
      <c r="G301" s="34">
        <f>案件入力!G301</f>
        <v/>
      </c>
      <c r="H301" s="34">
        <f>案件入力!H301</f>
        <v/>
      </c>
      <c r="I301" s="32">
        <f>案件入力!I301</f>
        <v/>
      </c>
      <c r="J301" s="34">
        <f>案件入力!J301</f>
        <v/>
      </c>
      <c r="K301" s="34">
        <f>案件入力!K301</f>
        <v/>
      </c>
      <c r="L301" s="32">
        <f>案件入力!L301</f>
        <v/>
      </c>
      <c r="M301" s="33">
        <f>案件入力!M301</f>
        <v/>
      </c>
      <c r="N301" s="31">
        <f>案件入力!N301</f>
        <v/>
      </c>
      <c r="O301" s="31">
        <f>案件入力!O301</f>
        <v/>
      </c>
      <c r="P301" s="31">
        <f>案件入力!P301</f>
        <v/>
      </c>
    </row>
    <row r="303">
      <c r="A303" s="35" t="inlineStr">
        <is>
          <t>検索方法: 各列の見出し右にある▼（オートフィルター）から「商品名」「仕入先」「得意先」「仕入適用日/売価適用日」などで絞り込みできます。</t>
        </is>
      </c>
    </row>
  </sheetData>
  <conditionalFormatting sqref="A2:P301">
    <cfRule type="expression" priority="1" dxfId="0" stopIfTrue="1">
      <formula>$O2="完了"</formula>
    </cfRule>
    <cfRule type="expression" priority="2" dxfId="1" stopIfTrue="1">
      <formula>AND($O2&lt;&gt;"完了",$I2&lt;&gt;"",$I2&lt;TODAY())</formula>
    </cfRule>
    <cfRule type="expression" priority="3" dxfId="2" stopIfTrue="1">
      <formula>AND($O2&lt;&gt;"完了",$I2&lt;&gt;"",$I2&gt;TODAY())</formula>
    </cfRule>
    <cfRule type="expression" priority="4" dxfId="3" stopIfTrue="1">
      <formula>AND($N2="済",$O2&lt;&gt;"完了")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20" customWidth="1" min="5" max="5"/>
    <col width="2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24" customWidth="1" min="13" max="13"/>
    <col width="12" customWidth="1" min="14" max="14"/>
    <col width="10" customWidth="1" min="15" max="15"/>
    <col width="12" customWidth="1" min="16" max="16"/>
  </cols>
  <sheetData>
    <row r="1">
      <c r="A1" s="5" t="inlineStr">
        <is>
          <t>管理番号</t>
        </is>
      </c>
      <c r="B1" s="5" t="inlineStr">
        <is>
          <t>記入日</t>
        </is>
      </c>
      <c r="C1" s="5" t="inlineStr">
        <is>
          <t>商品名</t>
        </is>
      </c>
      <c r="D1" s="5" t="inlineStr">
        <is>
          <t>荷姿</t>
        </is>
      </c>
      <c r="E1" s="5" t="inlineStr">
        <is>
          <t>仕入先</t>
        </is>
      </c>
      <c r="F1" s="5" t="inlineStr">
        <is>
          <t>得意先</t>
        </is>
      </c>
      <c r="G1" s="5" t="inlineStr">
        <is>
          <t>旧仕入値</t>
        </is>
      </c>
      <c r="H1" s="5" t="inlineStr">
        <is>
          <t>新仕入値</t>
        </is>
      </c>
      <c r="I1" s="5" t="inlineStr">
        <is>
          <t>仕入適用日</t>
        </is>
      </c>
      <c r="J1" s="5" t="inlineStr">
        <is>
          <t>旧売価</t>
        </is>
      </c>
      <c r="K1" s="5" t="inlineStr">
        <is>
          <t>新売価</t>
        </is>
      </c>
      <c r="L1" s="5" t="inlineStr">
        <is>
          <t>売価適用日</t>
        </is>
      </c>
      <c r="M1" s="5" t="inlineStr">
        <is>
          <t>備考</t>
        </is>
      </c>
      <c r="N1" s="5" t="inlineStr">
        <is>
          <t>カード印刷済</t>
        </is>
      </c>
      <c r="O1" s="5" t="inlineStr">
        <is>
          <t>完了</t>
        </is>
      </c>
      <c r="P1" s="5" t="inlineStr">
        <is>
          <t>担当者</t>
        </is>
      </c>
    </row>
    <row r="2">
      <c r="A2" s="36">
        <f>IFERROR(FILTER(案件入力範囲,(案件入力!$O$2:$O$301&lt;&gt;"完了")*(案件入力!$A$2:$A$301&lt;&gt;"")),"（未完了の案件はありません）")</f>
        <v/>
      </c>
    </row>
    <row r="304">
      <c r="A304" s="35" t="inlineStr">
        <is>
          <t>※ このシートは「完了」列が未記入の案件だけを自動抽出します（Excel 365 / Excel 2021以降のFILTER関数を使用）。</t>
        </is>
      </c>
    </row>
    <row r="305">
      <c r="A305" s="35" t="inlineStr">
        <is>
          <t>※ 古いバージョンのExcelでFILTER関数が使えない場合は、「履歴一覧」シートのオートフィルターで「完了」列≠完了を選択してください。</t>
        </is>
      </c>
    </row>
  </sheetData>
  <conditionalFormatting sqref="A2:P301">
    <cfRule type="expression" priority="1" dxfId="0" stopIfTrue="1">
      <formula>$O2="完了"</formula>
    </cfRule>
    <cfRule type="expression" priority="2" dxfId="1" stopIfTrue="1">
      <formula>AND($O2&lt;&gt;"完了",$I2&lt;&gt;"",$I2&lt;TODAY())</formula>
    </cfRule>
    <cfRule type="expression" priority="3" dxfId="2" stopIfTrue="1">
      <formula>AND($O2&lt;&gt;"完了",$I2&lt;&gt;"",$I2&gt;TODAY())</formula>
    </cfRule>
    <cfRule type="expression" priority="4" dxfId="3" stopIfTrue="1">
      <formula>AND($N2="済",$O2&lt;&gt;"完了")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2026-07-03T08:02:08Z</dcterms:created>
  <dcterms:modified xsi:type="dcterms:W3CDTF">2026-07-03T08:02:08Z</dcterms:modified>
</cp:coreProperties>
</file>